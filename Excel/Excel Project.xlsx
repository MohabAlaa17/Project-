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7f35b28efbb7952/Documents/"/>
    </mc:Choice>
  </mc:AlternateContent>
  <xr:revisionPtr revIDLastSave="0" documentId="8_{A0DED13C-A6D1-439F-B26A-6BFDEADA9173}" xr6:coauthVersionLast="47" xr6:coauthVersionMax="47" xr10:uidLastSave="{00000000-0000-0000-0000-000000000000}"/>
  <bookViews>
    <workbookView xWindow="-108" yWindow="-108" windowWidth="23256" windowHeight="12576" xr2:uid="{00000000-000D-0000-FFFF-FFFF00000000}"/>
  </bookViews>
  <sheets>
    <sheet name="DASH BOARD " sheetId="38" r:id="rId1"/>
    <sheet name="analysis " sheetId="27" r:id="rId2"/>
    <sheet name="Sheet1" sheetId="39" r:id="rId3"/>
    <sheet name="data" sheetId="1" r:id="rId4"/>
    <sheet name="Tempreature" sheetId="7" r:id="rId5"/>
    <sheet name="countries" sheetId="2" r:id="rId6"/>
    <sheet name="dictionary" sheetId="3" r:id="rId7"/>
    <sheet name="sectors_gas_shares" sheetId="4" r:id="rId8"/>
  </sheets>
  <externalReferences>
    <externalReference r:id="rId9"/>
    <externalReference r:id="rId10"/>
  </externalReferences>
  <definedNames>
    <definedName name="Slicer_country">#N/A</definedName>
    <definedName name="Slicer_sector">#N/A</definedName>
    <definedName name="Slicer_year">#N/A</definedName>
  </definedNames>
  <calcPr calcId="191029"/>
  <pivotCaches>
    <pivotCache cacheId="5"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39" l="1"/>
  <c r="F16" i="39"/>
  <c r="E17" i="39"/>
  <c r="E16" i="39"/>
  <c r="D18" i="39"/>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K13" i="2"/>
  <c r="I13" i="2"/>
  <c r="K12" i="2"/>
  <c r="I12" i="2"/>
  <c r="K11" i="2"/>
  <c r="I11" i="2"/>
  <c r="I10" i="2"/>
  <c r="I9" i="2"/>
  <c r="I8" i="2"/>
  <c r="I7" i="2"/>
  <c r="I6" i="2"/>
  <c r="I5" i="2"/>
  <c r="I4" i="2"/>
  <c r="I3" i="2"/>
  <c r="I2" i="2"/>
  <c r="A13" i="27"/>
  <c r="A10" i="27"/>
</calcChain>
</file>

<file path=xl/sharedStrings.xml><?xml version="1.0" encoding="utf-8"?>
<sst xmlns="http://schemas.openxmlformats.org/spreadsheetml/2006/main" count="30591" uniqueCount="162">
  <si>
    <t>country</t>
  </si>
  <si>
    <t>iso3</t>
  </si>
  <si>
    <t>region</t>
  </si>
  <si>
    <t>income_group</t>
  </si>
  <si>
    <t>year</t>
  </si>
  <si>
    <t>sector</t>
  </si>
  <si>
    <t>gas</t>
  </si>
  <si>
    <t>emissions_ktco2e</t>
  </si>
  <si>
    <t>Algeria</t>
  </si>
  <si>
    <t>DZA</t>
  </si>
  <si>
    <t>Africa</t>
  </si>
  <si>
    <t>Upper-middle</t>
  </si>
  <si>
    <t>Buildings</t>
  </si>
  <si>
    <t>CO2</t>
  </si>
  <si>
    <t>Power</t>
  </si>
  <si>
    <t>CH4</t>
  </si>
  <si>
    <t>Waste</t>
  </si>
  <si>
    <t>N2O</t>
  </si>
  <si>
    <t>Industry</t>
  </si>
  <si>
    <t>F-Gases</t>
  </si>
  <si>
    <t>LULUCF</t>
  </si>
  <si>
    <t>Transport</t>
  </si>
  <si>
    <t>Agriculture</t>
  </si>
  <si>
    <t>Argentina</t>
  </si>
  <si>
    <t>ARG</t>
  </si>
  <si>
    <t>Americas</t>
  </si>
  <si>
    <t>Australia</t>
  </si>
  <si>
    <t>AUS</t>
  </si>
  <si>
    <t>Oceania</t>
  </si>
  <si>
    <t>High</t>
  </si>
  <si>
    <t>Bangladesh</t>
  </si>
  <si>
    <t>BGD</t>
  </si>
  <si>
    <t>Asia</t>
  </si>
  <si>
    <t>Lower-middle</t>
  </si>
  <si>
    <t>Brazil</t>
  </si>
  <si>
    <t>BRA</t>
  </si>
  <si>
    <t>Canada</t>
  </si>
  <si>
    <t>CAN</t>
  </si>
  <si>
    <t>Chile</t>
  </si>
  <si>
    <t>CHL</t>
  </si>
  <si>
    <t>China</t>
  </si>
  <si>
    <t>CHN</t>
  </si>
  <si>
    <t>Colombia</t>
  </si>
  <si>
    <t>COL</t>
  </si>
  <si>
    <t>Egypt</t>
  </si>
  <si>
    <t>EGY</t>
  </si>
  <si>
    <t>Ethiopia</t>
  </si>
  <si>
    <t>ETH</t>
  </si>
  <si>
    <t>Low</t>
  </si>
  <si>
    <t>France</t>
  </si>
  <si>
    <t>FRA</t>
  </si>
  <si>
    <t>Europe</t>
  </si>
  <si>
    <t>Germany</t>
  </si>
  <si>
    <t>DEU</t>
  </si>
  <si>
    <t>India</t>
  </si>
  <si>
    <t>IND</t>
  </si>
  <si>
    <t>Indonesia</t>
  </si>
  <si>
    <t>IDN</t>
  </si>
  <si>
    <t>Iran</t>
  </si>
  <si>
    <t>IRN</t>
  </si>
  <si>
    <t>Iraq</t>
  </si>
  <si>
    <t>IRQ</t>
  </si>
  <si>
    <t>Italy</t>
  </si>
  <si>
    <t>ITA</t>
  </si>
  <si>
    <t>Japan</t>
  </si>
  <si>
    <t>JPN</t>
  </si>
  <si>
    <t>Kenya</t>
  </si>
  <si>
    <t>KEN</t>
  </si>
  <si>
    <t>Kuwait</t>
  </si>
  <si>
    <t>KWT</t>
  </si>
  <si>
    <t>Malaysia</t>
  </si>
  <si>
    <t>MYS</t>
  </si>
  <si>
    <t>Mexico</t>
  </si>
  <si>
    <t>MEX</t>
  </si>
  <si>
    <t>Morocco</t>
  </si>
  <si>
    <t>MAR</t>
  </si>
  <si>
    <t>Netherlands</t>
  </si>
  <si>
    <t>NLD</t>
  </si>
  <si>
    <t>New Zealand</t>
  </si>
  <si>
    <t>NZL</t>
  </si>
  <si>
    <t>Nigeria</t>
  </si>
  <si>
    <t>NGA</t>
  </si>
  <si>
    <t>Norway</t>
  </si>
  <si>
    <t>NOR</t>
  </si>
  <si>
    <t>Pakistan</t>
  </si>
  <si>
    <t>PAK</t>
  </si>
  <si>
    <t>Peru</t>
  </si>
  <si>
    <t>PER</t>
  </si>
  <si>
    <t>Philippines</t>
  </si>
  <si>
    <t>PHL</t>
  </si>
  <si>
    <t>Poland</t>
  </si>
  <si>
    <t>POL</t>
  </si>
  <si>
    <t>Qatar</t>
  </si>
  <si>
    <t>QAT</t>
  </si>
  <si>
    <t>Russia</t>
  </si>
  <si>
    <t>RUS</t>
  </si>
  <si>
    <t>Saudi Arabia</t>
  </si>
  <si>
    <t>SAU</t>
  </si>
  <si>
    <t>Singapore</t>
  </si>
  <si>
    <t>SGP</t>
  </si>
  <si>
    <t>South Africa</t>
  </si>
  <si>
    <t>ZAF</t>
  </si>
  <si>
    <t>South Korea</t>
  </si>
  <si>
    <t>KOR</t>
  </si>
  <si>
    <t>Spain</t>
  </si>
  <si>
    <t>ESP</t>
  </si>
  <si>
    <t>Sweden</t>
  </si>
  <si>
    <t>SWE</t>
  </si>
  <si>
    <t>Thailand</t>
  </si>
  <si>
    <t>THA</t>
  </si>
  <si>
    <t>Tunisia</t>
  </si>
  <si>
    <t>TUN</t>
  </si>
  <si>
    <t>Turkey</t>
  </si>
  <si>
    <t>TUR</t>
  </si>
  <si>
    <t>Ukraine</t>
  </si>
  <si>
    <t>UKR</t>
  </si>
  <si>
    <t>United Arab Emirates</t>
  </si>
  <si>
    <t>ARE</t>
  </si>
  <si>
    <t>United Kingdom</t>
  </si>
  <si>
    <t>GBR</t>
  </si>
  <si>
    <t>United States</t>
  </si>
  <si>
    <t>USA</t>
  </si>
  <si>
    <t>Venezuela</t>
  </si>
  <si>
    <t>VEN</t>
  </si>
  <si>
    <t>Vietnam</t>
  </si>
  <si>
    <t>VNM</t>
  </si>
  <si>
    <t>size</t>
  </si>
  <si>
    <t>pop_2010_millions</t>
  </si>
  <si>
    <t>gdp_pc_2010_usd</t>
  </si>
  <si>
    <t>base_total_2010_kt</t>
  </si>
  <si>
    <t>Large</t>
  </si>
  <si>
    <t>Medium</t>
  </si>
  <si>
    <t>Small</t>
  </si>
  <si>
    <t>column</t>
  </si>
  <si>
    <t>type</t>
  </si>
  <si>
    <t>description</t>
  </si>
  <si>
    <t>string</t>
  </si>
  <si>
    <t>Country name</t>
  </si>
  <si>
    <t>ISO3 country code</t>
  </si>
  <si>
    <t>World region (synthetic grouping)</t>
  </si>
  <si>
    <t>Income group (synthetic)</t>
  </si>
  <si>
    <t>int</t>
  </si>
  <si>
    <t>Year (1990–2024)</t>
  </si>
  <si>
    <t>Power, Industry, Transport, Buildings, Agriculture, Waste, LULUCF</t>
  </si>
  <si>
    <t>CO2, CH4, N2O, F-Gases</t>
  </si>
  <si>
    <t>float</t>
  </si>
  <si>
    <t>kt CO2e; LULUCF may be negative (sink)</t>
  </si>
  <si>
    <t>approx_gas_share_used</t>
  </si>
  <si>
    <t>Entity</t>
  </si>
  <si>
    <t>Year</t>
  </si>
  <si>
    <t>Global Average Tempreature</t>
  </si>
  <si>
    <t>World</t>
  </si>
  <si>
    <t>emission per capital</t>
  </si>
  <si>
    <t>Row Labels</t>
  </si>
  <si>
    <t>Grand Total</t>
  </si>
  <si>
    <t>Sum of emissions_ktco2e</t>
  </si>
  <si>
    <t>Column Labels</t>
  </si>
  <si>
    <t>(All)</t>
  </si>
  <si>
    <t>s</t>
  </si>
  <si>
    <t xml:space="preserve">ACTUAL </t>
  </si>
  <si>
    <t xml:space="preserve">REMAIN </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</si>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</sst>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orbel"/>
      <family val="2"/>
      <scheme val="minor"/>
    </font>
    <font>
      <b/>
      <sz val="11"/>
      <name val="Calibri"/>
    </font>
    <font>
      <b/>
      <sz val="11"/>
      <name val="Calibri"/>
      <family val="2"/>
    </font>
  </fonts>
  <fills count="4">
    <fill>
      <patternFill patternType="none"/>
    </fill>
    <fill>
      <patternFill patternType="gray125"/>
    </fill>
    <fill>
      <patternFill patternType="solid">
        <fgColor theme="2" tint="0.59999389629810485"/>
        <bgColor indexed="64"/>
      </patternFill>
    </fill>
    <fill>
      <patternFill patternType="solid">
        <fgColor rgb="FFF7F7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0" fontId="0" fillId="3" borderId="0" xfId="0" applyFill="1"/>
  </cellXfs>
  <cellStyles count="1">
    <cellStyle name="Normal" xfId="0" builtinId="0"/>
  </cellStyles>
  <dxfs count="21">
    <dxf>
      <font>
        <b/>
        <color theme="1"/>
      </font>
      <border>
        <bottom style="thin">
          <color theme="4"/>
        </bottom>
        <vertical/>
        <horizontal/>
      </border>
    </dxf>
    <dxf>
      <font>
        <sz val="20"/>
        <color theme="1"/>
        <name val="Abad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sz val="20"/>
      </font>
      <fill>
        <patternFill>
          <fgColor theme="2"/>
          <bgColor theme="2"/>
        </patternFill>
      </fill>
    </dxf>
    <dxf>
      <font>
        <sz val="20"/>
      </font>
    </dxf>
    <dxf>
      <font>
        <sz val="24"/>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 formatCode="0"/>
    </dxf>
    <dxf>
      <numFmt numFmtId="1" formatCode="0"/>
    </dxf>
    <dxf>
      <numFmt numFmtId="1" formatCode="0"/>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7" defaultTableStyle="TableStyleMedium9" defaultPivotStyle="PivotStyleLight16">
    <tableStyle name="Slicer Style 1" pivot="0" table="0" count="1" xr9:uid="{AF9B7711-C43B-434C-A130-6DD7DE15882E}">
      <tableStyleElement type="wholeTable" dxfId="6"/>
    </tableStyle>
    <tableStyle name="Slicer Style 2" pivot="0" table="0" count="1" xr9:uid="{69DFD545-D51C-4DB0-8A7F-CE8D2725CF8F}"/>
    <tableStyle name="Slicer Style 3" pivot="0" table="0" count="2" xr9:uid="{198BCD36-3E9F-4004-83C3-4FEF1C11EDAF}"/>
    <tableStyle name="Slicer Style 4" pivot="0" table="0" count="3" xr9:uid="{890DD81D-98A4-4818-AA3B-11DA249B75E9}">
      <tableStyleElement type="wholeTable" dxfId="5"/>
    </tableStyle>
    <tableStyle name="Slicer Style 5" pivot="0" table="0" count="3" xr9:uid="{46CC8BFF-DFD1-4952-A5F2-17688F599FFD}">
      <tableStyleElement type="wholeTable" dxfId="4"/>
    </tableStyle>
    <tableStyle name="SlicerStyleLight1 2" pivot="0" table="0" count="10" xr9:uid="{371110E4-56AD-4BFB-861D-285DB47DE5EF}">
      <tableStyleElement type="wholeTable" dxfId="3"/>
      <tableStyleElement type="headerRow" dxfId="2"/>
    </tableStyle>
    <tableStyle name="SlicerStyleLight1 2 2" pivot="0" table="0" count="10" xr9:uid="{ACAFFA95-9030-4974-A9E2-733E0A7AA6E8}">
      <tableStyleElement type="wholeTable" dxfId="1"/>
      <tableStyleElement type="headerRow" dxfId="0"/>
    </tableStyle>
  </tableStyles>
  <colors>
    <mruColors>
      <color rgb="FFF7F7F7"/>
      <color rgb="FFEEEEEE"/>
      <color rgb="FFA0C878"/>
      <color rgb="FFDDEB9D"/>
    </mruColors>
  </colors>
  <extLst>
    <ext xmlns:x14="http://schemas.microsoft.com/office/spreadsheetml/2009/9/main" uri="{46F421CA-312F-682f-3DD2-61675219B42D}">
      <x14:dxfs count="2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20"/>
          </font>
          <fill>
            <patternFill>
              <bgColor theme="2"/>
            </patternFill>
          </fill>
        </dxf>
        <dxf>
          <font>
            <sz val="20"/>
          </font>
          <fill>
            <patternFill>
              <bgColor theme="2"/>
            </patternFill>
          </fill>
        </dxf>
        <dxf>
          <font>
            <sz val="20"/>
          </font>
          <fill>
            <patternFill>
              <fgColor theme="2"/>
            </patternFill>
          </fill>
        </dxf>
        <dxf>
          <font>
            <sz val="20"/>
          </font>
          <fill>
            <patternFill>
              <fgColor theme="2"/>
            </patternFill>
          </fill>
        </dxf>
        <dxf>
          <font>
            <sz val="20"/>
          </font>
        </dxf>
        <dxf>
          <font>
            <sz val="20"/>
          </font>
        </dxf>
        <dxf>
          <font>
            <sz val="24"/>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2"/>
          </x14:slicerStyleElements>
        </x14:slicerStyle>
        <x14:slicerStyle name="Slicer Style 3">
          <x14:slicerStyleElements>
            <x14:slicerStyleElement type="selectedItemWithData" dxfId="21"/>
            <x14:slicerStyleElement type="selectedItemWithNoData" dxfId="20"/>
          </x14:slicerStyleElements>
        </x14:slicerStyle>
        <x14:slicerStyle name="Slicer Style 4">
          <x14:slicerStyleElements>
            <x14:slicerStyleElement type="selectedItemWithData" dxfId="19"/>
            <x14:slicerStyleElement type="selectedItemWithNoData" dxfId="18"/>
          </x14:slicerStyleElements>
        </x14:slicerStyle>
        <x14:slicerStyle name="Slicer Style 5">
          <x14:slicerStyleElements>
            <x14:slicerStyleElement type="selectedItemWithData" dxfId="17"/>
            <x14:slicerStyleElement type="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TOP</a:t>
            </a:r>
            <a:r>
              <a:rPr lang="en-US" sz="2400" b="1" baseline="0"/>
              <a:t> 10 COUNTRIES BY EMISSIONS </a:t>
            </a:r>
            <a:endParaRPr lang="en-US" sz="2400" b="1"/>
          </a:p>
        </c:rich>
      </c:tx>
      <c:layout>
        <c:manualLayout>
          <c:xMode val="edge"/>
          <c:yMode val="edge"/>
          <c:x val="0.19970669785802045"/>
          <c:y val="3.4016950313441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67897231616196"/>
          <c:y val="0.10201314597322733"/>
          <c:w val="0.82959566085985759"/>
          <c:h val="0.79586768669049512"/>
        </c:manualLayout>
      </c:layout>
      <c:barChart>
        <c:barDir val="col"/>
        <c:grouping val="clustered"/>
        <c:varyColors val="0"/>
        <c:ser>
          <c:idx val="0"/>
          <c:order val="0"/>
          <c:tx>
            <c:strRef>
              <c:f>'analysis '!$O$3</c:f>
              <c:strCache>
                <c:ptCount val="1"/>
                <c:pt idx="0">
                  <c:v>Total</c:v>
                </c:pt>
              </c:strCache>
            </c:strRef>
          </c:tx>
          <c:spPr>
            <a:solidFill>
              <a:schemeClr val="accent1"/>
            </a:solidFill>
            <a:ln>
              <a:noFill/>
            </a:ln>
            <a:effectLst/>
          </c:spPr>
          <c:invertIfNegative val="0"/>
          <c:cat>
            <c:strRef>
              <c:f>'analysis '!$N$4:$N$13</c:f>
              <c:strCache>
                <c:ptCount val="10"/>
                <c:pt idx="0">
                  <c:v>China</c:v>
                </c:pt>
                <c:pt idx="1">
                  <c:v>France</c:v>
                </c:pt>
                <c:pt idx="2">
                  <c:v>Russia</c:v>
                </c:pt>
                <c:pt idx="3">
                  <c:v>India</c:v>
                </c:pt>
                <c:pt idx="4">
                  <c:v>Nigeria</c:v>
                </c:pt>
                <c:pt idx="5">
                  <c:v>Spain</c:v>
                </c:pt>
                <c:pt idx="6">
                  <c:v>Mexico</c:v>
                </c:pt>
                <c:pt idx="7">
                  <c:v>Japan</c:v>
                </c:pt>
                <c:pt idx="8">
                  <c:v>South Africa</c:v>
                </c:pt>
                <c:pt idx="9">
                  <c:v>Germany</c:v>
                </c:pt>
              </c:strCache>
            </c:strRef>
          </c:cat>
          <c:val>
            <c:numRef>
              <c:f>'analysis '!$O$4:$O$13</c:f>
              <c:numCache>
                <c:formatCode>0</c:formatCode>
                <c:ptCount val="10"/>
                <c:pt idx="0">
                  <c:v>14113773.370000003</c:v>
                </c:pt>
                <c:pt idx="1">
                  <c:v>8907765.8800000008</c:v>
                </c:pt>
                <c:pt idx="2">
                  <c:v>6774335.8599999975</c:v>
                </c:pt>
                <c:pt idx="3">
                  <c:v>6164962.6799999978</c:v>
                </c:pt>
                <c:pt idx="4">
                  <c:v>5181351.0200000005</c:v>
                </c:pt>
                <c:pt idx="5">
                  <c:v>4157289.34</c:v>
                </c:pt>
                <c:pt idx="6">
                  <c:v>3792908.8200000017</c:v>
                </c:pt>
                <c:pt idx="7">
                  <c:v>3647899.38</c:v>
                </c:pt>
                <c:pt idx="8">
                  <c:v>3544053.6399999987</c:v>
                </c:pt>
                <c:pt idx="9">
                  <c:v>2535084.8000000003</c:v>
                </c:pt>
              </c:numCache>
            </c:numRef>
          </c:val>
          <c:extLst>
            <c:ext xmlns:c16="http://schemas.microsoft.com/office/drawing/2014/chart" uri="{C3380CC4-5D6E-409C-BE32-E72D297353CC}">
              <c16:uniqueId val="{00000000-6C9D-473E-A392-7BD7D0A088FB}"/>
            </c:ext>
          </c:extLst>
        </c:ser>
        <c:dLbls>
          <c:showLegendKey val="0"/>
          <c:showVal val="0"/>
          <c:showCatName val="0"/>
          <c:showSerName val="0"/>
          <c:showPercent val="0"/>
          <c:showBubbleSize val="0"/>
        </c:dLbls>
        <c:gapWidth val="219"/>
        <c:overlap val="-27"/>
        <c:axId val="669669136"/>
        <c:axId val="669670096"/>
      </c:barChart>
      <c:catAx>
        <c:axId val="66966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solidFill>
                <a:latin typeface="+mn-lt"/>
                <a:ea typeface="+mn-ea"/>
                <a:cs typeface="+mn-cs"/>
              </a:defRPr>
            </a:pPr>
            <a:endParaRPr lang="en-US"/>
          </a:p>
        </c:txPr>
        <c:crossAx val="669670096"/>
        <c:crosses val="autoZero"/>
        <c:auto val="1"/>
        <c:lblAlgn val="ctr"/>
        <c:lblOffset val="100"/>
        <c:noMultiLvlLbl val="0"/>
      </c:catAx>
      <c:valAx>
        <c:axId val="6696700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66966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GAS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EMISSONS</a:t>
            </a:r>
            <a:r>
              <a:rPr lang="en-US" sz="2000" b="1" baseline="0"/>
              <a:t> DISTRIBUTION BY GAS </a:t>
            </a:r>
            <a:endParaRPr lang="en-US" sz="2000" b="1"/>
          </a:p>
        </c:rich>
      </c:tx>
      <c:layout>
        <c:manualLayout>
          <c:xMode val="edge"/>
          <c:yMode val="edge"/>
          <c:x val="0.25179000519207168"/>
          <c:y val="4.68889028365940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 '!$W$2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F0-4DFE-A228-F15DBC482A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F0-4DFE-A228-F15DBC482A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F0-4DFE-A228-F15DBC482A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F0-4DFE-A228-F15DBC482AC6}"/>
              </c:ext>
            </c:extLst>
          </c:dPt>
          <c:cat>
            <c:strRef>
              <c:f>'analysis '!$V$3:$V$7</c:f>
              <c:strCache>
                <c:ptCount val="4"/>
                <c:pt idx="0">
                  <c:v>CO2</c:v>
                </c:pt>
                <c:pt idx="1">
                  <c:v>CH4</c:v>
                </c:pt>
                <c:pt idx="2">
                  <c:v>N2O</c:v>
                </c:pt>
                <c:pt idx="3">
                  <c:v>F-Gases</c:v>
                </c:pt>
              </c:strCache>
            </c:strRef>
          </c:cat>
          <c:val>
            <c:numRef>
              <c:f>'analysis '!$W$3:$W$7</c:f>
              <c:numCache>
                <c:formatCode>0</c:formatCode>
                <c:ptCount val="4"/>
                <c:pt idx="0">
                  <c:v>68794013.119999871</c:v>
                </c:pt>
                <c:pt idx="1">
                  <c:v>27729733.63000001</c:v>
                </c:pt>
                <c:pt idx="2">
                  <c:v>7010999.4600000121</c:v>
                </c:pt>
                <c:pt idx="3">
                  <c:v>1025192.1999999997</c:v>
                </c:pt>
              </c:numCache>
            </c:numRef>
          </c:val>
          <c:extLst>
            <c:ext xmlns:c16="http://schemas.microsoft.com/office/drawing/2014/chart" uri="{C3380CC4-5D6E-409C-BE32-E72D297353CC}">
              <c16:uniqueId val="{00000008-75F0-4DFE-A228-F15DBC482A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GROUP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EMISSIONS</a:t>
            </a:r>
            <a:r>
              <a:rPr lang="en-US" sz="2000" b="1" baseline="0"/>
              <a:t> DISTRBUTION BY INCOME    GROUP </a:t>
            </a:r>
            <a:endParaRPr lang="en-US"/>
          </a:p>
        </c:rich>
      </c:tx>
      <c:layout>
        <c:manualLayout>
          <c:xMode val="edge"/>
          <c:yMode val="edge"/>
          <c:x val="0.1274901916557305"/>
          <c:y val="3.3071678631822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'analysis '!$Z$2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65-45FE-A80D-DD59AE2C4B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65-45FE-A80D-DD59AE2C4B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65-45FE-A80D-DD59AE2C4B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65-45FE-A80D-DD59AE2C4B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'!$Y$3:$Y$7</c:f>
              <c:strCache>
                <c:ptCount val="4"/>
                <c:pt idx="0">
                  <c:v>High</c:v>
                </c:pt>
                <c:pt idx="1">
                  <c:v>Upper-middle</c:v>
                </c:pt>
                <c:pt idx="2">
                  <c:v>Lower-middle</c:v>
                </c:pt>
                <c:pt idx="3">
                  <c:v>Low</c:v>
                </c:pt>
              </c:strCache>
            </c:strRef>
          </c:cat>
          <c:val>
            <c:numRef>
              <c:f>'analysis '!$Z$3:$Z$7</c:f>
              <c:numCache>
                <c:formatCode>0</c:formatCode>
                <c:ptCount val="4"/>
                <c:pt idx="0">
                  <c:v>43116609.669999927</c:v>
                </c:pt>
                <c:pt idx="1">
                  <c:v>39374408.62000002</c:v>
                </c:pt>
                <c:pt idx="2">
                  <c:v>21314447.419999987</c:v>
                </c:pt>
                <c:pt idx="3">
                  <c:v>754472.70000000007</c:v>
                </c:pt>
              </c:numCache>
            </c:numRef>
          </c:val>
          <c:extLst>
            <c:ext xmlns:c16="http://schemas.microsoft.com/office/drawing/2014/chart" uri="{C3380CC4-5D6E-409C-BE32-E72D297353CC}">
              <c16:uniqueId val="{00000008-1E65-45FE-A80D-DD59AE2C4B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SECTORS </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'!$T$2</c:f>
              <c:strCache>
                <c:ptCount val="1"/>
                <c:pt idx="0">
                  <c:v>Total</c:v>
                </c:pt>
              </c:strCache>
            </c:strRef>
          </c:tx>
          <c:spPr>
            <a:solidFill>
              <a:schemeClr val="accent1"/>
            </a:solidFill>
            <a:ln>
              <a:noFill/>
            </a:ln>
            <a:effectLst/>
          </c:spPr>
          <c:invertIfNegative val="0"/>
          <c:cat>
            <c:strRef>
              <c:f>'analysis '!$S$3:$S$9</c:f>
              <c:strCache>
                <c:ptCount val="7"/>
                <c:pt idx="0">
                  <c:v>Power</c:v>
                </c:pt>
                <c:pt idx="1">
                  <c:v>Transport</c:v>
                </c:pt>
                <c:pt idx="2">
                  <c:v>Agriculture</c:v>
                </c:pt>
                <c:pt idx="3">
                  <c:v>Industry</c:v>
                </c:pt>
                <c:pt idx="4">
                  <c:v>Waste</c:v>
                </c:pt>
                <c:pt idx="5">
                  <c:v>Buildings</c:v>
                </c:pt>
                <c:pt idx="6">
                  <c:v>LULUCF</c:v>
                </c:pt>
              </c:strCache>
            </c:strRef>
          </c:cat>
          <c:val>
            <c:numRef>
              <c:f>'analysis '!$T$3:$T$9</c:f>
              <c:numCache>
                <c:formatCode>0</c:formatCode>
                <c:ptCount val="7"/>
                <c:pt idx="0">
                  <c:v>21491509.590000018</c:v>
                </c:pt>
                <c:pt idx="1">
                  <c:v>21091704.260000005</c:v>
                </c:pt>
                <c:pt idx="2">
                  <c:v>19721524.369999997</c:v>
                </c:pt>
                <c:pt idx="3">
                  <c:v>19668738.540000007</c:v>
                </c:pt>
                <c:pt idx="4">
                  <c:v>14069877.549999999</c:v>
                </c:pt>
                <c:pt idx="5">
                  <c:v>11490235.059999997</c:v>
                </c:pt>
                <c:pt idx="6">
                  <c:v>-2973650.9600000028</c:v>
                </c:pt>
              </c:numCache>
            </c:numRef>
          </c:val>
          <c:extLst>
            <c:ext xmlns:c16="http://schemas.microsoft.com/office/drawing/2014/chart" uri="{C3380CC4-5D6E-409C-BE32-E72D297353CC}">
              <c16:uniqueId val="{00000000-B349-4E98-9BE0-220A181299BD}"/>
            </c:ext>
          </c:extLst>
        </c:ser>
        <c:dLbls>
          <c:showLegendKey val="0"/>
          <c:showVal val="0"/>
          <c:showCatName val="0"/>
          <c:showSerName val="0"/>
          <c:showPercent val="0"/>
          <c:showBubbleSize val="0"/>
        </c:dLbls>
        <c:gapWidth val="219"/>
        <c:axId val="667949568"/>
        <c:axId val="667960128"/>
      </c:barChart>
      <c:catAx>
        <c:axId val="66794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67960128"/>
        <c:crosses val="autoZero"/>
        <c:auto val="1"/>
        <c:lblAlgn val="ctr"/>
        <c:lblOffset val="100"/>
        <c:noMultiLvlLbl val="0"/>
      </c:catAx>
      <c:valAx>
        <c:axId val="6679601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6794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t>Contribution of Each Sector in the Top 10 Emitting Countries</a:t>
            </a:r>
            <a:endParaRPr lang="en-US" sz="2000" b="1"/>
          </a:p>
        </c:rich>
      </c:tx>
      <c:layout>
        <c:manualLayout>
          <c:xMode val="edge"/>
          <c:yMode val="edge"/>
          <c:x val="0.23391316528152861"/>
          <c:y val="5.0507259921495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Agriculture</c:v>
          </c:tx>
          <c:spPr>
            <a:solidFill>
              <a:schemeClr val="accent1"/>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4308887.5900000008</c:v>
              </c:pt>
              <c:pt idx="1">
                <c:v>232720.35</c:v>
              </c:pt>
              <c:pt idx="2">
                <c:v>314750.40000000002</c:v>
              </c:pt>
              <c:pt idx="3">
                <c:v>1362993.4299999997</c:v>
              </c:pt>
              <c:pt idx="4">
                <c:v>474120.32000000007</c:v>
              </c:pt>
              <c:pt idx="5">
                <c:v>318918.02</c:v>
              </c:pt>
              <c:pt idx="6">
                <c:v>732601.14999999991</c:v>
              </c:pt>
              <c:pt idx="7">
                <c:v>3399965.9799999995</c:v>
              </c:pt>
              <c:pt idx="8">
                <c:v>40529.020000000004</c:v>
              </c:pt>
              <c:pt idx="9">
                <c:v>586532.59</c:v>
              </c:pt>
            </c:numLit>
          </c:val>
          <c:extLst>
            <c:ext xmlns:c16="http://schemas.microsoft.com/office/drawing/2014/chart" uri="{C3380CC4-5D6E-409C-BE32-E72D297353CC}">
              <c16:uniqueId val="{00000000-8216-41A2-BE8D-8BB53362BD43}"/>
            </c:ext>
          </c:extLst>
        </c:ser>
        <c:ser>
          <c:idx val="1"/>
          <c:order val="1"/>
          <c:tx>
            <c:v>Buildings</c:v>
          </c:tx>
          <c:spPr>
            <a:solidFill>
              <a:schemeClr val="accent2"/>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1714254.6</c:v>
              </c:pt>
              <c:pt idx="1">
                <c:v>75042.859999999986</c:v>
              </c:pt>
              <c:pt idx="2">
                <c:v>232264.02000000002</c:v>
              </c:pt>
              <c:pt idx="3">
                <c:v>304137.93</c:v>
              </c:pt>
              <c:pt idx="4">
                <c:v>1277613.1099999999</c:v>
              </c:pt>
              <c:pt idx="5">
                <c:v>920918.13000000012</c:v>
              </c:pt>
              <c:pt idx="6">
                <c:v>541751.11</c:v>
              </c:pt>
              <c:pt idx="7">
                <c:v>634851.5</c:v>
              </c:pt>
              <c:pt idx="8">
                <c:v>60130.07</c:v>
              </c:pt>
              <c:pt idx="9">
                <c:v>105712.72</c:v>
              </c:pt>
            </c:numLit>
          </c:val>
          <c:extLst>
            <c:ext xmlns:c16="http://schemas.microsoft.com/office/drawing/2014/chart" uri="{C3380CC4-5D6E-409C-BE32-E72D297353CC}">
              <c16:uniqueId val="{00000001-8216-41A2-BE8D-8BB53362BD43}"/>
            </c:ext>
          </c:extLst>
        </c:ser>
        <c:ser>
          <c:idx val="2"/>
          <c:order val="2"/>
          <c:tx>
            <c:v>Industry</c:v>
          </c:tx>
          <c:spPr>
            <a:solidFill>
              <a:schemeClr val="accent3"/>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1578898.4899999998</c:v>
              </c:pt>
              <c:pt idx="1">
                <c:v>3272761.3700000006</c:v>
              </c:pt>
              <c:pt idx="2">
                <c:v>367395.86000000004</c:v>
              </c:pt>
              <c:pt idx="3">
                <c:v>146927.31999999995</c:v>
              </c:pt>
              <c:pt idx="4">
                <c:v>762435.03999999992</c:v>
              </c:pt>
              <c:pt idx="5">
                <c:v>1366412.9899999998</c:v>
              </c:pt>
              <c:pt idx="6">
                <c:v>2709151.8800000004</c:v>
              </c:pt>
              <c:pt idx="7">
                <c:v>282090.48</c:v>
              </c:pt>
              <c:pt idx="8">
                <c:v>127718.54</c:v>
              </c:pt>
              <c:pt idx="9">
                <c:v>516048.58</c:v>
              </c:pt>
            </c:numLit>
          </c:val>
          <c:extLst>
            <c:ext xmlns:c16="http://schemas.microsoft.com/office/drawing/2014/chart" uri="{C3380CC4-5D6E-409C-BE32-E72D297353CC}">
              <c16:uniqueId val="{00000002-8216-41A2-BE8D-8BB53362BD43}"/>
            </c:ext>
          </c:extLst>
        </c:ser>
        <c:ser>
          <c:idx val="3"/>
          <c:order val="3"/>
          <c:tx>
            <c:v>LULUCF</c:v>
          </c:tx>
          <c:spPr>
            <a:solidFill>
              <a:schemeClr val="accent4"/>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512729.17999999993</c:v>
              </c:pt>
              <c:pt idx="1">
                <c:v>214355.07</c:v>
              </c:pt>
              <c:pt idx="2">
                <c:v>-100930.67000000001</c:v>
              </c:pt>
              <c:pt idx="3">
                <c:v>-879262.23000000021</c:v>
              </c:pt>
              <c:pt idx="4">
                <c:v>-811760.23</c:v>
              </c:pt>
              <c:pt idx="5">
                <c:v>-39488.229999999996</c:v>
              </c:pt>
              <c:pt idx="6">
                <c:v>9679.630000000001</c:v>
              </c:pt>
              <c:pt idx="7">
                <c:v>-1004312.18</c:v>
              </c:pt>
              <c:pt idx="8">
                <c:v>72061.25</c:v>
              </c:pt>
              <c:pt idx="9">
                <c:v>79211.740000000005</c:v>
              </c:pt>
            </c:numLit>
          </c:val>
          <c:extLst>
            <c:ext xmlns:c16="http://schemas.microsoft.com/office/drawing/2014/chart" uri="{C3380CC4-5D6E-409C-BE32-E72D297353CC}">
              <c16:uniqueId val="{00000003-8216-41A2-BE8D-8BB53362BD43}"/>
            </c:ext>
          </c:extLst>
        </c:ser>
        <c:ser>
          <c:idx val="4"/>
          <c:order val="4"/>
          <c:tx>
            <c:v>Power</c:v>
          </c:tx>
          <c:spPr>
            <a:solidFill>
              <a:schemeClr val="accent5"/>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1307833.8999999999</c:v>
              </c:pt>
              <c:pt idx="1">
                <c:v>3603551.47</c:v>
              </c:pt>
              <c:pt idx="2">
                <c:v>1029092.1499999999</c:v>
              </c:pt>
              <c:pt idx="3">
                <c:v>1333548.2300000002</c:v>
              </c:pt>
              <c:pt idx="4">
                <c:v>626274.31999999995</c:v>
              </c:pt>
              <c:pt idx="5">
                <c:v>381147.85</c:v>
              </c:pt>
              <c:pt idx="6">
                <c:v>152644.29999999999</c:v>
              </c:pt>
              <c:pt idx="7">
                <c:v>1555770.24</c:v>
              </c:pt>
              <c:pt idx="8">
                <c:v>1546520.1</c:v>
              </c:pt>
              <c:pt idx="9">
                <c:v>104613.68</c:v>
              </c:pt>
            </c:numLit>
          </c:val>
          <c:extLst>
            <c:ext xmlns:c16="http://schemas.microsoft.com/office/drawing/2014/chart" uri="{C3380CC4-5D6E-409C-BE32-E72D297353CC}">
              <c16:uniqueId val="{00000004-8216-41A2-BE8D-8BB53362BD43}"/>
            </c:ext>
          </c:extLst>
        </c:ser>
        <c:ser>
          <c:idx val="5"/>
          <c:order val="5"/>
          <c:tx>
            <c:v>Transport</c:v>
          </c:tx>
          <c:spPr>
            <a:solidFill>
              <a:schemeClr val="accent6"/>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1494540.33</c:v>
              </c:pt>
              <c:pt idx="1">
                <c:v>1255549.8399999999</c:v>
              </c:pt>
              <c:pt idx="2">
                <c:v>371776.49999999994</c:v>
              </c:pt>
              <c:pt idx="3">
                <c:v>2500045.44</c:v>
              </c:pt>
              <c:pt idx="4">
                <c:v>617952.94000000006</c:v>
              </c:pt>
              <c:pt idx="5">
                <c:v>337063.04000000004</c:v>
              </c:pt>
              <c:pt idx="6">
                <c:v>910292.38000000012</c:v>
              </c:pt>
              <c:pt idx="7">
                <c:v>416866.4</c:v>
              </c:pt>
              <c:pt idx="8">
                <c:v>778500.25</c:v>
              </c:pt>
              <c:pt idx="9">
                <c:v>2161872.08</c:v>
              </c:pt>
            </c:numLit>
          </c:val>
          <c:extLst>
            <c:ext xmlns:c16="http://schemas.microsoft.com/office/drawing/2014/chart" uri="{C3380CC4-5D6E-409C-BE32-E72D297353CC}">
              <c16:uniqueId val="{00000005-8216-41A2-BE8D-8BB53362BD43}"/>
            </c:ext>
          </c:extLst>
        </c:ser>
        <c:ser>
          <c:idx val="6"/>
          <c:order val="6"/>
          <c:tx>
            <c:v>Waste</c:v>
          </c:tx>
          <c:spPr>
            <a:solidFill>
              <a:schemeClr val="accent1">
                <a:lumMod val="60000"/>
              </a:schemeClr>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3196629.28</c:v>
              </c:pt>
              <c:pt idx="1">
                <c:v>253784.92</c:v>
              </c:pt>
              <c:pt idx="2">
                <c:v>320736.53999999998</c:v>
              </c:pt>
              <c:pt idx="3">
                <c:v>1396572.56</c:v>
              </c:pt>
              <c:pt idx="4">
                <c:v>701263.88</c:v>
              </c:pt>
              <c:pt idx="5">
                <c:v>507937.01999999996</c:v>
              </c:pt>
              <c:pt idx="6">
                <c:v>125230.57</c:v>
              </c:pt>
              <c:pt idx="7">
                <c:v>1489103.4400000002</c:v>
              </c:pt>
              <c:pt idx="8">
                <c:v>918594.41</c:v>
              </c:pt>
              <c:pt idx="9">
                <c:v>603297.95000000007</c:v>
              </c:pt>
            </c:numLit>
          </c:val>
          <c:extLst>
            <c:ext xmlns:c16="http://schemas.microsoft.com/office/drawing/2014/chart" uri="{C3380CC4-5D6E-409C-BE32-E72D297353CC}">
              <c16:uniqueId val="{00000006-8216-41A2-BE8D-8BB53362BD43}"/>
            </c:ext>
          </c:extLst>
        </c:ser>
        <c:dLbls>
          <c:showLegendKey val="0"/>
          <c:showVal val="0"/>
          <c:showCatName val="0"/>
          <c:showSerName val="0"/>
          <c:showPercent val="0"/>
          <c:showBubbleSize val="0"/>
        </c:dLbls>
        <c:gapWidth val="150"/>
        <c:overlap val="100"/>
        <c:axId val="72860080"/>
        <c:axId val="72860560"/>
      </c:barChart>
      <c:catAx>
        <c:axId val="728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860560"/>
        <c:crosses val="autoZero"/>
        <c:auto val="1"/>
        <c:lblAlgn val="ctr"/>
        <c:lblOffset val="100"/>
        <c:noMultiLvlLbl val="0"/>
      </c:catAx>
      <c:valAx>
        <c:axId val="72860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28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REGION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EMISSIONS DISTRUBUTION BY REGION</a:t>
            </a:r>
          </a:p>
        </c:rich>
      </c:tx>
      <c:layout>
        <c:manualLayout>
          <c:xMode val="edge"/>
          <c:yMode val="edge"/>
          <c:x val="0.22939458589273529"/>
          <c:y val="3.6386412108563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'!$AC$2</c:f>
              <c:strCache>
                <c:ptCount val="1"/>
                <c:pt idx="0">
                  <c:v>Total</c:v>
                </c:pt>
              </c:strCache>
            </c:strRef>
          </c:tx>
          <c:spPr>
            <a:solidFill>
              <a:schemeClr val="accent1"/>
            </a:solidFill>
            <a:ln>
              <a:noFill/>
            </a:ln>
            <a:effectLst/>
          </c:spPr>
          <c:invertIfNegative val="0"/>
          <c:cat>
            <c:strRef>
              <c:f>'analysis '!$AB$3:$AB$8</c:f>
              <c:strCache>
                <c:ptCount val="5"/>
                <c:pt idx="0">
                  <c:v>Asia</c:v>
                </c:pt>
                <c:pt idx="1">
                  <c:v>Europe</c:v>
                </c:pt>
                <c:pt idx="2">
                  <c:v>Africa</c:v>
                </c:pt>
                <c:pt idx="3">
                  <c:v>Americas</c:v>
                </c:pt>
                <c:pt idx="4">
                  <c:v>Oceania</c:v>
                </c:pt>
              </c:strCache>
            </c:strRef>
          </c:cat>
          <c:val>
            <c:numRef>
              <c:f>'analysis '!$AC$3:$AC$8</c:f>
              <c:numCache>
                <c:formatCode>0</c:formatCode>
                <c:ptCount val="5"/>
                <c:pt idx="0">
                  <c:v>43119444.310000025</c:v>
                </c:pt>
                <c:pt idx="1">
                  <c:v>32833612.79000001</c:v>
                </c:pt>
                <c:pt idx="2">
                  <c:v>14119145.480000006</c:v>
                </c:pt>
                <c:pt idx="3">
                  <c:v>12146038.85999999</c:v>
                </c:pt>
                <c:pt idx="4">
                  <c:v>2341696.9700000011</c:v>
                </c:pt>
              </c:numCache>
            </c:numRef>
          </c:val>
          <c:extLst>
            <c:ext xmlns:c16="http://schemas.microsoft.com/office/drawing/2014/chart" uri="{C3380CC4-5D6E-409C-BE32-E72D297353CC}">
              <c16:uniqueId val="{00000000-3568-47BE-85DF-A05D34D05DA1}"/>
            </c:ext>
          </c:extLst>
        </c:ser>
        <c:dLbls>
          <c:showLegendKey val="0"/>
          <c:showVal val="0"/>
          <c:showCatName val="0"/>
          <c:showSerName val="0"/>
          <c:showPercent val="0"/>
          <c:showBubbleSize val="0"/>
        </c:dLbls>
        <c:gapWidth val="219"/>
        <c:overlap val="-27"/>
        <c:axId val="439561808"/>
        <c:axId val="439557488"/>
      </c:barChart>
      <c:catAx>
        <c:axId val="439561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39557488"/>
        <c:crosses val="autoZero"/>
        <c:auto val="1"/>
        <c:lblAlgn val="ctr"/>
        <c:lblOffset val="100"/>
        <c:noMultiLvlLbl val="0"/>
      </c:catAx>
      <c:valAx>
        <c:axId val="43955748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395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t>Contribution of Each Sector within Income Groups</a:t>
            </a:r>
            <a:endParaRPr lang="en-US" sz="2000" b="1"/>
          </a:p>
        </c:rich>
      </c:tx>
      <c:layout>
        <c:manualLayout>
          <c:xMode val="edge"/>
          <c:yMode val="edge"/>
          <c:x val="0.258053480685218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90620162622215E-2"/>
          <c:y val="3.1474845470224506E-2"/>
          <c:w val="0.8107369608890912"/>
          <c:h val="0.93438400598765869"/>
        </c:manualLayout>
      </c:layout>
      <c:barChart>
        <c:barDir val="bar"/>
        <c:grouping val="stacked"/>
        <c:varyColors val="0"/>
        <c:ser>
          <c:idx val="0"/>
          <c:order val="0"/>
          <c:tx>
            <c:v>Agriculture</c:v>
          </c:tx>
          <c:spPr>
            <a:solidFill>
              <a:schemeClr val="accent1"/>
            </a:solidFill>
            <a:ln>
              <a:noFill/>
            </a:ln>
            <a:effectLst/>
          </c:spPr>
          <c:invertIfNegative val="0"/>
          <c:cat>
            <c:strLit>
              <c:ptCount val="4"/>
              <c:pt idx="0">
                <c:v>High</c:v>
              </c:pt>
              <c:pt idx="1">
                <c:v>Low</c:v>
              </c:pt>
              <c:pt idx="2">
                <c:v>Lower-middle</c:v>
              </c:pt>
              <c:pt idx="3">
                <c:v>Upper-middle</c:v>
              </c:pt>
            </c:strLit>
          </c:cat>
          <c:val>
            <c:numLit>
              <c:formatCode>General</c:formatCode>
              <c:ptCount val="4"/>
              <c:pt idx="0">
                <c:v>5764620.6399999987</c:v>
              </c:pt>
              <c:pt idx="1">
                <c:v>213850.34000000003</c:v>
              </c:pt>
              <c:pt idx="2">
                <c:v>3255623.9699999997</c:v>
              </c:pt>
              <c:pt idx="3">
                <c:v>10487429.419999996</c:v>
              </c:pt>
            </c:numLit>
          </c:val>
          <c:extLst>
            <c:ext xmlns:c16="http://schemas.microsoft.com/office/drawing/2014/chart" uri="{C3380CC4-5D6E-409C-BE32-E72D297353CC}">
              <c16:uniqueId val="{00000000-2375-4B6B-951B-1E90932A4B25}"/>
            </c:ext>
          </c:extLst>
        </c:ser>
        <c:ser>
          <c:idx val="1"/>
          <c:order val="1"/>
          <c:tx>
            <c:v>Buildings</c:v>
          </c:tx>
          <c:spPr>
            <a:solidFill>
              <a:schemeClr val="accent2"/>
            </a:solidFill>
            <a:ln>
              <a:noFill/>
            </a:ln>
            <a:effectLst/>
          </c:spPr>
          <c:invertIfNegative val="0"/>
          <c:cat>
            <c:strLit>
              <c:ptCount val="4"/>
              <c:pt idx="0">
                <c:v>High</c:v>
              </c:pt>
              <c:pt idx="1">
                <c:v>Low</c:v>
              </c:pt>
              <c:pt idx="2">
                <c:v>Lower-middle</c:v>
              </c:pt>
              <c:pt idx="3">
                <c:v>Upper-middle</c:v>
              </c:pt>
            </c:strLit>
          </c:cat>
          <c:val>
            <c:numLit>
              <c:formatCode>General</c:formatCode>
              <c:ptCount val="4"/>
              <c:pt idx="0">
                <c:v>4769798.8099999996</c:v>
              </c:pt>
              <c:pt idx="1">
                <c:v>87679.33</c:v>
              </c:pt>
              <c:pt idx="2">
                <c:v>1591538.72</c:v>
              </c:pt>
              <c:pt idx="3">
                <c:v>5041218.200000003</c:v>
              </c:pt>
            </c:numLit>
          </c:val>
          <c:extLst>
            <c:ext xmlns:c16="http://schemas.microsoft.com/office/drawing/2014/chart" uri="{C3380CC4-5D6E-409C-BE32-E72D297353CC}">
              <c16:uniqueId val="{00000001-2375-4B6B-951B-1E90932A4B25}"/>
            </c:ext>
          </c:extLst>
        </c:ser>
        <c:ser>
          <c:idx val="2"/>
          <c:order val="2"/>
          <c:tx>
            <c:v>Industry</c:v>
          </c:tx>
          <c:spPr>
            <a:solidFill>
              <a:schemeClr val="accent3"/>
            </a:solidFill>
            <a:ln>
              <a:noFill/>
            </a:ln>
            <a:effectLst/>
          </c:spPr>
          <c:invertIfNegative val="0"/>
          <c:cat>
            <c:strLit>
              <c:ptCount val="4"/>
              <c:pt idx="0">
                <c:v>High</c:v>
              </c:pt>
              <c:pt idx="1">
                <c:v>Low</c:v>
              </c:pt>
              <c:pt idx="2">
                <c:v>Lower-middle</c:v>
              </c:pt>
              <c:pt idx="3">
                <c:v>Upper-middle</c:v>
              </c:pt>
            </c:strLit>
          </c:cat>
          <c:val>
            <c:numLit>
              <c:formatCode>General</c:formatCode>
              <c:ptCount val="4"/>
              <c:pt idx="0">
                <c:v>8801779.8400000092</c:v>
              </c:pt>
              <c:pt idx="1">
                <c:v>52415.12</c:v>
              </c:pt>
              <c:pt idx="2">
                <c:v>5253932.22</c:v>
              </c:pt>
              <c:pt idx="3">
                <c:v>5560611.3599999975</c:v>
              </c:pt>
            </c:numLit>
          </c:val>
          <c:extLst>
            <c:ext xmlns:c16="http://schemas.microsoft.com/office/drawing/2014/chart" uri="{C3380CC4-5D6E-409C-BE32-E72D297353CC}">
              <c16:uniqueId val="{00000002-2375-4B6B-951B-1E90932A4B25}"/>
            </c:ext>
          </c:extLst>
        </c:ser>
        <c:ser>
          <c:idx val="3"/>
          <c:order val="3"/>
          <c:tx>
            <c:v>LULUCF</c:v>
          </c:tx>
          <c:spPr>
            <a:solidFill>
              <a:schemeClr val="accent4"/>
            </a:solidFill>
            <a:ln>
              <a:noFill/>
            </a:ln>
            <a:effectLst/>
          </c:spPr>
          <c:invertIfNegative val="0"/>
          <c:cat>
            <c:strLit>
              <c:ptCount val="4"/>
              <c:pt idx="0">
                <c:v>High</c:v>
              </c:pt>
              <c:pt idx="1">
                <c:v>Low</c:v>
              </c:pt>
              <c:pt idx="2">
                <c:v>Lower-middle</c:v>
              </c:pt>
              <c:pt idx="3">
                <c:v>Upper-middle</c:v>
              </c:pt>
            </c:strLit>
          </c:cat>
          <c:val>
            <c:numLit>
              <c:formatCode>General</c:formatCode>
              <c:ptCount val="4"/>
              <c:pt idx="0">
                <c:v>-1246689.6499999992</c:v>
              </c:pt>
              <c:pt idx="1">
                <c:v>74007.260000000009</c:v>
              </c:pt>
              <c:pt idx="2">
                <c:v>-617581.32000000018</c:v>
              </c:pt>
              <c:pt idx="3">
                <c:v>-1183387.2499999998</c:v>
              </c:pt>
            </c:numLit>
          </c:val>
          <c:extLst>
            <c:ext xmlns:c16="http://schemas.microsoft.com/office/drawing/2014/chart" uri="{C3380CC4-5D6E-409C-BE32-E72D297353CC}">
              <c16:uniqueId val="{00000003-2375-4B6B-951B-1E90932A4B25}"/>
            </c:ext>
          </c:extLst>
        </c:ser>
        <c:ser>
          <c:idx val="4"/>
          <c:order val="4"/>
          <c:tx>
            <c:v>Power</c:v>
          </c:tx>
          <c:spPr>
            <a:solidFill>
              <a:schemeClr val="accent5"/>
            </a:solidFill>
            <a:ln>
              <a:noFill/>
            </a:ln>
            <a:effectLst/>
          </c:spPr>
          <c:invertIfNegative val="0"/>
          <c:cat>
            <c:strLit>
              <c:ptCount val="4"/>
              <c:pt idx="0">
                <c:v>High</c:v>
              </c:pt>
              <c:pt idx="1">
                <c:v>Low</c:v>
              </c:pt>
              <c:pt idx="2">
                <c:v>Lower-middle</c:v>
              </c:pt>
              <c:pt idx="3">
                <c:v>Upper-middle</c:v>
              </c:pt>
            </c:strLit>
          </c:cat>
          <c:val>
            <c:numLit>
              <c:formatCode>General</c:formatCode>
              <c:ptCount val="4"/>
              <c:pt idx="0">
                <c:v>10727262.009999992</c:v>
              </c:pt>
              <c:pt idx="1">
                <c:v>130966.12999999999</c:v>
              </c:pt>
              <c:pt idx="2">
                <c:v>3952948.7500000014</c:v>
              </c:pt>
              <c:pt idx="3">
                <c:v>6680332.6999999983</c:v>
              </c:pt>
            </c:numLit>
          </c:val>
          <c:extLst>
            <c:ext xmlns:c16="http://schemas.microsoft.com/office/drawing/2014/chart" uri="{C3380CC4-5D6E-409C-BE32-E72D297353CC}">
              <c16:uniqueId val="{00000004-2375-4B6B-951B-1E90932A4B25}"/>
            </c:ext>
          </c:extLst>
        </c:ser>
        <c:ser>
          <c:idx val="5"/>
          <c:order val="5"/>
          <c:tx>
            <c:v>Transport</c:v>
          </c:tx>
          <c:spPr>
            <a:solidFill>
              <a:schemeClr val="accent6"/>
            </a:solidFill>
            <a:ln>
              <a:noFill/>
            </a:ln>
            <a:effectLst/>
          </c:spPr>
          <c:invertIfNegative val="0"/>
          <c:cat>
            <c:strLit>
              <c:ptCount val="4"/>
              <c:pt idx="0">
                <c:v>High</c:v>
              </c:pt>
              <c:pt idx="1">
                <c:v>Low</c:v>
              </c:pt>
              <c:pt idx="2">
                <c:v>Lower-middle</c:v>
              </c:pt>
              <c:pt idx="3">
                <c:v>Upper-middle</c:v>
              </c:pt>
            </c:strLit>
          </c:cat>
          <c:val>
            <c:numLit>
              <c:formatCode>General</c:formatCode>
              <c:ptCount val="4"/>
              <c:pt idx="0">
                <c:v>10929061.879999999</c:v>
              </c:pt>
              <c:pt idx="1">
                <c:v>131841.13999999998</c:v>
              </c:pt>
              <c:pt idx="2">
                <c:v>5474495.7100000028</c:v>
              </c:pt>
              <c:pt idx="3">
                <c:v>4556305.5299999993</c:v>
              </c:pt>
            </c:numLit>
          </c:val>
          <c:extLst>
            <c:ext xmlns:c16="http://schemas.microsoft.com/office/drawing/2014/chart" uri="{C3380CC4-5D6E-409C-BE32-E72D297353CC}">
              <c16:uniqueId val="{00000005-2375-4B6B-951B-1E90932A4B25}"/>
            </c:ext>
          </c:extLst>
        </c:ser>
        <c:ser>
          <c:idx val="6"/>
          <c:order val="6"/>
          <c:tx>
            <c:v>Waste</c:v>
          </c:tx>
          <c:spPr>
            <a:solidFill>
              <a:schemeClr val="accent1">
                <a:lumMod val="60000"/>
              </a:schemeClr>
            </a:solidFill>
            <a:ln>
              <a:noFill/>
            </a:ln>
            <a:effectLst/>
          </c:spPr>
          <c:invertIfNegative val="0"/>
          <c:cat>
            <c:strLit>
              <c:ptCount val="4"/>
              <c:pt idx="0">
                <c:v>High</c:v>
              </c:pt>
              <c:pt idx="1">
                <c:v>Low</c:v>
              </c:pt>
              <c:pt idx="2">
                <c:v>Lower-middle</c:v>
              </c:pt>
              <c:pt idx="3">
                <c:v>Upper-middle</c:v>
              </c:pt>
            </c:strLit>
          </c:cat>
          <c:val>
            <c:numLit>
              <c:formatCode>General</c:formatCode>
              <c:ptCount val="4"/>
              <c:pt idx="0">
                <c:v>3370776.1400000006</c:v>
              </c:pt>
              <c:pt idx="1">
                <c:v>63713.37999999999</c:v>
              </c:pt>
              <c:pt idx="2">
                <c:v>2403489.3700000015</c:v>
              </c:pt>
              <c:pt idx="3">
                <c:v>8231898.6599999983</c:v>
              </c:pt>
            </c:numLit>
          </c:val>
          <c:extLst>
            <c:ext xmlns:c16="http://schemas.microsoft.com/office/drawing/2014/chart" uri="{C3380CC4-5D6E-409C-BE32-E72D297353CC}">
              <c16:uniqueId val="{00000006-2375-4B6B-951B-1E90932A4B25}"/>
            </c:ext>
          </c:extLst>
        </c:ser>
        <c:dLbls>
          <c:showLegendKey val="0"/>
          <c:showVal val="0"/>
          <c:showCatName val="0"/>
          <c:showSerName val="0"/>
          <c:showPercent val="0"/>
          <c:showBubbleSize val="0"/>
        </c:dLbls>
        <c:gapWidth val="150"/>
        <c:overlap val="100"/>
        <c:axId val="438787984"/>
        <c:axId val="290739936"/>
      </c:barChart>
      <c:catAx>
        <c:axId val="43878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90739936"/>
        <c:crosses val="autoZero"/>
        <c:auto val="1"/>
        <c:lblAlgn val="ctr"/>
        <c:lblOffset val="100"/>
        <c:noMultiLvlLbl val="0"/>
      </c:catAx>
      <c:valAx>
        <c:axId val="290739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3878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t>Contribution of Different Gases Across Sectors</a:t>
            </a:r>
            <a:endParaRPr lang="en-US" sz="2000" b="1"/>
          </a:p>
        </c:rich>
      </c:tx>
      <c:layout>
        <c:manualLayout>
          <c:xMode val="edge"/>
          <c:yMode val="edge"/>
          <c:x val="0.24713582509328927"/>
          <c:y val="2.4021235961492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8265351820404"/>
          <c:y val="2.627600903001202E-2"/>
          <c:w val="0.5972912888478985"/>
          <c:h val="0.85918123420962722"/>
        </c:manualLayout>
      </c:layout>
      <c:barChart>
        <c:barDir val="col"/>
        <c:grouping val="stacked"/>
        <c:varyColors val="0"/>
        <c:ser>
          <c:idx val="0"/>
          <c:order val="0"/>
          <c:tx>
            <c:v>CH4</c:v>
          </c:tx>
          <c:spPr>
            <a:solidFill>
              <a:schemeClr val="accent1"/>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13670947.249999996</c:v>
              </c:pt>
              <c:pt idx="1">
                <c:v>1051247.3600000003</c:v>
              </c:pt>
              <c:pt idx="2">
                <c:v>947640.63000000035</c:v>
              </c:pt>
              <c:pt idx="3">
                <c:v>-25925.35</c:v>
              </c:pt>
              <c:pt idx="4">
                <c:v>848590.93999999971</c:v>
              </c:pt>
              <c:pt idx="5">
                <c:v>360886.9600000002</c:v>
              </c:pt>
              <c:pt idx="6">
                <c:v>10876345.840000002</c:v>
              </c:pt>
            </c:numLit>
          </c:val>
          <c:extLst>
            <c:ext xmlns:c16="http://schemas.microsoft.com/office/drawing/2014/chart" uri="{C3380CC4-5D6E-409C-BE32-E72D297353CC}">
              <c16:uniqueId val="{00000000-D733-4BE3-AF26-41ADA963C5D1}"/>
            </c:ext>
          </c:extLst>
        </c:ser>
        <c:ser>
          <c:idx val="1"/>
          <c:order val="1"/>
          <c:tx>
            <c:v>CO2</c:v>
          </c:tx>
          <c:spPr>
            <a:solidFill>
              <a:schemeClr val="accent2"/>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1863524.9600000007</c:v>
              </c:pt>
              <c:pt idx="1">
                <c:v>10105215.349999998</c:v>
              </c:pt>
              <c:pt idx="2">
                <c:v>16749478.780000009</c:v>
              </c:pt>
              <c:pt idx="3">
                <c:v>-2917506.3299999991</c:v>
              </c:pt>
              <c:pt idx="4">
                <c:v>20170572.610000003</c:v>
              </c:pt>
              <c:pt idx="5">
                <c:v>20549695.500000004</c:v>
              </c:pt>
              <c:pt idx="6">
                <c:v>2273032.25</c:v>
              </c:pt>
            </c:numLit>
          </c:val>
          <c:extLst>
            <c:ext xmlns:c16="http://schemas.microsoft.com/office/drawing/2014/chart" uri="{C3380CC4-5D6E-409C-BE32-E72D297353CC}">
              <c16:uniqueId val="{00000001-D733-4BE3-AF26-41ADA963C5D1}"/>
            </c:ext>
          </c:extLst>
        </c:ser>
        <c:ser>
          <c:idx val="2"/>
          <c:order val="2"/>
          <c:tx>
            <c:v>F-Gases</c:v>
          </c:tx>
          <c:spPr>
            <a:solidFill>
              <a:schemeClr val="accent3"/>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0</c:v>
              </c:pt>
              <c:pt idx="1">
                <c:v>0</c:v>
              </c:pt>
              <c:pt idx="2">
                <c:v>1025192.1999999997</c:v>
              </c:pt>
              <c:pt idx="3">
                <c:v>0</c:v>
              </c:pt>
              <c:pt idx="4">
                <c:v>0</c:v>
              </c:pt>
              <c:pt idx="5">
                <c:v>0</c:v>
              </c:pt>
              <c:pt idx="6">
                <c:v>0</c:v>
              </c:pt>
            </c:numLit>
          </c:val>
          <c:extLst>
            <c:ext xmlns:c16="http://schemas.microsoft.com/office/drawing/2014/chart" uri="{C3380CC4-5D6E-409C-BE32-E72D297353CC}">
              <c16:uniqueId val="{00000002-D733-4BE3-AF26-41ADA963C5D1}"/>
            </c:ext>
          </c:extLst>
        </c:ser>
        <c:ser>
          <c:idx val="3"/>
          <c:order val="3"/>
          <c:tx>
            <c:v>N2O</c:v>
          </c:tx>
          <c:spPr>
            <a:solidFill>
              <a:schemeClr val="accent4"/>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4187052.1600000015</c:v>
              </c:pt>
              <c:pt idx="1">
                <c:v>333772.35000000003</c:v>
              </c:pt>
              <c:pt idx="2">
                <c:v>946426.92999999982</c:v>
              </c:pt>
              <c:pt idx="3">
                <c:v>-30219.279999999999</c:v>
              </c:pt>
              <c:pt idx="4">
                <c:v>472346.03999999992</c:v>
              </c:pt>
              <c:pt idx="5">
                <c:v>181121.8</c:v>
              </c:pt>
              <c:pt idx="6">
                <c:v>920499.45999999973</c:v>
              </c:pt>
            </c:numLit>
          </c:val>
          <c:extLst>
            <c:ext xmlns:c16="http://schemas.microsoft.com/office/drawing/2014/chart" uri="{C3380CC4-5D6E-409C-BE32-E72D297353CC}">
              <c16:uniqueId val="{00000003-D733-4BE3-AF26-41ADA963C5D1}"/>
            </c:ext>
          </c:extLst>
        </c:ser>
        <c:dLbls>
          <c:showLegendKey val="0"/>
          <c:showVal val="0"/>
          <c:showCatName val="0"/>
          <c:showSerName val="0"/>
          <c:showPercent val="0"/>
          <c:showBubbleSize val="0"/>
        </c:dLbls>
        <c:gapWidth val="150"/>
        <c:overlap val="100"/>
        <c:axId val="646000512"/>
        <c:axId val="646003872"/>
      </c:barChart>
      <c:catAx>
        <c:axId val="6460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46003872"/>
        <c:crosses val="autoZero"/>
        <c:auto val="1"/>
        <c:lblAlgn val="ctr"/>
        <c:lblOffset val="100"/>
        <c:noMultiLvlLbl val="0"/>
      </c:catAx>
      <c:valAx>
        <c:axId val="64600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460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t>The trend of emissions and its impact on temperature</a:t>
            </a:r>
            <a:endParaRPr lang="en-US" sz="2400" b="1"/>
          </a:p>
        </c:rich>
      </c:tx>
      <c:layout>
        <c:manualLayout>
          <c:xMode val="edge"/>
          <c:yMode val="edge"/>
          <c:x val="0.188200859934987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[2]Sheet4!$A$1</c:f>
              <c:strCache>
                <c:ptCount val="1"/>
                <c:pt idx="0">
                  <c:v>year</c:v>
                </c:pt>
              </c:strCache>
            </c:strRef>
          </c:tx>
          <c:spPr>
            <a:solidFill>
              <a:schemeClr val="accent1"/>
            </a:solidFill>
            <a:ln>
              <a:noFill/>
            </a:ln>
            <a:effectLst/>
          </c:spPr>
          <c:invertIfNegative val="0"/>
          <c:cat>
            <c:numRef>
              <c:f>[2]Sheet4!$A$2:$A$34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[2]Sheet4!$A$2:$A$34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val>
          <c:extLst>
            <c:ext xmlns:c16="http://schemas.microsoft.com/office/drawing/2014/chart" uri="{C3380CC4-5D6E-409C-BE32-E72D297353CC}">
              <c16:uniqueId val="{00000000-B6DF-40E7-B50B-0020D084A7F5}"/>
            </c:ext>
          </c:extLst>
        </c:ser>
        <c:ser>
          <c:idx val="1"/>
          <c:order val="1"/>
          <c:tx>
            <c:strRef>
              <c:f>[2]Sheet4!$B$1</c:f>
              <c:strCache>
                <c:ptCount val="1"/>
                <c:pt idx="0">
                  <c:v>Sum of Emissions</c:v>
                </c:pt>
              </c:strCache>
            </c:strRef>
          </c:tx>
          <c:spPr>
            <a:solidFill>
              <a:schemeClr val="accent2"/>
            </a:solidFill>
            <a:ln>
              <a:noFill/>
            </a:ln>
            <a:effectLst/>
          </c:spPr>
          <c:invertIfNegative val="0"/>
          <c:cat>
            <c:numRef>
              <c:f>[2]Sheet4!$A$2:$A$34</c:f>
              <c:numCache>
                <c:formatCode>General</c:formatCode>
                <c:ptCount val="33"/>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numCache>
            </c:numRef>
          </c:cat>
          <c:val>
            <c:numRef>
              <c:f>[2]Sheet4!$B$2:$B$34</c:f>
              <c:numCache>
                <c:formatCode>0</c:formatCode>
                <c:ptCount val="33"/>
                <c:pt idx="0">
                  <c:v>2703031.7499999991</c:v>
                </c:pt>
                <c:pt idx="1">
                  <c:v>2870703.14</c:v>
                </c:pt>
                <c:pt idx="2">
                  <c:v>1787476.6200000003</c:v>
                </c:pt>
                <c:pt idx="3">
                  <c:v>1851769.8499999994</c:v>
                </c:pt>
                <c:pt idx="4">
                  <c:v>4321990.2500000009</c:v>
                </c:pt>
                <c:pt idx="5">
                  <c:v>1292975.7799999991</c:v>
                </c:pt>
                <c:pt idx="6">
                  <c:v>3720911.8999999994</c:v>
                </c:pt>
                <c:pt idx="7">
                  <c:v>3107222.6599999983</c:v>
                </c:pt>
                <c:pt idx="8">
                  <c:v>4178673.2399999984</c:v>
                </c:pt>
                <c:pt idx="9">
                  <c:v>2176902.59</c:v>
                </c:pt>
                <c:pt idx="10">
                  <c:v>3694287.6599999992</c:v>
                </c:pt>
                <c:pt idx="11">
                  <c:v>3893363.4600000009</c:v>
                </c:pt>
                <c:pt idx="12">
                  <c:v>2857723.38</c:v>
                </c:pt>
                <c:pt idx="13">
                  <c:v>3110683.0599999991</c:v>
                </c:pt>
                <c:pt idx="14">
                  <c:v>2258345.3300000005</c:v>
                </c:pt>
                <c:pt idx="15">
                  <c:v>2112254.9899999998</c:v>
                </c:pt>
                <c:pt idx="16">
                  <c:v>3366905.5899999989</c:v>
                </c:pt>
                <c:pt idx="17">
                  <c:v>3349048.1299999994</c:v>
                </c:pt>
                <c:pt idx="18">
                  <c:v>2610117.4099999997</c:v>
                </c:pt>
                <c:pt idx="19">
                  <c:v>4098342.8599999989</c:v>
                </c:pt>
                <c:pt idx="20">
                  <c:v>2520301.3199999989</c:v>
                </c:pt>
                <c:pt idx="21">
                  <c:v>2855074.1800000006</c:v>
                </c:pt>
                <c:pt idx="22">
                  <c:v>2202229.4499999997</c:v>
                </c:pt>
                <c:pt idx="23">
                  <c:v>3177718.47</c:v>
                </c:pt>
                <c:pt idx="24">
                  <c:v>3701321.7399999988</c:v>
                </c:pt>
                <c:pt idx="25">
                  <c:v>2475947.81</c:v>
                </c:pt>
                <c:pt idx="26">
                  <c:v>3599138.7399999998</c:v>
                </c:pt>
                <c:pt idx="27">
                  <c:v>3593087.48</c:v>
                </c:pt>
                <c:pt idx="28">
                  <c:v>2430388.15</c:v>
                </c:pt>
                <c:pt idx="29">
                  <c:v>2807885.0399999986</c:v>
                </c:pt>
                <c:pt idx="30">
                  <c:v>3374645.2900000005</c:v>
                </c:pt>
                <c:pt idx="31">
                  <c:v>3207492.97</c:v>
                </c:pt>
                <c:pt idx="32">
                  <c:v>3708329.0599999987</c:v>
                </c:pt>
              </c:numCache>
            </c:numRef>
          </c:val>
          <c:extLst>
            <c:ext xmlns:c16="http://schemas.microsoft.com/office/drawing/2014/chart" uri="{C3380CC4-5D6E-409C-BE32-E72D297353CC}">
              <c16:uniqueId val="{00000001-B6DF-40E7-B50B-0020D084A7F5}"/>
            </c:ext>
          </c:extLst>
        </c:ser>
        <c:dLbls>
          <c:showLegendKey val="0"/>
          <c:showVal val="0"/>
          <c:showCatName val="0"/>
          <c:showSerName val="0"/>
          <c:showPercent val="0"/>
          <c:showBubbleSize val="0"/>
        </c:dLbls>
        <c:gapWidth val="219"/>
        <c:overlap val="-27"/>
        <c:axId val="977503999"/>
        <c:axId val="977500159"/>
      </c:barChart>
      <c:lineChart>
        <c:grouping val="standard"/>
        <c:varyColors val="0"/>
        <c:ser>
          <c:idx val="2"/>
          <c:order val="2"/>
          <c:tx>
            <c:strRef>
              <c:f>[2]Sheet4!$C$1</c:f>
              <c:strCache>
                <c:ptCount val="1"/>
                <c:pt idx="0">
                  <c:v>Global Average Tempreature</c:v>
                </c:pt>
              </c:strCache>
            </c:strRef>
          </c:tx>
          <c:spPr>
            <a:ln w="28575" cap="rnd">
              <a:solidFill>
                <a:schemeClr val="accent3"/>
              </a:solidFill>
              <a:round/>
            </a:ln>
            <a:effectLst/>
          </c:spPr>
          <c:marker>
            <c:symbol val="none"/>
          </c:marker>
          <c:val>
            <c:numRef>
              <c:f>[2]Sheet4!$C$2:$C$34</c:f>
              <c:numCache>
                <c:formatCode>General</c:formatCode>
                <c:ptCount val="33"/>
                <c:pt idx="0">
                  <c:v>0.72288010000000003</c:v>
                </c:pt>
                <c:pt idx="1">
                  <c:v>0.70119430000000005</c:v>
                </c:pt>
                <c:pt idx="2">
                  <c:v>0.48719456999999999</c:v>
                </c:pt>
                <c:pt idx="3">
                  <c:v>0.52800493999999998</c:v>
                </c:pt>
                <c:pt idx="4">
                  <c:v>0.59584755</c:v>
                </c:pt>
                <c:pt idx="5">
                  <c:v>0.73916389999999998</c:v>
                </c:pt>
                <c:pt idx="6">
                  <c:v>0.63898710000000003</c:v>
                </c:pt>
                <c:pt idx="7">
                  <c:v>0.78460629999999998</c:v>
                </c:pt>
                <c:pt idx="8">
                  <c:v>0.93963945000000004</c:v>
                </c:pt>
                <c:pt idx="9">
                  <c:v>0.68678269999999997</c:v>
                </c:pt>
                <c:pt idx="10">
                  <c:v>0.69338250000000001</c:v>
                </c:pt>
                <c:pt idx="11">
                  <c:v>0.8515781</c:v>
                </c:pt>
                <c:pt idx="12">
                  <c:v>0.90576429999999997</c:v>
                </c:pt>
                <c:pt idx="13">
                  <c:v>0.90646789999999999</c:v>
                </c:pt>
                <c:pt idx="14">
                  <c:v>0.82966846000000005</c:v>
                </c:pt>
                <c:pt idx="15">
                  <c:v>0.96916026</c:v>
                </c:pt>
                <c:pt idx="16">
                  <c:v>0.93485045</c:v>
                </c:pt>
                <c:pt idx="17">
                  <c:v>0.95399909999999999</c:v>
                </c:pt>
                <c:pt idx="18">
                  <c:v>0.82794760000000001</c:v>
                </c:pt>
                <c:pt idx="19">
                  <c:v>0.95907940000000003</c:v>
                </c:pt>
                <c:pt idx="20">
                  <c:v>1.0426692</c:v>
                </c:pt>
                <c:pt idx="21">
                  <c:v>0.89999549999999995</c:v>
                </c:pt>
                <c:pt idx="22">
                  <c:v>0.93990479999999998</c:v>
                </c:pt>
                <c:pt idx="23">
                  <c:v>0.98587309999999995</c:v>
                </c:pt>
                <c:pt idx="24">
                  <c:v>1.0351694</c:v>
                </c:pt>
                <c:pt idx="25">
                  <c:v>1.1874121</c:v>
                </c:pt>
                <c:pt idx="26">
                  <c:v>1.2952248</c:v>
                </c:pt>
                <c:pt idx="27">
                  <c:v>1.2074720000000001</c:v>
                </c:pt>
                <c:pt idx="28">
                  <c:v>1.1249518000000001</c:v>
                </c:pt>
                <c:pt idx="29">
                  <c:v>1.2533703</c:v>
                </c:pt>
                <c:pt idx="30">
                  <c:v>1.2852182000000001</c:v>
                </c:pt>
                <c:pt idx="31">
                  <c:v>1.1242033</c:v>
                </c:pt>
                <c:pt idx="32">
                  <c:v>1.1636031</c:v>
                </c:pt>
              </c:numCache>
            </c:numRef>
          </c:val>
          <c:smooth val="0"/>
          <c:extLst>
            <c:ext xmlns:c16="http://schemas.microsoft.com/office/drawing/2014/chart" uri="{C3380CC4-5D6E-409C-BE32-E72D297353CC}">
              <c16:uniqueId val="{00000002-B6DF-40E7-B50B-0020D084A7F5}"/>
            </c:ext>
          </c:extLst>
        </c:ser>
        <c:dLbls>
          <c:showLegendKey val="0"/>
          <c:showVal val="0"/>
          <c:showCatName val="0"/>
          <c:showSerName val="0"/>
          <c:showPercent val="0"/>
          <c:showBubbleSize val="0"/>
        </c:dLbls>
        <c:marker val="1"/>
        <c:smooth val="0"/>
        <c:axId val="1032725647"/>
        <c:axId val="1032721327"/>
      </c:lineChart>
      <c:catAx>
        <c:axId val="97750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77500159"/>
        <c:crosses val="autoZero"/>
        <c:auto val="1"/>
        <c:lblAlgn val="ctr"/>
        <c:lblOffset val="100"/>
        <c:noMultiLvlLbl val="0"/>
      </c:catAx>
      <c:valAx>
        <c:axId val="97750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77503999"/>
        <c:crosses val="autoZero"/>
        <c:crossBetween val="between"/>
      </c:valAx>
      <c:valAx>
        <c:axId val="1032721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725647"/>
        <c:crosses val="max"/>
        <c:crossBetween val="between"/>
      </c:valAx>
      <c:catAx>
        <c:axId val="1032725647"/>
        <c:scaling>
          <c:orientation val="minMax"/>
        </c:scaling>
        <c:delete val="1"/>
        <c:axPos val="b"/>
        <c:majorTickMark val="out"/>
        <c:minorTickMark val="none"/>
        <c:tickLblPos val="nextTo"/>
        <c:crossAx val="10327213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Sheet1!$C$16</c:f>
              <c:strCache>
                <c:ptCount val="1"/>
                <c:pt idx="0">
                  <c:v>2023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3-48AE-85E2-977CA757D2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03-48AE-85E2-977CA757D27C}"/>
              </c:ext>
            </c:extLst>
          </c:dPt>
          <c:cat>
            <c:numLit>
              <c:formatCode>General</c:formatCode>
              <c:ptCount val="3"/>
              <c:pt idx="0">
                <c:v>0</c:v>
              </c:pt>
              <c:pt idx="1">
                <c:v>0</c:v>
              </c:pt>
              <c:pt idx="2">
                <c:v>0</c:v>
              </c:pt>
            </c:numLit>
          </c:cat>
          <c:val>
            <c:numRef>
              <c:f>Sheet1!$D$16:$E$16</c:f>
              <c:numCache>
                <c:formatCode>0</c:formatCode>
                <c:ptCount val="2"/>
                <c:pt idx="0">
                  <c:v>2882426.79</c:v>
                </c:pt>
                <c:pt idx="1">
                  <c:v>2661222.2700000005</c:v>
                </c:pt>
              </c:numCache>
            </c:numRef>
          </c:val>
          <c:extLst>
            <c:ext xmlns:c16="http://schemas.microsoft.com/office/drawing/2014/chart" uri="{C3380CC4-5D6E-409C-BE32-E72D297353CC}">
              <c16:uniqueId val="{00000004-A603-48AE-85E2-977CA757D27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Sheet1!$C$17</c:f>
              <c:strCache>
                <c:ptCount val="1"/>
                <c:pt idx="0">
                  <c:v>2024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DE-4D37-BB38-F2F9C48D06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DE-4D37-BB38-F2F9C48D06B8}"/>
              </c:ext>
            </c:extLst>
          </c:dPt>
          <c:val>
            <c:numRef>
              <c:f>Sheet1!$D$17:$E$17</c:f>
              <c:numCache>
                <c:formatCode>0</c:formatCode>
                <c:ptCount val="2"/>
                <c:pt idx="0">
                  <c:v>2661222.27</c:v>
                </c:pt>
                <c:pt idx="1">
                  <c:v>2882426.7900000005</c:v>
                </c:pt>
              </c:numCache>
            </c:numRef>
          </c:val>
          <c:extLst>
            <c:ext xmlns:c16="http://schemas.microsoft.com/office/drawing/2014/chart" uri="{C3380CC4-5D6E-409C-BE32-E72D297353CC}">
              <c16:uniqueId val="{00000004-00DE-4D37-BB38-F2F9C48D06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Agriculture</c:v>
          </c:tx>
          <c:spPr>
            <a:solidFill>
              <a:schemeClr val="accent1"/>
            </a:solidFill>
            <a:ln>
              <a:noFill/>
            </a:ln>
            <a:effectLst/>
          </c:spPr>
          <c:invertIfNegative val="0"/>
          <c:cat>
            <c:strLit>
              <c:ptCount val="4"/>
              <c:pt idx="0">
                <c:v>High</c:v>
              </c:pt>
              <c:pt idx="1">
                <c:v>Low</c:v>
              </c:pt>
              <c:pt idx="2">
                <c:v>Lower-middle</c:v>
              </c:pt>
              <c:pt idx="3">
                <c:v>Upper-middle</c:v>
              </c:pt>
            </c:strLit>
          </c:cat>
          <c:val>
            <c:numLit>
              <c:formatCode>General</c:formatCode>
              <c:ptCount val="4"/>
              <c:pt idx="0">
                <c:v>5764620.6399999987</c:v>
              </c:pt>
              <c:pt idx="1">
                <c:v>213850.34000000003</c:v>
              </c:pt>
              <c:pt idx="2">
                <c:v>3255623.9699999997</c:v>
              </c:pt>
              <c:pt idx="3">
                <c:v>10487429.419999996</c:v>
              </c:pt>
            </c:numLit>
          </c:val>
          <c:extLst>
            <c:ext xmlns:c16="http://schemas.microsoft.com/office/drawing/2014/chart" uri="{C3380CC4-5D6E-409C-BE32-E72D297353CC}">
              <c16:uniqueId val="{00000000-93B2-48D2-B4E0-8F8827A55FEE}"/>
            </c:ext>
          </c:extLst>
        </c:ser>
        <c:ser>
          <c:idx val="1"/>
          <c:order val="1"/>
          <c:tx>
            <c:v>Buildings</c:v>
          </c:tx>
          <c:spPr>
            <a:solidFill>
              <a:schemeClr val="accent2"/>
            </a:solidFill>
            <a:ln>
              <a:noFill/>
            </a:ln>
            <a:effectLst/>
          </c:spPr>
          <c:invertIfNegative val="0"/>
          <c:cat>
            <c:strLit>
              <c:ptCount val="4"/>
              <c:pt idx="0">
                <c:v>High</c:v>
              </c:pt>
              <c:pt idx="1">
                <c:v>Low</c:v>
              </c:pt>
              <c:pt idx="2">
                <c:v>Lower-middle</c:v>
              </c:pt>
              <c:pt idx="3">
                <c:v>Upper-middle</c:v>
              </c:pt>
            </c:strLit>
          </c:cat>
          <c:val>
            <c:numLit>
              <c:formatCode>General</c:formatCode>
              <c:ptCount val="4"/>
              <c:pt idx="0">
                <c:v>4769798.8099999996</c:v>
              </c:pt>
              <c:pt idx="1">
                <c:v>87679.33</c:v>
              </c:pt>
              <c:pt idx="2">
                <c:v>1591538.72</c:v>
              </c:pt>
              <c:pt idx="3">
                <c:v>5041218.200000003</c:v>
              </c:pt>
            </c:numLit>
          </c:val>
          <c:extLst>
            <c:ext xmlns:c16="http://schemas.microsoft.com/office/drawing/2014/chart" uri="{C3380CC4-5D6E-409C-BE32-E72D297353CC}">
              <c16:uniqueId val="{00000001-93B2-48D2-B4E0-8F8827A55FEE}"/>
            </c:ext>
          </c:extLst>
        </c:ser>
        <c:ser>
          <c:idx val="2"/>
          <c:order val="2"/>
          <c:tx>
            <c:v>Industry</c:v>
          </c:tx>
          <c:spPr>
            <a:solidFill>
              <a:schemeClr val="accent3"/>
            </a:solidFill>
            <a:ln>
              <a:noFill/>
            </a:ln>
            <a:effectLst/>
          </c:spPr>
          <c:invertIfNegative val="0"/>
          <c:cat>
            <c:strLit>
              <c:ptCount val="4"/>
              <c:pt idx="0">
                <c:v>High</c:v>
              </c:pt>
              <c:pt idx="1">
                <c:v>Low</c:v>
              </c:pt>
              <c:pt idx="2">
                <c:v>Lower-middle</c:v>
              </c:pt>
              <c:pt idx="3">
                <c:v>Upper-middle</c:v>
              </c:pt>
            </c:strLit>
          </c:cat>
          <c:val>
            <c:numLit>
              <c:formatCode>General</c:formatCode>
              <c:ptCount val="4"/>
              <c:pt idx="0">
                <c:v>8801779.8400000092</c:v>
              </c:pt>
              <c:pt idx="1">
                <c:v>52415.12</c:v>
              </c:pt>
              <c:pt idx="2">
                <c:v>5253932.22</c:v>
              </c:pt>
              <c:pt idx="3">
                <c:v>5560611.3599999975</c:v>
              </c:pt>
            </c:numLit>
          </c:val>
          <c:extLst>
            <c:ext xmlns:c16="http://schemas.microsoft.com/office/drawing/2014/chart" uri="{C3380CC4-5D6E-409C-BE32-E72D297353CC}">
              <c16:uniqueId val="{00000002-93B2-48D2-B4E0-8F8827A55FEE}"/>
            </c:ext>
          </c:extLst>
        </c:ser>
        <c:ser>
          <c:idx val="3"/>
          <c:order val="3"/>
          <c:tx>
            <c:v>LULUCF</c:v>
          </c:tx>
          <c:spPr>
            <a:solidFill>
              <a:schemeClr val="accent4"/>
            </a:solidFill>
            <a:ln>
              <a:noFill/>
            </a:ln>
            <a:effectLst/>
          </c:spPr>
          <c:invertIfNegative val="0"/>
          <c:cat>
            <c:strLit>
              <c:ptCount val="4"/>
              <c:pt idx="0">
                <c:v>High</c:v>
              </c:pt>
              <c:pt idx="1">
                <c:v>Low</c:v>
              </c:pt>
              <c:pt idx="2">
                <c:v>Lower-middle</c:v>
              </c:pt>
              <c:pt idx="3">
                <c:v>Upper-middle</c:v>
              </c:pt>
            </c:strLit>
          </c:cat>
          <c:val>
            <c:numLit>
              <c:formatCode>General</c:formatCode>
              <c:ptCount val="4"/>
              <c:pt idx="0">
                <c:v>-1246689.6499999992</c:v>
              </c:pt>
              <c:pt idx="1">
                <c:v>74007.260000000009</c:v>
              </c:pt>
              <c:pt idx="2">
                <c:v>-617581.32000000018</c:v>
              </c:pt>
              <c:pt idx="3">
                <c:v>-1183387.2499999998</c:v>
              </c:pt>
            </c:numLit>
          </c:val>
          <c:extLst>
            <c:ext xmlns:c16="http://schemas.microsoft.com/office/drawing/2014/chart" uri="{C3380CC4-5D6E-409C-BE32-E72D297353CC}">
              <c16:uniqueId val="{00000003-93B2-48D2-B4E0-8F8827A55FEE}"/>
            </c:ext>
          </c:extLst>
        </c:ser>
        <c:ser>
          <c:idx val="4"/>
          <c:order val="4"/>
          <c:tx>
            <c:v>Power</c:v>
          </c:tx>
          <c:spPr>
            <a:solidFill>
              <a:schemeClr val="accent5"/>
            </a:solidFill>
            <a:ln>
              <a:noFill/>
            </a:ln>
            <a:effectLst/>
          </c:spPr>
          <c:invertIfNegative val="0"/>
          <c:cat>
            <c:strLit>
              <c:ptCount val="4"/>
              <c:pt idx="0">
                <c:v>High</c:v>
              </c:pt>
              <c:pt idx="1">
                <c:v>Low</c:v>
              </c:pt>
              <c:pt idx="2">
                <c:v>Lower-middle</c:v>
              </c:pt>
              <c:pt idx="3">
                <c:v>Upper-middle</c:v>
              </c:pt>
            </c:strLit>
          </c:cat>
          <c:val>
            <c:numLit>
              <c:formatCode>General</c:formatCode>
              <c:ptCount val="4"/>
              <c:pt idx="0">
                <c:v>10727262.009999992</c:v>
              </c:pt>
              <c:pt idx="1">
                <c:v>130966.12999999999</c:v>
              </c:pt>
              <c:pt idx="2">
                <c:v>3952948.7500000014</c:v>
              </c:pt>
              <c:pt idx="3">
                <c:v>6680332.6999999983</c:v>
              </c:pt>
            </c:numLit>
          </c:val>
          <c:extLst>
            <c:ext xmlns:c16="http://schemas.microsoft.com/office/drawing/2014/chart" uri="{C3380CC4-5D6E-409C-BE32-E72D297353CC}">
              <c16:uniqueId val="{00000004-93B2-48D2-B4E0-8F8827A55FEE}"/>
            </c:ext>
          </c:extLst>
        </c:ser>
        <c:ser>
          <c:idx val="5"/>
          <c:order val="5"/>
          <c:tx>
            <c:v>Transport</c:v>
          </c:tx>
          <c:spPr>
            <a:solidFill>
              <a:schemeClr val="accent6"/>
            </a:solidFill>
            <a:ln>
              <a:noFill/>
            </a:ln>
            <a:effectLst/>
          </c:spPr>
          <c:invertIfNegative val="0"/>
          <c:cat>
            <c:strLit>
              <c:ptCount val="4"/>
              <c:pt idx="0">
                <c:v>High</c:v>
              </c:pt>
              <c:pt idx="1">
                <c:v>Low</c:v>
              </c:pt>
              <c:pt idx="2">
                <c:v>Lower-middle</c:v>
              </c:pt>
              <c:pt idx="3">
                <c:v>Upper-middle</c:v>
              </c:pt>
            </c:strLit>
          </c:cat>
          <c:val>
            <c:numLit>
              <c:formatCode>General</c:formatCode>
              <c:ptCount val="4"/>
              <c:pt idx="0">
                <c:v>10929061.879999999</c:v>
              </c:pt>
              <c:pt idx="1">
                <c:v>131841.13999999998</c:v>
              </c:pt>
              <c:pt idx="2">
                <c:v>5474495.7100000028</c:v>
              </c:pt>
              <c:pt idx="3">
                <c:v>4556305.5299999993</c:v>
              </c:pt>
            </c:numLit>
          </c:val>
          <c:extLst>
            <c:ext xmlns:c16="http://schemas.microsoft.com/office/drawing/2014/chart" uri="{C3380CC4-5D6E-409C-BE32-E72D297353CC}">
              <c16:uniqueId val="{00000005-93B2-48D2-B4E0-8F8827A55FEE}"/>
            </c:ext>
          </c:extLst>
        </c:ser>
        <c:ser>
          <c:idx val="6"/>
          <c:order val="6"/>
          <c:tx>
            <c:v>Waste</c:v>
          </c:tx>
          <c:spPr>
            <a:solidFill>
              <a:schemeClr val="accent1">
                <a:lumMod val="60000"/>
              </a:schemeClr>
            </a:solidFill>
            <a:ln>
              <a:noFill/>
            </a:ln>
            <a:effectLst/>
          </c:spPr>
          <c:invertIfNegative val="0"/>
          <c:cat>
            <c:strLit>
              <c:ptCount val="4"/>
              <c:pt idx="0">
                <c:v>High</c:v>
              </c:pt>
              <c:pt idx="1">
                <c:v>Low</c:v>
              </c:pt>
              <c:pt idx="2">
                <c:v>Lower-middle</c:v>
              </c:pt>
              <c:pt idx="3">
                <c:v>Upper-middle</c:v>
              </c:pt>
            </c:strLit>
          </c:cat>
          <c:val>
            <c:numLit>
              <c:formatCode>General</c:formatCode>
              <c:ptCount val="4"/>
              <c:pt idx="0">
                <c:v>3370776.1400000006</c:v>
              </c:pt>
              <c:pt idx="1">
                <c:v>63713.37999999999</c:v>
              </c:pt>
              <c:pt idx="2">
                <c:v>2403489.3700000015</c:v>
              </c:pt>
              <c:pt idx="3">
                <c:v>8231898.6599999983</c:v>
              </c:pt>
            </c:numLit>
          </c:val>
          <c:extLst>
            <c:ext xmlns:c16="http://schemas.microsoft.com/office/drawing/2014/chart" uri="{C3380CC4-5D6E-409C-BE32-E72D297353CC}">
              <c16:uniqueId val="{00000006-93B2-48D2-B4E0-8F8827A55FEE}"/>
            </c:ext>
          </c:extLst>
        </c:ser>
        <c:dLbls>
          <c:showLegendKey val="0"/>
          <c:showVal val="0"/>
          <c:showCatName val="0"/>
          <c:showSerName val="0"/>
          <c:showPercent val="0"/>
          <c:showBubbleSize val="0"/>
        </c:dLbls>
        <c:gapWidth val="150"/>
        <c:overlap val="100"/>
        <c:axId val="438787984"/>
        <c:axId val="290739936"/>
      </c:barChart>
      <c:catAx>
        <c:axId val="43878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739936"/>
        <c:crosses val="autoZero"/>
        <c:auto val="1"/>
        <c:lblAlgn val="ctr"/>
        <c:lblOffset val="100"/>
        <c:noMultiLvlLbl val="0"/>
      </c:catAx>
      <c:valAx>
        <c:axId val="29073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78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Agriculture</c:v>
          </c:tx>
          <c:spPr>
            <a:solidFill>
              <a:schemeClr val="accent1"/>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4308887.5900000008</c:v>
              </c:pt>
              <c:pt idx="1">
                <c:v>232720.35</c:v>
              </c:pt>
              <c:pt idx="2">
                <c:v>314750.40000000002</c:v>
              </c:pt>
              <c:pt idx="3">
                <c:v>1362993.4299999997</c:v>
              </c:pt>
              <c:pt idx="4">
                <c:v>474120.32000000007</c:v>
              </c:pt>
              <c:pt idx="5">
                <c:v>318918.02</c:v>
              </c:pt>
              <c:pt idx="6">
                <c:v>732601.14999999991</c:v>
              </c:pt>
              <c:pt idx="7">
                <c:v>3399965.9799999995</c:v>
              </c:pt>
              <c:pt idx="8">
                <c:v>40529.020000000004</c:v>
              </c:pt>
              <c:pt idx="9">
                <c:v>586532.59</c:v>
              </c:pt>
            </c:numLit>
          </c:val>
          <c:extLst>
            <c:ext xmlns:c16="http://schemas.microsoft.com/office/drawing/2014/chart" uri="{C3380CC4-5D6E-409C-BE32-E72D297353CC}">
              <c16:uniqueId val="{00000000-A31B-4A2D-A238-978B479410F3}"/>
            </c:ext>
          </c:extLst>
        </c:ser>
        <c:ser>
          <c:idx val="1"/>
          <c:order val="1"/>
          <c:tx>
            <c:v>Buildings</c:v>
          </c:tx>
          <c:spPr>
            <a:solidFill>
              <a:schemeClr val="accent2"/>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1714254.6</c:v>
              </c:pt>
              <c:pt idx="1">
                <c:v>75042.859999999986</c:v>
              </c:pt>
              <c:pt idx="2">
                <c:v>232264.02000000002</c:v>
              </c:pt>
              <c:pt idx="3">
                <c:v>304137.93</c:v>
              </c:pt>
              <c:pt idx="4">
                <c:v>1277613.1099999999</c:v>
              </c:pt>
              <c:pt idx="5">
                <c:v>920918.13000000012</c:v>
              </c:pt>
              <c:pt idx="6">
                <c:v>541751.11</c:v>
              </c:pt>
              <c:pt idx="7">
                <c:v>634851.5</c:v>
              </c:pt>
              <c:pt idx="8">
                <c:v>60130.07</c:v>
              </c:pt>
              <c:pt idx="9">
                <c:v>105712.72</c:v>
              </c:pt>
            </c:numLit>
          </c:val>
          <c:extLst>
            <c:ext xmlns:c16="http://schemas.microsoft.com/office/drawing/2014/chart" uri="{C3380CC4-5D6E-409C-BE32-E72D297353CC}">
              <c16:uniqueId val="{00000001-A31B-4A2D-A238-978B479410F3}"/>
            </c:ext>
          </c:extLst>
        </c:ser>
        <c:ser>
          <c:idx val="2"/>
          <c:order val="2"/>
          <c:tx>
            <c:v>Industry</c:v>
          </c:tx>
          <c:spPr>
            <a:solidFill>
              <a:schemeClr val="accent3"/>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1578898.4899999998</c:v>
              </c:pt>
              <c:pt idx="1">
                <c:v>3272761.3700000006</c:v>
              </c:pt>
              <c:pt idx="2">
                <c:v>367395.86000000004</c:v>
              </c:pt>
              <c:pt idx="3">
                <c:v>146927.31999999995</c:v>
              </c:pt>
              <c:pt idx="4">
                <c:v>762435.03999999992</c:v>
              </c:pt>
              <c:pt idx="5">
                <c:v>1366412.9899999998</c:v>
              </c:pt>
              <c:pt idx="6">
                <c:v>2709151.8800000004</c:v>
              </c:pt>
              <c:pt idx="7">
                <c:v>282090.48</c:v>
              </c:pt>
              <c:pt idx="8">
                <c:v>127718.54</c:v>
              </c:pt>
              <c:pt idx="9">
                <c:v>516048.58</c:v>
              </c:pt>
            </c:numLit>
          </c:val>
          <c:extLst>
            <c:ext xmlns:c16="http://schemas.microsoft.com/office/drawing/2014/chart" uri="{C3380CC4-5D6E-409C-BE32-E72D297353CC}">
              <c16:uniqueId val="{00000002-A31B-4A2D-A238-978B479410F3}"/>
            </c:ext>
          </c:extLst>
        </c:ser>
        <c:ser>
          <c:idx val="3"/>
          <c:order val="3"/>
          <c:tx>
            <c:v>LULUCF</c:v>
          </c:tx>
          <c:spPr>
            <a:solidFill>
              <a:schemeClr val="accent4"/>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512729.17999999993</c:v>
              </c:pt>
              <c:pt idx="1">
                <c:v>214355.07</c:v>
              </c:pt>
              <c:pt idx="2">
                <c:v>-100930.67000000001</c:v>
              </c:pt>
              <c:pt idx="3">
                <c:v>-879262.23000000021</c:v>
              </c:pt>
              <c:pt idx="4">
                <c:v>-811760.23</c:v>
              </c:pt>
              <c:pt idx="5">
                <c:v>-39488.229999999996</c:v>
              </c:pt>
              <c:pt idx="6">
                <c:v>9679.630000000001</c:v>
              </c:pt>
              <c:pt idx="7">
                <c:v>-1004312.18</c:v>
              </c:pt>
              <c:pt idx="8">
                <c:v>72061.25</c:v>
              </c:pt>
              <c:pt idx="9">
                <c:v>79211.740000000005</c:v>
              </c:pt>
            </c:numLit>
          </c:val>
          <c:extLst>
            <c:ext xmlns:c16="http://schemas.microsoft.com/office/drawing/2014/chart" uri="{C3380CC4-5D6E-409C-BE32-E72D297353CC}">
              <c16:uniqueId val="{00000003-A31B-4A2D-A238-978B479410F3}"/>
            </c:ext>
          </c:extLst>
        </c:ser>
        <c:ser>
          <c:idx val="4"/>
          <c:order val="4"/>
          <c:tx>
            <c:v>Power</c:v>
          </c:tx>
          <c:spPr>
            <a:solidFill>
              <a:schemeClr val="accent5"/>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1307833.8999999999</c:v>
              </c:pt>
              <c:pt idx="1">
                <c:v>3603551.47</c:v>
              </c:pt>
              <c:pt idx="2">
                <c:v>1029092.1499999999</c:v>
              </c:pt>
              <c:pt idx="3">
                <c:v>1333548.2300000002</c:v>
              </c:pt>
              <c:pt idx="4">
                <c:v>626274.31999999995</c:v>
              </c:pt>
              <c:pt idx="5">
                <c:v>381147.85</c:v>
              </c:pt>
              <c:pt idx="6">
                <c:v>152644.29999999999</c:v>
              </c:pt>
              <c:pt idx="7">
                <c:v>1555770.24</c:v>
              </c:pt>
              <c:pt idx="8">
                <c:v>1546520.1</c:v>
              </c:pt>
              <c:pt idx="9">
                <c:v>104613.68</c:v>
              </c:pt>
            </c:numLit>
          </c:val>
          <c:extLst>
            <c:ext xmlns:c16="http://schemas.microsoft.com/office/drawing/2014/chart" uri="{C3380CC4-5D6E-409C-BE32-E72D297353CC}">
              <c16:uniqueId val="{00000004-A31B-4A2D-A238-978B479410F3}"/>
            </c:ext>
          </c:extLst>
        </c:ser>
        <c:ser>
          <c:idx val="5"/>
          <c:order val="5"/>
          <c:tx>
            <c:v>Transport</c:v>
          </c:tx>
          <c:spPr>
            <a:solidFill>
              <a:schemeClr val="accent6"/>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1494540.33</c:v>
              </c:pt>
              <c:pt idx="1">
                <c:v>1255549.8399999999</c:v>
              </c:pt>
              <c:pt idx="2">
                <c:v>371776.49999999994</c:v>
              </c:pt>
              <c:pt idx="3">
                <c:v>2500045.44</c:v>
              </c:pt>
              <c:pt idx="4">
                <c:v>617952.94000000006</c:v>
              </c:pt>
              <c:pt idx="5">
                <c:v>337063.04000000004</c:v>
              </c:pt>
              <c:pt idx="6">
                <c:v>910292.38000000012</c:v>
              </c:pt>
              <c:pt idx="7">
                <c:v>416866.4</c:v>
              </c:pt>
              <c:pt idx="8">
                <c:v>778500.25</c:v>
              </c:pt>
              <c:pt idx="9">
                <c:v>2161872.08</c:v>
              </c:pt>
            </c:numLit>
          </c:val>
          <c:extLst>
            <c:ext xmlns:c16="http://schemas.microsoft.com/office/drawing/2014/chart" uri="{C3380CC4-5D6E-409C-BE32-E72D297353CC}">
              <c16:uniqueId val="{00000005-A31B-4A2D-A238-978B479410F3}"/>
            </c:ext>
          </c:extLst>
        </c:ser>
        <c:ser>
          <c:idx val="6"/>
          <c:order val="6"/>
          <c:tx>
            <c:v>Waste</c:v>
          </c:tx>
          <c:spPr>
            <a:solidFill>
              <a:schemeClr val="accent1">
                <a:lumMod val="60000"/>
              </a:schemeClr>
            </a:solidFill>
            <a:ln>
              <a:noFill/>
            </a:ln>
            <a:effectLst/>
          </c:spPr>
          <c:invertIfNegative val="0"/>
          <c:cat>
            <c:strLit>
              <c:ptCount val="10"/>
              <c:pt idx="0">
                <c:v>China</c:v>
              </c:pt>
              <c:pt idx="1">
                <c:v>France</c:v>
              </c:pt>
              <c:pt idx="2">
                <c:v>Germany</c:v>
              </c:pt>
              <c:pt idx="3">
                <c:v>India</c:v>
              </c:pt>
              <c:pt idx="4">
                <c:v>Japan</c:v>
              </c:pt>
              <c:pt idx="5">
                <c:v>Mexico</c:v>
              </c:pt>
              <c:pt idx="6">
                <c:v>Nigeria</c:v>
              </c:pt>
              <c:pt idx="7">
                <c:v>Russia</c:v>
              </c:pt>
              <c:pt idx="8">
                <c:v>South Africa</c:v>
              </c:pt>
              <c:pt idx="9">
                <c:v>Spain</c:v>
              </c:pt>
            </c:strLit>
          </c:cat>
          <c:val>
            <c:numLit>
              <c:formatCode>General</c:formatCode>
              <c:ptCount val="10"/>
              <c:pt idx="0">
                <c:v>3196629.28</c:v>
              </c:pt>
              <c:pt idx="1">
                <c:v>253784.92</c:v>
              </c:pt>
              <c:pt idx="2">
                <c:v>320736.53999999998</c:v>
              </c:pt>
              <c:pt idx="3">
                <c:v>1396572.56</c:v>
              </c:pt>
              <c:pt idx="4">
                <c:v>701263.88</c:v>
              </c:pt>
              <c:pt idx="5">
                <c:v>507937.01999999996</c:v>
              </c:pt>
              <c:pt idx="6">
                <c:v>125230.57</c:v>
              </c:pt>
              <c:pt idx="7">
                <c:v>1489103.4400000002</c:v>
              </c:pt>
              <c:pt idx="8">
                <c:v>918594.41</c:v>
              </c:pt>
              <c:pt idx="9">
                <c:v>603297.95000000007</c:v>
              </c:pt>
            </c:numLit>
          </c:val>
          <c:extLst>
            <c:ext xmlns:c16="http://schemas.microsoft.com/office/drawing/2014/chart" uri="{C3380CC4-5D6E-409C-BE32-E72D297353CC}">
              <c16:uniqueId val="{00000006-A31B-4A2D-A238-978B479410F3}"/>
            </c:ext>
          </c:extLst>
        </c:ser>
        <c:dLbls>
          <c:showLegendKey val="0"/>
          <c:showVal val="0"/>
          <c:showCatName val="0"/>
          <c:showSerName val="0"/>
          <c:showPercent val="0"/>
          <c:showBubbleSize val="0"/>
        </c:dLbls>
        <c:gapWidth val="150"/>
        <c:overlap val="100"/>
        <c:axId val="72860080"/>
        <c:axId val="72860560"/>
      </c:barChart>
      <c:catAx>
        <c:axId val="728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0560"/>
        <c:crosses val="autoZero"/>
        <c:auto val="1"/>
        <c:lblAlgn val="ctr"/>
        <c:lblOffset val="100"/>
        <c:noMultiLvlLbl val="0"/>
      </c:catAx>
      <c:valAx>
        <c:axId val="728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CH4</c:v>
          </c:tx>
          <c:spPr>
            <a:solidFill>
              <a:schemeClr val="accent1"/>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13670947.249999996</c:v>
              </c:pt>
              <c:pt idx="1">
                <c:v>1051247.3600000003</c:v>
              </c:pt>
              <c:pt idx="2">
                <c:v>947640.63000000035</c:v>
              </c:pt>
              <c:pt idx="3">
                <c:v>-25925.35</c:v>
              </c:pt>
              <c:pt idx="4">
                <c:v>848590.93999999971</c:v>
              </c:pt>
              <c:pt idx="5">
                <c:v>360886.9600000002</c:v>
              </c:pt>
              <c:pt idx="6">
                <c:v>10876345.840000002</c:v>
              </c:pt>
            </c:numLit>
          </c:val>
          <c:extLst>
            <c:ext xmlns:c16="http://schemas.microsoft.com/office/drawing/2014/chart" uri="{C3380CC4-5D6E-409C-BE32-E72D297353CC}">
              <c16:uniqueId val="{00000000-C788-4FE2-86C1-5B21C51CE824}"/>
            </c:ext>
          </c:extLst>
        </c:ser>
        <c:ser>
          <c:idx val="1"/>
          <c:order val="1"/>
          <c:tx>
            <c:v>CO2</c:v>
          </c:tx>
          <c:spPr>
            <a:solidFill>
              <a:schemeClr val="accent2"/>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1863524.9600000007</c:v>
              </c:pt>
              <c:pt idx="1">
                <c:v>10105215.349999998</c:v>
              </c:pt>
              <c:pt idx="2">
                <c:v>16749478.780000009</c:v>
              </c:pt>
              <c:pt idx="3">
                <c:v>-2917506.3299999991</c:v>
              </c:pt>
              <c:pt idx="4">
                <c:v>20170572.610000003</c:v>
              </c:pt>
              <c:pt idx="5">
                <c:v>20549695.500000004</c:v>
              </c:pt>
              <c:pt idx="6">
                <c:v>2273032.25</c:v>
              </c:pt>
            </c:numLit>
          </c:val>
          <c:extLst>
            <c:ext xmlns:c16="http://schemas.microsoft.com/office/drawing/2014/chart" uri="{C3380CC4-5D6E-409C-BE32-E72D297353CC}">
              <c16:uniqueId val="{00000001-C788-4FE2-86C1-5B21C51CE824}"/>
            </c:ext>
          </c:extLst>
        </c:ser>
        <c:ser>
          <c:idx val="2"/>
          <c:order val="2"/>
          <c:tx>
            <c:v>F-Gases</c:v>
          </c:tx>
          <c:spPr>
            <a:solidFill>
              <a:schemeClr val="accent3"/>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0</c:v>
              </c:pt>
              <c:pt idx="1">
                <c:v>0</c:v>
              </c:pt>
              <c:pt idx="2">
                <c:v>1025192.1999999997</c:v>
              </c:pt>
              <c:pt idx="3">
                <c:v>0</c:v>
              </c:pt>
              <c:pt idx="4">
                <c:v>0</c:v>
              </c:pt>
              <c:pt idx="5">
                <c:v>0</c:v>
              </c:pt>
              <c:pt idx="6">
                <c:v>0</c:v>
              </c:pt>
            </c:numLit>
          </c:val>
          <c:extLst>
            <c:ext xmlns:c16="http://schemas.microsoft.com/office/drawing/2014/chart" uri="{C3380CC4-5D6E-409C-BE32-E72D297353CC}">
              <c16:uniqueId val="{00000002-C788-4FE2-86C1-5B21C51CE824}"/>
            </c:ext>
          </c:extLst>
        </c:ser>
        <c:ser>
          <c:idx val="3"/>
          <c:order val="3"/>
          <c:tx>
            <c:v>N2O</c:v>
          </c:tx>
          <c:spPr>
            <a:solidFill>
              <a:schemeClr val="accent4"/>
            </a:solidFill>
            <a:ln>
              <a:noFill/>
            </a:ln>
            <a:effectLst/>
          </c:spPr>
          <c:invertIfNegative val="0"/>
          <c:cat>
            <c:strLit>
              <c:ptCount val="7"/>
              <c:pt idx="0">
                <c:v>Agriculture</c:v>
              </c:pt>
              <c:pt idx="1">
                <c:v>Buildings</c:v>
              </c:pt>
              <c:pt idx="2">
                <c:v>Industry</c:v>
              </c:pt>
              <c:pt idx="3">
                <c:v>LULUCF</c:v>
              </c:pt>
              <c:pt idx="4">
                <c:v>Power</c:v>
              </c:pt>
              <c:pt idx="5">
                <c:v>Transport</c:v>
              </c:pt>
              <c:pt idx="6">
                <c:v>Waste</c:v>
              </c:pt>
            </c:strLit>
          </c:cat>
          <c:val>
            <c:numLit>
              <c:formatCode>General</c:formatCode>
              <c:ptCount val="7"/>
              <c:pt idx="0">
                <c:v>4187052.1600000015</c:v>
              </c:pt>
              <c:pt idx="1">
                <c:v>333772.35000000003</c:v>
              </c:pt>
              <c:pt idx="2">
                <c:v>946426.92999999982</c:v>
              </c:pt>
              <c:pt idx="3">
                <c:v>-30219.279999999999</c:v>
              </c:pt>
              <c:pt idx="4">
                <c:v>472346.03999999992</c:v>
              </c:pt>
              <c:pt idx="5">
                <c:v>181121.8</c:v>
              </c:pt>
              <c:pt idx="6">
                <c:v>920499.45999999973</c:v>
              </c:pt>
            </c:numLit>
          </c:val>
          <c:extLst>
            <c:ext xmlns:c16="http://schemas.microsoft.com/office/drawing/2014/chart" uri="{C3380CC4-5D6E-409C-BE32-E72D297353CC}">
              <c16:uniqueId val="{00000003-C788-4FE2-86C1-5B21C51CE824}"/>
            </c:ext>
          </c:extLst>
        </c:ser>
        <c:dLbls>
          <c:showLegendKey val="0"/>
          <c:showVal val="0"/>
          <c:showCatName val="0"/>
          <c:showSerName val="0"/>
          <c:showPercent val="0"/>
          <c:showBubbleSize val="0"/>
        </c:dLbls>
        <c:gapWidth val="150"/>
        <c:overlap val="100"/>
        <c:axId val="646000512"/>
        <c:axId val="646003872"/>
      </c:barChart>
      <c:catAx>
        <c:axId val="64600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3872"/>
        <c:crosses val="autoZero"/>
        <c:auto val="1"/>
        <c:lblAlgn val="ctr"/>
        <c:lblOffset val="100"/>
        <c:noMultiLvlLbl val="0"/>
      </c:catAx>
      <c:valAx>
        <c:axId val="646003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0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5"/>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strLit>
          </c:cat>
          <c:val>
            <c:numLit>
              <c:formatCode>General</c:formatCode>
              <c:ptCount val="35"/>
              <c:pt idx="0">
                <c:v>2703031.7499999991</c:v>
              </c:pt>
              <c:pt idx="1">
                <c:v>2870703.14</c:v>
              </c:pt>
              <c:pt idx="2">
                <c:v>1787476.6200000003</c:v>
              </c:pt>
              <c:pt idx="3">
                <c:v>1851769.8499999994</c:v>
              </c:pt>
              <c:pt idx="4">
                <c:v>4321990.2500000009</c:v>
              </c:pt>
              <c:pt idx="5">
                <c:v>1292975.7799999991</c:v>
              </c:pt>
              <c:pt idx="6">
                <c:v>3720911.8999999994</c:v>
              </c:pt>
              <c:pt idx="7">
                <c:v>3107222.6599999983</c:v>
              </c:pt>
              <c:pt idx="8">
                <c:v>4178673.2399999984</c:v>
              </c:pt>
              <c:pt idx="9">
                <c:v>2176902.59</c:v>
              </c:pt>
              <c:pt idx="10">
                <c:v>3694287.6599999992</c:v>
              </c:pt>
              <c:pt idx="11">
                <c:v>3893363.4600000009</c:v>
              </c:pt>
              <c:pt idx="12">
                <c:v>2857723.38</c:v>
              </c:pt>
              <c:pt idx="13">
                <c:v>3110683.0599999991</c:v>
              </c:pt>
              <c:pt idx="14">
                <c:v>2258345.3300000005</c:v>
              </c:pt>
              <c:pt idx="15">
                <c:v>2112254.9899999998</c:v>
              </c:pt>
              <c:pt idx="16">
                <c:v>3366905.5899999989</c:v>
              </c:pt>
              <c:pt idx="17">
                <c:v>3349048.1299999994</c:v>
              </c:pt>
              <c:pt idx="18">
                <c:v>2610117.4099999997</c:v>
              </c:pt>
              <c:pt idx="19">
                <c:v>4098342.8599999989</c:v>
              </c:pt>
              <c:pt idx="20">
                <c:v>2520301.3199999989</c:v>
              </c:pt>
              <c:pt idx="21">
                <c:v>2855074.1800000006</c:v>
              </c:pt>
              <c:pt idx="22">
                <c:v>2202229.4499999997</c:v>
              </c:pt>
              <c:pt idx="23">
                <c:v>3177718.47</c:v>
              </c:pt>
              <c:pt idx="24">
                <c:v>3701321.7399999988</c:v>
              </c:pt>
              <c:pt idx="25">
                <c:v>2475947.81</c:v>
              </c:pt>
              <c:pt idx="26">
                <c:v>3599138.7399999998</c:v>
              </c:pt>
              <c:pt idx="27">
                <c:v>3593087.48</c:v>
              </c:pt>
              <c:pt idx="28">
                <c:v>2430388.15</c:v>
              </c:pt>
              <c:pt idx="29">
                <c:v>2807885.0399999986</c:v>
              </c:pt>
              <c:pt idx="30">
                <c:v>3374645.2900000005</c:v>
              </c:pt>
              <c:pt idx="31">
                <c:v>3207492.97</c:v>
              </c:pt>
              <c:pt idx="32">
                <c:v>3708329.0599999987</c:v>
              </c:pt>
              <c:pt idx="33">
                <c:v>2882426.79</c:v>
              </c:pt>
              <c:pt idx="34">
                <c:v>2661222.27</c:v>
              </c:pt>
            </c:numLit>
          </c:val>
          <c:smooth val="0"/>
          <c:extLst>
            <c:ext xmlns:c16="http://schemas.microsoft.com/office/drawing/2014/chart" uri="{C3380CC4-5D6E-409C-BE32-E72D297353CC}">
              <c16:uniqueId val="{00000000-0CA4-423E-8ED0-B486758A3C36}"/>
            </c:ext>
          </c:extLst>
        </c:ser>
        <c:dLbls>
          <c:showLegendKey val="0"/>
          <c:showVal val="0"/>
          <c:showCatName val="0"/>
          <c:showSerName val="0"/>
          <c:showPercent val="0"/>
          <c:showBubbleSize val="0"/>
        </c:dLbls>
        <c:marker val="1"/>
        <c:smooth val="0"/>
        <c:axId val="1198232800"/>
        <c:axId val="1198234720"/>
      </c:lineChart>
      <c:catAx>
        <c:axId val="119823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34720"/>
        <c:crosses val="autoZero"/>
        <c:auto val="1"/>
        <c:lblAlgn val="ctr"/>
        <c:lblOffset val="100"/>
        <c:noMultiLvlLbl val="0"/>
      </c:catAx>
      <c:valAx>
        <c:axId val="119823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23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'!$O$3</c:f>
              <c:strCache>
                <c:ptCount val="1"/>
                <c:pt idx="0">
                  <c:v>Total</c:v>
                </c:pt>
              </c:strCache>
            </c:strRef>
          </c:tx>
          <c:spPr>
            <a:solidFill>
              <a:schemeClr val="accent1"/>
            </a:solidFill>
            <a:ln>
              <a:noFill/>
            </a:ln>
            <a:effectLst/>
          </c:spPr>
          <c:invertIfNegative val="0"/>
          <c:cat>
            <c:strRef>
              <c:f>'analysis '!$N$4:$N$13</c:f>
              <c:strCache>
                <c:ptCount val="10"/>
                <c:pt idx="0">
                  <c:v>China</c:v>
                </c:pt>
                <c:pt idx="1">
                  <c:v>France</c:v>
                </c:pt>
                <c:pt idx="2">
                  <c:v>Russia</c:v>
                </c:pt>
                <c:pt idx="3">
                  <c:v>India</c:v>
                </c:pt>
                <c:pt idx="4">
                  <c:v>Nigeria</c:v>
                </c:pt>
                <c:pt idx="5">
                  <c:v>Spain</c:v>
                </c:pt>
                <c:pt idx="6">
                  <c:v>Mexico</c:v>
                </c:pt>
                <c:pt idx="7">
                  <c:v>Japan</c:v>
                </c:pt>
                <c:pt idx="8">
                  <c:v>South Africa</c:v>
                </c:pt>
                <c:pt idx="9">
                  <c:v>Germany</c:v>
                </c:pt>
              </c:strCache>
            </c:strRef>
          </c:cat>
          <c:val>
            <c:numRef>
              <c:f>'analysis '!$O$4:$O$13</c:f>
              <c:numCache>
                <c:formatCode>0</c:formatCode>
                <c:ptCount val="10"/>
                <c:pt idx="0">
                  <c:v>14113773.370000003</c:v>
                </c:pt>
                <c:pt idx="1">
                  <c:v>8907765.8800000008</c:v>
                </c:pt>
                <c:pt idx="2">
                  <c:v>6774335.8599999975</c:v>
                </c:pt>
                <c:pt idx="3">
                  <c:v>6164962.6799999978</c:v>
                </c:pt>
                <c:pt idx="4">
                  <c:v>5181351.0200000005</c:v>
                </c:pt>
                <c:pt idx="5">
                  <c:v>4157289.34</c:v>
                </c:pt>
                <c:pt idx="6">
                  <c:v>3792908.8200000017</c:v>
                </c:pt>
                <c:pt idx="7">
                  <c:v>3647899.38</c:v>
                </c:pt>
                <c:pt idx="8">
                  <c:v>3544053.6399999987</c:v>
                </c:pt>
                <c:pt idx="9">
                  <c:v>2535084.8000000003</c:v>
                </c:pt>
              </c:numCache>
            </c:numRef>
          </c:val>
          <c:extLst>
            <c:ext xmlns:c16="http://schemas.microsoft.com/office/drawing/2014/chart" uri="{C3380CC4-5D6E-409C-BE32-E72D297353CC}">
              <c16:uniqueId val="{00000000-37BF-4F27-BB0E-FA256EF47622}"/>
            </c:ext>
          </c:extLst>
        </c:ser>
        <c:dLbls>
          <c:showLegendKey val="0"/>
          <c:showVal val="0"/>
          <c:showCatName val="0"/>
          <c:showSerName val="0"/>
          <c:showPercent val="0"/>
          <c:showBubbleSize val="0"/>
        </c:dLbls>
        <c:gapWidth val="219"/>
        <c:overlap val="-27"/>
        <c:axId val="669669136"/>
        <c:axId val="669670096"/>
      </c:barChart>
      <c:catAx>
        <c:axId val="66966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70096"/>
        <c:crosses val="autoZero"/>
        <c:auto val="1"/>
        <c:lblAlgn val="ctr"/>
        <c:lblOffset val="100"/>
        <c:noMultiLvlLbl val="0"/>
      </c:catAx>
      <c:valAx>
        <c:axId val="669670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6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SECTORS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'!$T$2</c:f>
              <c:strCache>
                <c:ptCount val="1"/>
                <c:pt idx="0">
                  <c:v>Total</c:v>
                </c:pt>
              </c:strCache>
            </c:strRef>
          </c:tx>
          <c:spPr>
            <a:solidFill>
              <a:schemeClr val="accent1"/>
            </a:solidFill>
            <a:ln>
              <a:noFill/>
            </a:ln>
            <a:effectLst/>
          </c:spPr>
          <c:invertIfNegative val="0"/>
          <c:cat>
            <c:strRef>
              <c:f>'analysis '!$S$3:$S$9</c:f>
              <c:strCache>
                <c:ptCount val="7"/>
                <c:pt idx="0">
                  <c:v>Power</c:v>
                </c:pt>
                <c:pt idx="1">
                  <c:v>Transport</c:v>
                </c:pt>
                <c:pt idx="2">
                  <c:v>Agriculture</c:v>
                </c:pt>
                <c:pt idx="3">
                  <c:v>Industry</c:v>
                </c:pt>
                <c:pt idx="4">
                  <c:v>Waste</c:v>
                </c:pt>
                <c:pt idx="5">
                  <c:v>Buildings</c:v>
                </c:pt>
                <c:pt idx="6">
                  <c:v>LULUCF</c:v>
                </c:pt>
              </c:strCache>
            </c:strRef>
          </c:cat>
          <c:val>
            <c:numRef>
              <c:f>'analysis '!$T$3:$T$9</c:f>
              <c:numCache>
                <c:formatCode>0</c:formatCode>
                <c:ptCount val="7"/>
                <c:pt idx="0">
                  <c:v>21491509.590000018</c:v>
                </c:pt>
                <c:pt idx="1">
                  <c:v>21091704.260000005</c:v>
                </c:pt>
                <c:pt idx="2">
                  <c:v>19721524.369999997</c:v>
                </c:pt>
                <c:pt idx="3">
                  <c:v>19668738.540000007</c:v>
                </c:pt>
                <c:pt idx="4">
                  <c:v>14069877.549999999</c:v>
                </c:pt>
                <c:pt idx="5">
                  <c:v>11490235.059999997</c:v>
                </c:pt>
                <c:pt idx="6">
                  <c:v>-2973650.9600000028</c:v>
                </c:pt>
              </c:numCache>
            </c:numRef>
          </c:val>
          <c:extLst>
            <c:ext xmlns:c16="http://schemas.microsoft.com/office/drawing/2014/chart" uri="{C3380CC4-5D6E-409C-BE32-E72D297353CC}">
              <c16:uniqueId val="{00000000-B211-47AE-993F-B36B568EC41A}"/>
            </c:ext>
          </c:extLst>
        </c:ser>
        <c:dLbls>
          <c:showLegendKey val="0"/>
          <c:showVal val="0"/>
          <c:showCatName val="0"/>
          <c:showSerName val="0"/>
          <c:showPercent val="0"/>
          <c:showBubbleSize val="0"/>
        </c:dLbls>
        <c:gapWidth val="219"/>
        <c:axId val="667949568"/>
        <c:axId val="667960128"/>
      </c:barChart>
      <c:catAx>
        <c:axId val="66794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960128"/>
        <c:crosses val="autoZero"/>
        <c:auto val="1"/>
        <c:lblAlgn val="ctr"/>
        <c:lblOffset val="100"/>
        <c:noMultiLvlLbl val="0"/>
      </c:catAx>
      <c:valAx>
        <c:axId val="6679601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9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GAS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 '!$W$2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10-45D5-89AC-7599998312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10-45D5-89AC-7599998312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10-45D5-89AC-7599998312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10-45D5-89AC-7599998312A2}"/>
              </c:ext>
            </c:extLst>
          </c:dPt>
          <c:cat>
            <c:strRef>
              <c:f>'analysis '!$V$3:$V$7</c:f>
              <c:strCache>
                <c:ptCount val="4"/>
                <c:pt idx="0">
                  <c:v>CO2</c:v>
                </c:pt>
                <c:pt idx="1">
                  <c:v>CH4</c:v>
                </c:pt>
                <c:pt idx="2">
                  <c:v>N2O</c:v>
                </c:pt>
                <c:pt idx="3">
                  <c:v>F-Gases</c:v>
                </c:pt>
              </c:strCache>
            </c:strRef>
          </c:cat>
          <c:val>
            <c:numRef>
              <c:f>'analysis '!$W$3:$W$7</c:f>
              <c:numCache>
                <c:formatCode>0</c:formatCode>
                <c:ptCount val="4"/>
                <c:pt idx="0">
                  <c:v>68794013.119999871</c:v>
                </c:pt>
                <c:pt idx="1">
                  <c:v>27729733.63000001</c:v>
                </c:pt>
                <c:pt idx="2">
                  <c:v>7010999.4600000121</c:v>
                </c:pt>
                <c:pt idx="3">
                  <c:v>1025192.1999999997</c:v>
                </c:pt>
              </c:numCache>
            </c:numRef>
          </c:val>
          <c:extLst>
            <c:ext xmlns:c16="http://schemas.microsoft.com/office/drawing/2014/chart" uri="{C3380CC4-5D6E-409C-BE32-E72D297353CC}">
              <c16:uniqueId val="{00000000-6FB3-4FAE-8AD5-05D9368FD3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GROUP </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 '!$Z$2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08-4686-9F5A-5FC914490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08-4686-9F5A-5FC914490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08-4686-9F5A-5FC9144906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08-4686-9F5A-5FC9144906D2}"/>
              </c:ext>
            </c:extLst>
          </c:dPt>
          <c:cat>
            <c:strRef>
              <c:f>'analysis '!$Y$3:$Y$7</c:f>
              <c:strCache>
                <c:ptCount val="4"/>
                <c:pt idx="0">
                  <c:v>High</c:v>
                </c:pt>
                <c:pt idx="1">
                  <c:v>Upper-middle</c:v>
                </c:pt>
                <c:pt idx="2">
                  <c:v>Lower-middle</c:v>
                </c:pt>
                <c:pt idx="3">
                  <c:v>Low</c:v>
                </c:pt>
              </c:strCache>
            </c:strRef>
          </c:cat>
          <c:val>
            <c:numRef>
              <c:f>'analysis '!$Z$3:$Z$7</c:f>
              <c:numCache>
                <c:formatCode>0</c:formatCode>
                <c:ptCount val="4"/>
                <c:pt idx="0">
                  <c:v>43116609.669999927</c:v>
                </c:pt>
                <c:pt idx="1">
                  <c:v>39374408.62000002</c:v>
                </c:pt>
                <c:pt idx="2">
                  <c:v>21314447.419999987</c:v>
                </c:pt>
                <c:pt idx="3">
                  <c:v>754472.70000000007</c:v>
                </c:pt>
              </c:numCache>
            </c:numRef>
          </c:val>
          <c:extLst>
            <c:ext xmlns:c16="http://schemas.microsoft.com/office/drawing/2014/chart" uri="{C3380CC4-5D6E-409C-BE32-E72D297353CC}">
              <c16:uniqueId val="{00000000-DCE5-4C97-9543-E8854FC924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REGION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'!$AC$2</c:f>
              <c:strCache>
                <c:ptCount val="1"/>
                <c:pt idx="0">
                  <c:v>Total</c:v>
                </c:pt>
              </c:strCache>
            </c:strRef>
          </c:tx>
          <c:spPr>
            <a:solidFill>
              <a:schemeClr val="accent1"/>
            </a:solidFill>
            <a:ln>
              <a:noFill/>
            </a:ln>
            <a:effectLst/>
          </c:spPr>
          <c:invertIfNegative val="0"/>
          <c:cat>
            <c:strRef>
              <c:f>'analysis '!$AB$3:$AB$8</c:f>
              <c:strCache>
                <c:ptCount val="5"/>
                <c:pt idx="0">
                  <c:v>Asia</c:v>
                </c:pt>
                <c:pt idx="1">
                  <c:v>Europe</c:v>
                </c:pt>
                <c:pt idx="2">
                  <c:v>Africa</c:v>
                </c:pt>
                <c:pt idx="3">
                  <c:v>Americas</c:v>
                </c:pt>
                <c:pt idx="4">
                  <c:v>Oceania</c:v>
                </c:pt>
              </c:strCache>
            </c:strRef>
          </c:cat>
          <c:val>
            <c:numRef>
              <c:f>'analysis '!$AC$3:$AC$8</c:f>
              <c:numCache>
                <c:formatCode>0</c:formatCode>
                <c:ptCount val="5"/>
                <c:pt idx="0">
                  <c:v>43119444.310000025</c:v>
                </c:pt>
                <c:pt idx="1">
                  <c:v>32833612.79000001</c:v>
                </c:pt>
                <c:pt idx="2">
                  <c:v>14119145.480000006</c:v>
                </c:pt>
                <c:pt idx="3">
                  <c:v>12146038.85999999</c:v>
                </c:pt>
                <c:pt idx="4">
                  <c:v>2341696.9700000011</c:v>
                </c:pt>
              </c:numCache>
            </c:numRef>
          </c:val>
          <c:extLst>
            <c:ext xmlns:c16="http://schemas.microsoft.com/office/drawing/2014/chart" uri="{C3380CC4-5D6E-409C-BE32-E72D297353CC}">
              <c16:uniqueId val="{00000000-D76D-4CB8-B663-DDC695097899}"/>
            </c:ext>
          </c:extLst>
        </c:ser>
        <c:dLbls>
          <c:showLegendKey val="0"/>
          <c:showVal val="0"/>
          <c:showCatName val="0"/>
          <c:showSerName val="0"/>
          <c:showPercent val="0"/>
          <c:showBubbleSize val="0"/>
        </c:dLbls>
        <c:gapWidth val="219"/>
        <c:overlap val="-27"/>
        <c:axId val="439561808"/>
        <c:axId val="439557488"/>
      </c:barChart>
      <c:catAx>
        <c:axId val="43956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57488"/>
        <c:crosses val="autoZero"/>
        <c:auto val="1"/>
        <c:lblAlgn val="ctr"/>
        <c:lblOffset val="100"/>
        <c:noMultiLvlLbl val="0"/>
      </c:catAx>
      <c:valAx>
        <c:axId val="439557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5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[today^L120project(AutoRecovered) (version 1).xlsx]analysis !TOP REGION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'!$AC$2</c:f>
              <c:strCache>
                <c:ptCount val="1"/>
                <c:pt idx="0">
                  <c:v>Total</c:v>
                </c:pt>
              </c:strCache>
            </c:strRef>
          </c:tx>
          <c:spPr>
            <a:solidFill>
              <a:schemeClr val="accent1"/>
            </a:solidFill>
            <a:ln>
              <a:noFill/>
            </a:ln>
            <a:effectLst/>
          </c:spPr>
          <c:invertIfNegative val="0"/>
          <c:cat>
            <c:strRef>
              <c:f>'analysis '!$AB$3:$AB$8</c:f>
              <c:strCache>
                <c:ptCount val="5"/>
                <c:pt idx="0">
                  <c:v>Asia</c:v>
                </c:pt>
                <c:pt idx="1">
                  <c:v>Europe</c:v>
                </c:pt>
                <c:pt idx="2">
                  <c:v>Africa</c:v>
                </c:pt>
                <c:pt idx="3">
                  <c:v>Americas</c:v>
                </c:pt>
                <c:pt idx="4">
                  <c:v>Oceania</c:v>
                </c:pt>
              </c:strCache>
            </c:strRef>
          </c:cat>
          <c:val>
            <c:numRef>
              <c:f>'analysis '!$AC$3:$AC$8</c:f>
              <c:numCache>
                <c:formatCode>0</c:formatCode>
                <c:ptCount val="5"/>
                <c:pt idx="0">
                  <c:v>43119444.310000025</c:v>
                </c:pt>
                <c:pt idx="1">
                  <c:v>32833612.79000001</c:v>
                </c:pt>
                <c:pt idx="2">
                  <c:v>14119145.480000006</c:v>
                </c:pt>
                <c:pt idx="3">
                  <c:v>12146038.85999999</c:v>
                </c:pt>
                <c:pt idx="4">
                  <c:v>2341696.9700000011</c:v>
                </c:pt>
              </c:numCache>
            </c:numRef>
          </c:val>
          <c:extLst>
            <c:ext xmlns:c16="http://schemas.microsoft.com/office/drawing/2014/chart" uri="{C3380CC4-5D6E-409C-BE32-E72D297353CC}">
              <c16:uniqueId val="{00000000-B1EF-4261-BE60-FA45570179C4}"/>
            </c:ext>
          </c:extLst>
        </c:ser>
        <c:dLbls>
          <c:showLegendKey val="0"/>
          <c:showVal val="0"/>
          <c:showCatName val="0"/>
          <c:showSerName val="0"/>
          <c:showPercent val="0"/>
          <c:showBubbleSize val="0"/>
        </c:dLbls>
        <c:gapWidth val="219"/>
        <c:overlap val="-27"/>
        <c:axId val="64534032"/>
        <c:axId val="64526352"/>
      </c:barChart>
      <c:catAx>
        <c:axId val="645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26352"/>
        <c:crosses val="autoZero"/>
        <c:auto val="1"/>
        <c:lblAlgn val="ctr"/>
        <c:lblOffset val="100"/>
        <c:noMultiLvlLbl val="0"/>
      </c:catAx>
      <c:valAx>
        <c:axId val="64526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3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Sheet1!$C$16</c:f>
              <c:strCache>
                <c:ptCount val="1"/>
                <c:pt idx="0">
                  <c:v>2023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numLit>
              <c:formatCode>General</c:formatCode>
              <c:ptCount val="3"/>
              <c:pt idx="0">
                <c:v>0</c:v>
              </c:pt>
              <c:pt idx="1">
                <c:v>0</c:v>
              </c:pt>
              <c:pt idx="2">
                <c:v>0</c:v>
              </c:pt>
            </c:numLit>
          </c:cat>
          <c:val>
            <c:numRef>
              <c:f>Sheet1!$D$16:$E$16</c:f>
              <c:numCache>
                <c:formatCode>0</c:formatCode>
                <c:ptCount val="2"/>
                <c:pt idx="0">
                  <c:v>2882426.79</c:v>
                </c:pt>
                <c:pt idx="1">
                  <c:v>2661222.2700000005</c:v>
                </c:pt>
              </c:numCache>
            </c:numRef>
          </c:val>
          <c:extLst>
            <c:ext xmlns:c16="http://schemas.microsoft.com/office/drawing/2014/chart" uri="{C3380CC4-5D6E-409C-BE32-E72D297353CC}">
              <c16:uniqueId val="{00000000-5359-4BCA-B3A6-B17D0433D67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Sheet1!$C$17</c:f>
              <c:strCache>
                <c:ptCount val="1"/>
                <c:pt idx="0">
                  <c:v>2024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Sheet1!$D$17:$E$17</c:f>
              <c:numCache>
                <c:formatCode>0</c:formatCode>
                <c:ptCount val="2"/>
                <c:pt idx="0">
                  <c:v>2661222.27</c:v>
                </c:pt>
                <c:pt idx="1">
                  <c:v>2882426.7900000005</c:v>
                </c:pt>
              </c:numCache>
            </c:numRef>
          </c:val>
          <c:extLst>
            <c:ext xmlns:c16="http://schemas.microsoft.com/office/drawing/2014/chart" uri="{C3380CC4-5D6E-409C-BE32-E72D297353CC}">
              <c16:uniqueId val="{00000000-65BD-44C7-8E13-B7647A18675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1.xml"/><Relationship Id="rId2" Type="http://schemas.openxmlformats.org/officeDocument/2006/relationships/chart" Target="../charts/chart2.xml"/><Relationship Id="rId16" Type="http://schemas.openxmlformats.org/officeDocument/2006/relationships/chart" Target="../charts/chart13.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chart" Target="../charts/chart12.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1.xml"/><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10</xdr:col>
      <xdr:colOff>414618</xdr:colOff>
      <xdr:row>12</xdr:row>
      <xdr:rowOff>14870</xdr:rowOff>
    </xdr:from>
    <xdr:to>
      <xdr:col>24</xdr:col>
      <xdr:colOff>89646</xdr:colOff>
      <xdr:row>44</xdr:row>
      <xdr:rowOff>156883</xdr:rowOff>
    </xdr:to>
    <xdr:grpSp>
      <xdr:nvGrpSpPr>
        <xdr:cNvPr id="29" name="Group 28">
          <a:extLst>
            <a:ext uri="{FF2B5EF4-FFF2-40B4-BE49-F238E27FC236}">
              <a16:creationId xmlns:a16="http://schemas.microsoft.com/office/drawing/2014/main" id="{1B97398F-7F48-BEC9-A892-5AA4EAC51465}"/>
            </a:ext>
          </a:extLst>
        </xdr:cNvPr>
        <xdr:cNvGrpSpPr/>
      </xdr:nvGrpSpPr>
      <xdr:grpSpPr>
        <a:xfrm>
          <a:off x="6458066" y="2222042"/>
          <a:ext cx="8135856" cy="6027807"/>
          <a:chOff x="6488206" y="849371"/>
          <a:chExt cx="5368743" cy="3406589"/>
        </a:xfrm>
      </xdr:grpSpPr>
      <xdr:sp macro="" textlink="">
        <xdr:nvSpPr>
          <xdr:cNvPr id="26" name="Rectangle: Rounded Corners 25">
            <a:extLst>
              <a:ext uri="{FF2B5EF4-FFF2-40B4-BE49-F238E27FC236}">
                <a16:creationId xmlns:a16="http://schemas.microsoft.com/office/drawing/2014/main" id="{E3CE36CA-0A1E-4FF5-986B-03F7A908D2E6}"/>
              </a:ext>
            </a:extLst>
          </xdr:cNvPr>
          <xdr:cNvSpPr/>
        </xdr:nvSpPr>
        <xdr:spPr>
          <a:xfrm>
            <a:off x="6682072" y="849371"/>
            <a:ext cx="5174877" cy="3406589"/>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27" name="Chart 26">
            <a:extLst>
              <a:ext uri="{FF2B5EF4-FFF2-40B4-BE49-F238E27FC236}">
                <a16:creationId xmlns:a16="http://schemas.microsoft.com/office/drawing/2014/main" id="{CA3A54E4-AA38-4C82-851E-696773544B59}"/>
              </a:ext>
            </a:extLst>
          </xdr:cNvPr>
          <xdr:cNvGraphicFramePr>
            <a:graphicFrameLocks/>
          </xdr:cNvGraphicFramePr>
        </xdr:nvGraphicFramePr>
        <xdr:xfrm>
          <a:off x="6488206" y="1044064"/>
          <a:ext cx="3079922" cy="14653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440BC4C7-308B-4781-8316-3D5F0C731E30}"/>
              </a:ext>
            </a:extLst>
          </xdr:cNvPr>
          <xdr:cNvGraphicFramePr>
            <a:graphicFrameLocks/>
          </xdr:cNvGraphicFramePr>
        </xdr:nvGraphicFramePr>
        <xdr:xfrm>
          <a:off x="6936445" y="2594634"/>
          <a:ext cx="2220743" cy="154000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oneCellAnchor>
    <xdr:from>
      <xdr:col>6</xdr:col>
      <xdr:colOff>470646</xdr:colOff>
      <xdr:row>14</xdr:row>
      <xdr:rowOff>78439</xdr:rowOff>
    </xdr:from>
    <xdr:ext cx="1972235" cy="593304"/>
    <xdr:sp macro="" textlink="">
      <xdr:nvSpPr>
        <xdr:cNvPr id="30" name="TextBox 29">
          <a:extLst>
            <a:ext uri="{FF2B5EF4-FFF2-40B4-BE49-F238E27FC236}">
              <a16:creationId xmlns:a16="http://schemas.microsoft.com/office/drawing/2014/main" id="{CE37F93C-9775-9360-F571-A014E38C4DA9}"/>
            </a:ext>
          </a:extLst>
        </xdr:cNvPr>
        <xdr:cNvSpPr txBox="1"/>
      </xdr:nvSpPr>
      <xdr:spPr>
        <a:xfrm>
          <a:off x="4101352" y="2588557"/>
          <a:ext cx="197223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3200" b="1"/>
        </a:p>
      </xdr:txBody>
    </xdr:sp>
    <xdr:clientData/>
  </xdr:oneCellAnchor>
  <xdr:oneCellAnchor>
    <xdr:from>
      <xdr:col>13</xdr:col>
      <xdr:colOff>177800</xdr:colOff>
      <xdr:row>34</xdr:row>
      <xdr:rowOff>124011</xdr:rowOff>
    </xdr:from>
    <xdr:ext cx="2129117" cy="593304"/>
    <xdr:sp macro="" textlink="">
      <xdr:nvSpPr>
        <xdr:cNvPr id="31" name="TextBox 30">
          <a:extLst>
            <a:ext uri="{FF2B5EF4-FFF2-40B4-BE49-F238E27FC236}">
              <a16:creationId xmlns:a16="http://schemas.microsoft.com/office/drawing/2014/main" id="{5EA874CD-0C4C-D989-1EE2-2785C9D2F476}"/>
            </a:ext>
          </a:extLst>
        </xdr:cNvPr>
        <xdr:cNvSpPr txBox="1"/>
      </xdr:nvSpPr>
      <xdr:spPr>
        <a:xfrm>
          <a:off x="8102600" y="6169211"/>
          <a:ext cx="2129117"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i="0" u="none" strike="noStrike">
              <a:solidFill>
                <a:schemeClr val="tx1"/>
              </a:solidFill>
              <a:effectLst/>
              <a:latin typeface="+mn-lt"/>
              <a:ea typeface="+mn-ea"/>
              <a:cs typeface="+mn-cs"/>
            </a:rPr>
            <a:t>2661222</a:t>
          </a:r>
          <a:r>
            <a:rPr lang="en-US" sz="3200" b="1">
              <a:effectLst/>
            </a:rPr>
            <a:t> </a:t>
          </a:r>
          <a:endParaRPr lang="en-US" sz="3200" b="1"/>
        </a:p>
      </xdr:txBody>
    </xdr:sp>
    <xdr:clientData/>
  </xdr:oneCellAnchor>
  <xdr:twoCellAnchor>
    <xdr:from>
      <xdr:col>17</xdr:col>
      <xdr:colOff>47812</xdr:colOff>
      <xdr:row>19</xdr:row>
      <xdr:rowOff>25400</xdr:rowOff>
    </xdr:from>
    <xdr:to>
      <xdr:col>18</xdr:col>
      <xdr:colOff>76200</xdr:colOff>
      <xdr:row>39</xdr:row>
      <xdr:rowOff>47812</xdr:rowOff>
    </xdr:to>
    <xdr:sp macro="" textlink="">
      <xdr:nvSpPr>
        <xdr:cNvPr id="32" name="Right Brace 31">
          <a:extLst>
            <a:ext uri="{FF2B5EF4-FFF2-40B4-BE49-F238E27FC236}">
              <a16:creationId xmlns:a16="http://schemas.microsoft.com/office/drawing/2014/main" id="{69047C8C-4BCA-9167-D7E7-B32B488F131B}"/>
            </a:ext>
          </a:extLst>
        </xdr:cNvPr>
        <xdr:cNvSpPr/>
      </xdr:nvSpPr>
      <xdr:spPr>
        <a:xfrm>
          <a:off x="10411012" y="3403600"/>
          <a:ext cx="637988" cy="3578412"/>
        </a:xfrm>
        <a:prstGeom prst="rightBrace">
          <a:avLst>
            <a:gd name="adj1" fmla="val 8333"/>
            <a:gd name="adj2" fmla="val 51408"/>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18</xdr:col>
      <xdr:colOff>433294</xdr:colOff>
      <xdr:row>27</xdr:row>
      <xdr:rowOff>25399</xdr:rowOff>
    </xdr:from>
    <xdr:ext cx="2614706" cy="743280"/>
    <xdr:sp macro="" textlink="">
      <xdr:nvSpPr>
        <xdr:cNvPr id="33" name="TextBox 32">
          <a:extLst>
            <a:ext uri="{FF2B5EF4-FFF2-40B4-BE49-F238E27FC236}">
              <a16:creationId xmlns:a16="http://schemas.microsoft.com/office/drawing/2014/main" id="{50D4CE6B-209E-8B70-169B-BE7351B7F7D9}"/>
            </a:ext>
          </a:extLst>
        </xdr:cNvPr>
        <xdr:cNvSpPr txBox="1"/>
      </xdr:nvSpPr>
      <xdr:spPr>
        <a:xfrm>
          <a:off x="11406094" y="4825999"/>
          <a:ext cx="2614706" cy="743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i="0" u="none" strike="noStrike">
              <a:solidFill>
                <a:schemeClr val="tx1"/>
              </a:solidFill>
              <a:effectLst/>
              <a:latin typeface="+mn-lt"/>
              <a:ea typeface="+mn-ea"/>
              <a:cs typeface="+mn-cs"/>
            </a:rPr>
            <a:t>8.3</a:t>
          </a:r>
          <a:r>
            <a:rPr lang="en-US" sz="4000" b="1">
              <a:effectLst/>
            </a:rPr>
            <a:t> </a:t>
          </a:r>
          <a:r>
            <a:rPr lang="ar-EG" sz="4000" b="1">
              <a:effectLst/>
            </a:rPr>
            <a:t>%</a:t>
          </a:r>
          <a:endParaRPr lang="en-US" sz="4000" b="1"/>
        </a:p>
      </xdr:txBody>
    </xdr:sp>
    <xdr:clientData/>
  </xdr:oneCellAnchor>
  <xdr:twoCellAnchor>
    <xdr:from>
      <xdr:col>21</xdr:col>
      <xdr:colOff>369046</xdr:colOff>
      <xdr:row>27</xdr:row>
      <xdr:rowOff>140446</xdr:rowOff>
    </xdr:from>
    <xdr:to>
      <xdr:col>22</xdr:col>
      <xdr:colOff>50799</xdr:colOff>
      <xdr:row>33</xdr:row>
      <xdr:rowOff>127000</xdr:rowOff>
    </xdr:to>
    <xdr:sp macro="" textlink="">
      <xdr:nvSpPr>
        <xdr:cNvPr id="34" name="Arrow: Down 33">
          <a:extLst>
            <a:ext uri="{FF2B5EF4-FFF2-40B4-BE49-F238E27FC236}">
              <a16:creationId xmlns:a16="http://schemas.microsoft.com/office/drawing/2014/main" id="{91B15494-F8E5-7FF9-397D-089D4CE54BEF}"/>
            </a:ext>
          </a:extLst>
        </xdr:cNvPr>
        <xdr:cNvSpPr/>
      </xdr:nvSpPr>
      <xdr:spPr>
        <a:xfrm>
          <a:off x="13170646" y="4941046"/>
          <a:ext cx="291353" cy="1053354"/>
        </a:xfrm>
        <a:prstGeom prst="down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24</xdr:col>
      <xdr:colOff>562536</xdr:colOff>
      <xdr:row>11</xdr:row>
      <xdr:rowOff>156883</xdr:rowOff>
    </xdr:from>
    <xdr:to>
      <xdr:col>37</xdr:col>
      <xdr:colOff>470647</xdr:colOff>
      <xdr:row>45</xdr:row>
      <xdr:rowOff>67236</xdr:rowOff>
    </xdr:to>
    <xdr:grpSp>
      <xdr:nvGrpSpPr>
        <xdr:cNvPr id="5" name="Group 4">
          <a:extLst>
            <a:ext uri="{FF2B5EF4-FFF2-40B4-BE49-F238E27FC236}">
              <a16:creationId xmlns:a16="http://schemas.microsoft.com/office/drawing/2014/main" id="{DCA56690-91BA-3809-D936-F87E33C3D83C}"/>
            </a:ext>
          </a:extLst>
        </xdr:cNvPr>
        <xdr:cNvGrpSpPr/>
      </xdr:nvGrpSpPr>
      <xdr:grpSpPr>
        <a:xfrm>
          <a:off x="15066812" y="2180124"/>
          <a:ext cx="7764594" cy="6164009"/>
          <a:chOff x="8585948" y="965946"/>
          <a:chExt cx="5074024" cy="4345642"/>
        </a:xfrm>
      </xdr:grpSpPr>
      <xdr:graphicFrame macro="">
        <xdr:nvGraphicFramePr>
          <xdr:cNvPr id="35" name="Chart 34">
            <a:extLst>
              <a:ext uri="{FF2B5EF4-FFF2-40B4-BE49-F238E27FC236}">
                <a16:creationId xmlns:a16="http://schemas.microsoft.com/office/drawing/2014/main" id="{128A0205-4C8A-4A62-83F4-DBD05F2E5225}"/>
              </a:ext>
            </a:extLst>
          </xdr:cNvPr>
          <xdr:cNvGraphicFramePr>
            <a:graphicFrameLocks/>
          </xdr:cNvGraphicFramePr>
        </xdr:nvGraphicFramePr>
        <xdr:xfrm>
          <a:off x="8665153" y="1028765"/>
          <a:ext cx="4913995" cy="424702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Rectangle: Rounded Corners 35">
            <a:extLst>
              <a:ext uri="{FF2B5EF4-FFF2-40B4-BE49-F238E27FC236}">
                <a16:creationId xmlns:a16="http://schemas.microsoft.com/office/drawing/2014/main" id="{FBF2D732-9086-4C0C-8586-2EA296BEF1FD}"/>
              </a:ext>
            </a:extLst>
          </xdr:cNvPr>
          <xdr:cNvSpPr/>
        </xdr:nvSpPr>
        <xdr:spPr>
          <a:xfrm>
            <a:off x="8585948" y="965946"/>
            <a:ext cx="5074024" cy="4345642"/>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38</xdr:col>
      <xdr:colOff>403411</xdr:colOff>
      <xdr:row>11</xdr:row>
      <xdr:rowOff>134471</xdr:rowOff>
    </xdr:from>
    <xdr:to>
      <xdr:col>61</xdr:col>
      <xdr:colOff>134471</xdr:colOff>
      <xdr:row>46</xdr:row>
      <xdr:rowOff>22413</xdr:rowOff>
    </xdr:to>
    <xdr:sp macro="" textlink="">
      <xdr:nvSpPr>
        <xdr:cNvPr id="37" name="Rectangle: Rounded Corners 36">
          <a:extLst>
            <a:ext uri="{FF2B5EF4-FFF2-40B4-BE49-F238E27FC236}">
              <a16:creationId xmlns:a16="http://schemas.microsoft.com/office/drawing/2014/main" id="{7969D0A9-24B9-440C-95B8-256F6C4ABB0F}"/>
            </a:ext>
          </a:extLst>
        </xdr:cNvPr>
        <xdr:cNvSpPr/>
      </xdr:nvSpPr>
      <xdr:spPr>
        <a:xfrm>
          <a:off x="23397882" y="2106706"/>
          <a:ext cx="13648765" cy="6163236"/>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73269</xdr:colOff>
      <xdr:row>47</xdr:row>
      <xdr:rowOff>171362</xdr:rowOff>
    </xdr:from>
    <xdr:to>
      <xdr:col>37</xdr:col>
      <xdr:colOff>537883</xdr:colOff>
      <xdr:row>81</xdr:row>
      <xdr:rowOff>81888</xdr:rowOff>
    </xdr:to>
    <xdr:grpSp>
      <xdr:nvGrpSpPr>
        <xdr:cNvPr id="7" name="Group 6">
          <a:extLst>
            <a:ext uri="{FF2B5EF4-FFF2-40B4-BE49-F238E27FC236}">
              <a16:creationId xmlns:a16="http://schemas.microsoft.com/office/drawing/2014/main" id="{1A0243FA-98D1-3CB8-1B95-243EC63CFBA1}"/>
            </a:ext>
          </a:extLst>
        </xdr:cNvPr>
        <xdr:cNvGrpSpPr/>
      </xdr:nvGrpSpPr>
      <xdr:grpSpPr>
        <a:xfrm>
          <a:off x="6721062" y="8816121"/>
          <a:ext cx="16177580" cy="6164181"/>
          <a:chOff x="3098857" y="5482951"/>
          <a:chExt cx="10682653" cy="6006526"/>
        </a:xfrm>
      </xdr:grpSpPr>
      <xdr:graphicFrame macro="">
        <xdr:nvGraphicFramePr>
          <xdr:cNvPr id="13" name="Chart 12">
            <a:extLst>
              <a:ext uri="{FF2B5EF4-FFF2-40B4-BE49-F238E27FC236}">
                <a16:creationId xmlns:a16="http://schemas.microsoft.com/office/drawing/2014/main" id="{566AA476-0107-4309-8F4D-34649072031A}"/>
              </a:ext>
            </a:extLst>
          </xdr:cNvPr>
          <xdr:cNvGraphicFramePr>
            <a:graphicFrameLocks/>
          </xdr:cNvGraphicFramePr>
        </xdr:nvGraphicFramePr>
        <xdr:xfrm>
          <a:off x="8384469" y="5678110"/>
          <a:ext cx="4678926" cy="27316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a:extLst>
              <a:ext uri="{FF2B5EF4-FFF2-40B4-BE49-F238E27FC236}">
                <a16:creationId xmlns:a16="http://schemas.microsoft.com/office/drawing/2014/main" id="{20D6723C-B1F9-46C0-9263-CAE8E6A2FB0B}"/>
              </a:ext>
            </a:extLst>
          </xdr:cNvPr>
          <xdr:cNvGraphicFramePr>
            <a:graphicFrameLocks/>
          </xdr:cNvGraphicFramePr>
        </xdr:nvGraphicFramePr>
        <xdr:xfrm>
          <a:off x="9090302" y="8460976"/>
          <a:ext cx="3832032" cy="2847187"/>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38" name="Rectangle: Rounded Corners 37">
            <a:extLst>
              <a:ext uri="{FF2B5EF4-FFF2-40B4-BE49-F238E27FC236}">
                <a16:creationId xmlns:a16="http://schemas.microsoft.com/office/drawing/2014/main" id="{557807C4-292B-48F5-ABD2-5C4EC7875A86}"/>
              </a:ext>
            </a:extLst>
          </xdr:cNvPr>
          <xdr:cNvSpPr/>
        </xdr:nvSpPr>
        <xdr:spPr>
          <a:xfrm>
            <a:off x="3098857" y="5482951"/>
            <a:ext cx="10682653" cy="6006526"/>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1" name="Chart 10">
            <a:extLst>
              <a:ext uri="{FF2B5EF4-FFF2-40B4-BE49-F238E27FC236}">
                <a16:creationId xmlns:a16="http://schemas.microsoft.com/office/drawing/2014/main" id="{61AE75C0-37BD-4FA3-9192-E750F3932F67}"/>
              </a:ext>
            </a:extLst>
          </xdr:cNvPr>
          <xdr:cNvGraphicFramePr>
            <a:graphicFrameLocks/>
          </xdr:cNvGraphicFramePr>
        </xdr:nvGraphicFramePr>
        <xdr:xfrm>
          <a:off x="3227550" y="5690002"/>
          <a:ext cx="5151864" cy="544088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38</xdr:col>
      <xdr:colOff>336176</xdr:colOff>
      <xdr:row>47</xdr:row>
      <xdr:rowOff>172987</xdr:rowOff>
    </xdr:from>
    <xdr:to>
      <xdr:col>61</xdr:col>
      <xdr:colOff>403412</xdr:colOff>
      <xdr:row>82</xdr:row>
      <xdr:rowOff>101600</xdr:rowOff>
    </xdr:to>
    <xdr:grpSp>
      <xdr:nvGrpSpPr>
        <xdr:cNvPr id="50" name="Group 49">
          <a:extLst>
            <a:ext uri="{FF2B5EF4-FFF2-40B4-BE49-F238E27FC236}">
              <a16:creationId xmlns:a16="http://schemas.microsoft.com/office/drawing/2014/main" id="{C0D20798-E859-AFE7-9A16-98172BCA9FCB}"/>
            </a:ext>
          </a:extLst>
        </xdr:cNvPr>
        <xdr:cNvGrpSpPr/>
      </xdr:nvGrpSpPr>
      <xdr:grpSpPr>
        <a:xfrm>
          <a:off x="23301279" y="8817746"/>
          <a:ext cx="13967167" cy="6366199"/>
          <a:chOff x="23913353" y="8577400"/>
          <a:chExt cx="12958172" cy="6232087"/>
        </a:xfrm>
      </xdr:grpSpPr>
      <xdr:sp macro="" textlink="">
        <xdr:nvSpPr>
          <xdr:cNvPr id="39" name="Rectangle: Rounded Corners 38">
            <a:extLst>
              <a:ext uri="{FF2B5EF4-FFF2-40B4-BE49-F238E27FC236}">
                <a16:creationId xmlns:a16="http://schemas.microsoft.com/office/drawing/2014/main" id="{997884F9-17EE-4639-B82F-5E4AB3194304}"/>
              </a:ext>
            </a:extLst>
          </xdr:cNvPr>
          <xdr:cNvSpPr/>
        </xdr:nvSpPr>
        <xdr:spPr>
          <a:xfrm>
            <a:off x="23913353" y="8577400"/>
            <a:ext cx="12897399" cy="6118985"/>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17" name="Chart 16">
            <a:extLst>
              <a:ext uri="{FF2B5EF4-FFF2-40B4-BE49-F238E27FC236}">
                <a16:creationId xmlns:a16="http://schemas.microsoft.com/office/drawing/2014/main" id="{50082F75-C99E-4019-8E13-67B426C62963}"/>
              </a:ext>
            </a:extLst>
          </xdr:cNvPr>
          <xdr:cNvGraphicFramePr>
            <a:graphicFrameLocks/>
          </xdr:cNvGraphicFramePr>
        </xdr:nvGraphicFramePr>
        <xdr:xfrm>
          <a:off x="24007676" y="8695765"/>
          <a:ext cx="12863849" cy="611372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26186</xdr:colOff>
      <xdr:row>84</xdr:row>
      <xdr:rowOff>85044</xdr:rowOff>
    </xdr:from>
    <xdr:to>
      <xdr:col>25</xdr:col>
      <xdr:colOff>254000</xdr:colOff>
      <xdr:row>129</xdr:row>
      <xdr:rowOff>25400</xdr:rowOff>
    </xdr:to>
    <xdr:grpSp>
      <xdr:nvGrpSpPr>
        <xdr:cNvPr id="10" name="Group 9">
          <a:extLst>
            <a:ext uri="{FF2B5EF4-FFF2-40B4-BE49-F238E27FC236}">
              <a16:creationId xmlns:a16="http://schemas.microsoft.com/office/drawing/2014/main" id="{913E1C41-023A-12A6-F0ED-FAD832DF1458}"/>
            </a:ext>
          </a:extLst>
        </xdr:cNvPr>
        <xdr:cNvGrpSpPr/>
      </xdr:nvGrpSpPr>
      <xdr:grpSpPr>
        <a:xfrm>
          <a:off x="6673979" y="15535251"/>
          <a:ext cx="8688642" cy="8217252"/>
          <a:chOff x="3145904" y="11719738"/>
          <a:chExt cx="5586427" cy="5333256"/>
        </a:xfrm>
      </xdr:grpSpPr>
      <xdr:graphicFrame macro="">
        <xdr:nvGraphicFramePr>
          <xdr:cNvPr id="15" name="Chart 14">
            <a:extLst>
              <a:ext uri="{FF2B5EF4-FFF2-40B4-BE49-F238E27FC236}">
                <a16:creationId xmlns:a16="http://schemas.microsoft.com/office/drawing/2014/main" id="{A2D9750A-9B75-45D2-A1FC-1AE7E4698160}"/>
              </a:ext>
            </a:extLst>
          </xdr:cNvPr>
          <xdr:cNvGraphicFramePr>
            <a:graphicFrameLocks/>
          </xdr:cNvGraphicFramePr>
        </xdr:nvGraphicFramePr>
        <xdr:xfrm>
          <a:off x="3303525" y="11982736"/>
          <a:ext cx="5144529" cy="463637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40" name="Rectangle: Rounded Corners 39">
            <a:extLst>
              <a:ext uri="{FF2B5EF4-FFF2-40B4-BE49-F238E27FC236}">
                <a16:creationId xmlns:a16="http://schemas.microsoft.com/office/drawing/2014/main" id="{7A50DAC0-BDD5-4372-8836-2A8DB2928C51}"/>
              </a:ext>
            </a:extLst>
          </xdr:cNvPr>
          <xdr:cNvSpPr/>
        </xdr:nvSpPr>
        <xdr:spPr>
          <a:xfrm>
            <a:off x="3145904" y="11719738"/>
            <a:ext cx="5586427" cy="5333256"/>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24</xdr:col>
      <xdr:colOff>431800</xdr:colOff>
      <xdr:row>84</xdr:row>
      <xdr:rowOff>18088</xdr:rowOff>
    </xdr:from>
    <xdr:to>
      <xdr:col>61</xdr:col>
      <xdr:colOff>330199</xdr:colOff>
      <xdr:row>129</xdr:row>
      <xdr:rowOff>101600</xdr:rowOff>
    </xdr:to>
    <xdr:grpSp>
      <xdr:nvGrpSpPr>
        <xdr:cNvPr id="12" name="Group 11">
          <a:extLst>
            <a:ext uri="{FF2B5EF4-FFF2-40B4-BE49-F238E27FC236}">
              <a16:creationId xmlns:a16="http://schemas.microsoft.com/office/drawing/2014/main" id="{F6502A59-AE01-A788-4E86-00AB7FBBF40D}"/>
            </a:ext>
          </a:extLst>
        </xdr:cNvPr>
        <xdr:cNvGrpSpPr/>
      </xdr:nvGrpSpPr>
      <xdr:grpSpPr>
        <a:xfrm>
          <a:off x="14936076" y="15468295"/>
          <a:ext cx="22259157" cy="8360408"/>
          <a:chOff x="8273641" y="11754382"/>
          <a:chExt cx="16051381" cy="5418927"/>
        </a:xfrm>
      </xdr:grpSpPr>
      <xdr:graphicFrame macro="">
        <xdr:nvGraphicFramePr>
          <xdr:cNvPr id="16" name="Chart 15">
            <a:extLst>
              <a:ext uri="{FF2B5EF4-FFF2-40B4-BE49-F238E27FC236}">
                <a16:creationId xmlns:a16="http://schemas.microsoft.com/office/drawing/2014/main" id="{C07F9030-72DA-439A-AB13-4C2914D92314}"/>
              </a:ext>
            </a:extLst>
          </xdr:cNvPr>
          <xdr:cNvGraphicFramePr>
            <a:graphicFrameLocks/>
          </xdr:cNvGraphicFramePr>
        </xdr:nvGraphicFramePr>
        <xdr:xfrm>
          <a:off x="8273641" y="12116269"/>
          <a:ext cx="7900992" cy="4527928"/>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8" name="Chart 17">
            <a:extLst>
              <a:ext uri="{FF2B5EF4-FFF2-40B4-BE49-F238E27FC236}">
                <a16:creationId xmlns:a16="http://schemas.microsoft.com/office/drawing/2014/main" id="{1C3B682B-BCBF-407C-B02E-BD9697D89053}"/>
              </a:ext>
            </a:extLst>
          </xdr:cNvPr>
          <xdr:cNvGraphicFramePr>
            <a:graphicFrameLocks/>
          </xdr:cNvGraphicFramePr>
        </xdr:nvGraphicFramePr>
        <xdr:xfrm>
          <a:off x="16789588" y="11997638"/>
          <a:ext cx="7432848" cy="496130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41" name="Rectangle: Rounded Corners 40">
            <a:extLst>
              <a:ext uri="{FF2B5EF4-FFF2-40B4-BE49-F238E27FC236}">
                <a16:creationId xmlns:a16="http://schemas.microsoft.com/office/drawing/2014/main" id="{3FB55A48-5CAC-4314-8392-276A46E31A57}"/>
              </a:ext>
            </a:extLst>
          </xdr:cNvPr>
          <xdr:cNvSpPr/>
        </xdr:nvSpPr>
        <xdr:spPr>
          <a:xfrm>
            <a:off x="9053174" y="11754382"/>
            <a:ext cx="15271848" cy="5418927"/>
          </a:xfrm>
          <a:prstGeom prst="roundRect">
            <a:avLst>
              <a:gd name="adj" fmla="val 5129"/>
            </a:avLst>
          </a:prstGeom>
          <a:noFill/>
          <a:ln>
            <a:solidFill>
              <a:srgbClr val="92D050"/>
            </a:solidFill>
          </a:ln>
          <a:effectLst>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0</xdr:col>
      <xdr:colOff>320488</xdr:colOff>
      <xdr:row>13</xdr:row>
      <xdr:rowOff>29135</xdr:rowOff>
    </xdr:from>
    <xdr:to>
      <xdr:col>14</xdr:col>
      <xdr:colOff>22413</xdr:colOff>
      <xdr:row>25</xdr:row>
      <xdr:rowOff>67235</xdr:rowOff>
    </xdr:to>
    <xdr:grpSp>
      <xdr:nvGrpSpPr>
        <xdr:cNvPr id="2" name="Group 1">
          <a:extLst>
            <a:ext uri="{FF2B5EF4-FFF2-40B4-BE49-F238E27FC236}">
              <a16:creationId xmlns:a16="http://schemas.microsoft.com/office/drawing/2014/main" id="{5D4C9CDC-24B5-0E43-2105-A2BA61FF69CD}"/>
            </a:ext>
          </a:extLst>
        </xdr:cNvPr>
        <xdr:cNvGrpSpPr/>
      </xdr:nvGrpSpPr>
      <xdr:grpSpPr>
        <a:xfrm>
          <a:off x="320488" y="2420238"/>
          <a:ext cx="8162753" cy="2245273"/>
          <a:chOff x="118782" y="970430"/>
          <a:chExt cx="4189260" cy="3007658"/>
        </a:xfrm>
      </xdr:grpSpPr>
      <xdr:sp macro="" textlink="">
        <xdr:nvSpPr>
          <xdr:cNvPr id="22" name="Rectangle: Rounded Corners 21">
            <a:extLst>
              <a:ext uri="{FF2B5EF4-FFF2-40B4-BE49-F238E27FC236}">
                <a16:creationId xmlns:a16="http://schemas.microsoft.com/office/drawing/2014/main" id="{60C20688-5873-49CD-A574-991287A60C26}"/>
              </a:ext>
            </a:extLst>
          </xdr:cNvPr>
          <xdr:cNvSpPr/>
        </xdr:nvSpPr>
        <xdr:spPr>
          <a:xfrm>
            <a:off x="118782" y="970430"/>
            <a:ext cx="2891117" cy="3007658"/>
          </a:xfrm>
          <a:prstGeom prst="roundRect">
            <a:avLst>
              <a:gd name="adj" fmla="val 5129"/>
            </a:avLst>
          </a:prstGeom>
          <a:noFill/>
          <a:ln>
            <a:solidFill>
              <a:srgbClr val="92D050"/>
            </a:solidFill>
          </a:ln>
          <a:effectLst>
            <a:glow rad="101600">
              <a:schemeClr val="accent4">
                <a:satMod val="175000"/>
                <a:alpha val="40000"/>
              </a:schemeClr>
            </a:glow>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4" name="TextBox 43">
            <a:extLst>
              <a:ext uri="{FF2B5EF4-FFF2-40B4-BE49-F238E27FC236}">
                <a16:creationId xmlns:a16="http://schemas.microsoft.com/office/drawing/2014/main" id="{085CF7F0-6181-72D4-88A1-D5BBEF0515DE}"/>
              </a:ext>
            </a:extLst>
          </xdr:cNvPr>
          <xdr:cNvSpPr txBox="1"/>
        </xdr:nvSpPr>
        <xdr:spPr>
          <a:xfrm>
            <a:off x="704592" y="1120131"/>
            <a:ext cx="1960828" cy="733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t>TOTAL</a:t>
            </a:r>
            <a:r>
              <a:rPr lang="en-US" sz="2800" b="1" baseline="0"/>
              <a:t> EMISSIONS </a:t>
            </a:r>
            <a:endParaRPr lang="en-US" sz="2800" b="1"/>
          </a:p>
        </xdr:txBody>
      </xdr:sp>
      <xdr:sp macro="" textlink="">
        <xdr:nvSpPr>
          <xdr:cNvPr id="45" name="TextBox 44">
            <a:extLst>
              <a:ext uri="{FF2B5EF4-FFF2-40B4-BE49-F238E27FC236}">
                <a16:creationId xmlns:a16="http://schemas.microsoft.com/office/drawing/2014/main" id="{9D58D3D8-D6EE-4075-8B0C-359762903927}"/>
              </a:ext>
            </a:extLst>
          </xdr:cNvPr>
          <xdr:cNvSpPr txBox="1"/>
        </xdr:nvSpPr>
        <xdr:spPr>
          <a:xfrm>
            <a:off x="1206270" y="2840703"/>
            <a:ext cx="3101772" cy="1045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i="0" u="none" strike="noStrike">
                <a:solidFill>
                  <a:schemeClr val="tx1"/>
                </a:solidFill>
                <a:effectLst/>
                <a:latin typeface="+mn-lt"/>
                <a:ea typeface="+mn-ea"/>
                <a:cs typeface="+mn-cs"/>
              </a:rPr>
              <a:t>104559938 </a:t>
            </a:r>
            <a:r>
              <a:rPr lang="en-US" sz="3200" b="1"/>
              <a:t>GtCO₂e</a:t>
            </a:r>
          </a:p>
        </xdr:txBody>
      </xdr:sp>
    </xdr:grpSp>
    <xdr:clientData/>
  </xdr:twoCellAnchor>
  <xdr:twoCellAnchor>
    <xdr:from>
      <xdr:col>0</xdr:col>
      <xdr:colOff>235591</xdr:colOff>
      <xdr:row>28</xdr:row>
      <xdr:rowOff>42863</xdr:rowOff>
    </xdr:from>
    <xdr:to>
      <xdr:col>12</xdr:col>
      <xdr:colOff>101600</xdr:colOff>
      <xdr:row>39</xdr:row>
      <xdr:rowOff>98611</xdr:rowOff>
    </xdr:to>
    <xdr:grpSp>
      <xdr:nvGrpSpPr>
        <xdr:cNvPr id="21" name="Group 20">
          <a:extLst>
            <a:ext uri="{FF2B5EF4-FFF2-40B4-BE49-F238E27FC236}">
              <a16:creationId xmlns:a16="http://schemas.microsoft.com/office/drawing/2014/main" id="{9DF7007C-2B1B-E123-A5F5-AF6B8E45042D}"/>
            </a:ext>
          </a:extLst>
        </xdr:cNvPr>
        <xdr:cNvGrpSpPr/>
      </xdr:nvGrpSpPr>
      <xdr:grpSpPr>
        <a:xfrm>
          <a:off x="235591" y="5192932"/>
          <a:ext cx="7118147" cy="2078989"/>
          <a:chOff x="269177" y="5453762"/>
          <a:chExt cx="3583387" cy="2664536"/>
        </a:xfrm>
      </xdr:grpSpPr>
      <xdr:sp macro="" textlink="">
        <xdr:nvSpPr>
          <xdr:cNvPr id="24" name="Rectangle: Rounded Corners 23">
            <a:extLst>
              <a:ext uri="{FF2B5EF4-FFF2-40B4-BE49-F238E27FC236}">
                <a16:creationId xmlns:a16="http://schemas.microsoft.com/office/drawing/2014/main" id="{B695CD2F-B189-4D77-8AAC-2335FCA9C914}"/>
              </a:ext>
            </a:extLst>
          </xdr:cNvPr>
          <xdr:cNvSpPr/>
        </xdr:nvSpPr>
        <xdr:spPr>
          <a:xfrm>
            <a:off x="269177" y="5463359"/>
            <a:ext cx="2900948" cy="2625518"/>
          </a:xfrm>
          <a:prstGeom prst="roundRect">
            <a:avLst>
              <a:gd name="adj" fmla="val 5129"/>
            </a:avLst>
          </a:prstGeom>
          <a:noFill/>
          <a:ln>
            <a:solidFill>
              <a:srgbClr val="92D050"/>
            </a:solidFill>
          </a:ln>
          <a:effectLst>
            <a:glow rad="101600">
              <a:schemeClr val="accent4">
                <a:satMod val="175000"/>
                <a:alpha val="40000"/>
              </a:schemeClr>
            </a:glow>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F5952753-1B08-4BEA-887C-0EE174DF4046}"/>
              </a:ext>
            </a:extLst>
          </xdr:cNvPr>
          <xdr:cNvSpPr txBox="1"/>
        </xdr:nvSpPr>
        <xdr:spPr>
          <a:xfrm>
            <a:off x="618264" y="5453762"/>
            <a:ext cx="2382253" cy="12950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t>Leading Country in Emissions</a:t>
            </a:r>
            <a:r>
              <a:rPr lang="en-US" sz="2800"/>
              <a:t>  </a:t>
            </a:r>
            <a:r>
              <a:rPr lang="ar-EG" sz="2800"/>
              <a:t>)             </a:t>
            </a:r>
            <a:r>
              <a:rPr lang="en-US" sz="2800" b="1"/>
              <a:t>China </a:t>
            </a:r>
            <a:r>
              <a:rPr lang="ar-EG" sz="2800" b="1"/>
              <a:t>(</a:t>
            </a:r>
            <a:endParaRPr lang="en-US" sz="2800" b="1"/>
          </a:p>
        </xdr:txBody>
      </xdr:sp>
      <xdr:sp macro="" textlink="">
        <xdr:nvSpPr>
          <xdr:cNvPr id="49" name="TextBox 48">
            <a:extLst>
              <a:ext uri="{FF2B5EF4-FFF2-40B4-BE49-F238E27FC236}">
                <a16:creationId xmlns:a16="http://schemas.microsoft.com/office/drawing/2014/main" id="{333B0BB6-489E-4347-97A6-BC5941063817}"/>
              </a:ext>
            </a:extLst>
          </xdr:cNvPr>
          <xdr:cNvSpPr txBox="1"/>
        </xdr:nvSpPr>
        <xdr:spPr>
          <a:xfrm>
            <a:off x="1470311" y="7296220"/>
            <a:ext cx="2382253" cy="822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ar-EG" sz="3000" b="1"/>
              <a:t>13</a:t>
            </a:r>
            <a:r>
              <a:rPr lang="en-US" sz="3000" b="1"/>
              <a:t>.5</a:t>
            </a:r>
            <a:r>
              <a:rPr lang="ar-EG" sz="3000" b="1"/>
              <a:t> </a:t>
            </a:r>
            <a:r>
              <a:rPr lang="en-US" sz="3000" b="1"/>
              <a:t>%</a:t>
            </a:r>
          </a:p>
        </xdr:txBody>
      </xdr:sp>
    </xdr:grpSp>
    <xdr:clientData/>
  </xdr:twoCellAnchor>
  <xdr:twoCellAnchor>
    <xdr:from>
      <xdr:col>0</xdr:col>
      <xdr:colOff>263890</xdr:colOff>
      <xdr:row>42</xdr:row>
      <xdr:rowOff>50800</xdr:rowOff>
    </xdr:from>
    <xdr:to>
      <xdr:col>10</xdr:col>
      <xdr:colOff>50800</xdr:colOff>
      <xdr:row>54</xdr:row>
      <xdr:rowOff>16080</xdr:rowOff>
    </xdr:to>
    <xdr:grpSp>
      <xdr:nvGrpSpPr>
        <xdr:cNvPr id="23" name="Group 22">
          <a:extLst>
            <a:ext uri="{FF2B5EF4-FFF2-40B4-BE49-F238E27FC236}">
              <a16:creationId xmlns:a16="http://schemas.microsoft.com/office/drawing/2014/main" id="{B10870E3-1366-5F11-14F2-B804972F529E}"/>
            </a:ext>
          </a:extLst>
        </xdr:cNvPr>
        <xdr:cNvGrpSpPr/>
      </xdr:nvGrpSpPr>
      <xdr:grpSpPr>
        <a:xfrm>
          <a:off x="263890" y="7775903"/>
          <a:ext cx="5830358" cy="2172453"/>
          <a:chOff x="123461" y="11774434"/>
          <a:chExt cx="2904486" cy="2266929"/>
        </a:xfrm>
      </xdr:grpSpPr>
      <xdr:sp macro="" textlink="">
        <xdr:nvSpPr>
          <xdr:cNvPr id="19" name="Rectangle: Rounded Corners 18">
            <a:extLst>
              <a:ext uri="{FF2B5EF4-FFF2-40B4-BE49-F238E27FC236}">
                <a16:creationId xmlns:a16="http://schemas.microsoft.com/office/drawing/2014/main" id="{42767A89-2E3F-6721-56E2-26961723F115}"/>
              </a:ext>
            </a:extLst>
          </xdr:cNvPr>
          <xdr:cNvSpPr/>
        </xdr:nvSpPr>
        <xdr:spPr>
          <a:xfrm>
            <a:off x="123461" y="11774434"/>
            <a:ext cx="2904486" cy="2266929"/>
          </a:xfrm>
          <a:prstGeom prst="roundRect">
            <a:avLst>
              <a:gd name="adj" fmla="val 5129"/>
            </a:avLst>
          </a:prstGeom>
          <a:noFill/>
          <a:ln>
            <a:solidFill>
              <a:srgbClr val="92D050"/>
            </a:solidFill>
          </a:ln>
          <a:effectLst>
            <a:glow rad="101600">
              <a:schemeClr val="accent4">
                <a:satMod val="175000"/>
                <a:alpha val="40000"/>
              </a:schemeClr>
            </a:glow>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0C49BA7A-CA9E-C5E9-BCCB-C0A1D2B87341}"/>
              </a:ext>
            </a:extLst>
          </xdr:cNvPr>
          <xdr:cNvSpPr txBox="1"/>
        </xdr:nvSpPr>
        <xdr:spPr>
          <a:xfrm>
            <a:off x="577691" y="11946347"/>
            <a:ext cx="2286001" cy="573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t>Highest Emission Gas</a:t>
            </a:r>
          </a:p>
        </xdr:txBody>
      </xdr:sp>
      <xdr:sp macro="" textlink="">
        <xdr:nvSpPr>
          <xdr:cNvPr id="54" name="TextBox 53">
            <a:extLst>
              <a:ext uri="{FF2B5EF4-FFF2-40B4-BE49-F238E27FC236}">
                <a16:creationId xmlns:a16="http://schemas.microsoft.com/office/drawing/2014/main" id="{AC640A06-B7EC-5B7A-3A6D-3BC76AB6A653}"/>
              </a:ext>
            </a:extLst>
          </xdr:cNvPr>
          <xdr:cNvSpPr txBox="1"/>
        </xdr:nvSpPr>
        <xdr:spPr>
          <a:xfrm>
            <a:off x="2334879" y="13243531"/>
            <a:ext cx="553454" cy="606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000" b="1"/>
              <a:t>65.7%</a:t>
            </a:r>
          </a:p>
        </xdr:txBody>
      </xdr:sp>
    </xdr:grpSp>
    <xdr:clientData/>
  </xdr:twoCellAnchor>
  <xdr:twoCellAnchor>
    <xdr:from>
      <xdr:col>3</xdr:col>
      <xdr:colOff>540240</xdr:colOff>
      <xdr:row>3</xdr:row>
      <xdr:rowOff>141195</xdr:rowOff>
    </xdr:from>
    <xdr:to>
      <xdr:col>42</xdr:col>
      <xdr:colOff>179295</xdr:colOff>
      <xdr:row>7</xdr:row>
      <xdr:rowOff>22412</xdr:rowOff>
    </xdr:to>
    <xdr:sp macro="" textlink="">
      <xdr:nvSpPr>
        <xdr:cNvPr id="58" name="Rectangle: Rounded Corners 57">
          <a:extLst>
            <a:ext uri="{FF2B5EF4-FFF2-40B4-BE49-F238E27FC236}">
              <a16:creationId xmlns:a16="http://schemas.microsoft.com/office/drawing/2014/main" id="{67DAE08A-A6E4-4C04-B074-BB296937879B}"/>
            </a:ext>
          </a:extLst>
        </xdr:cNvPr>
        <xdr:cNvSpPr/>
      </xdr:nvSpPr>
      <xdr:spPr>
        <a:xfrm>
          <a:off x="2355593" y="679077"/>
          <a:ext cx="23238643" cy="598394"/>
        </a:xfrm>
        <a:prstGeom prst="roundRect">
          <a:avLst>
            <a:gd name="adj" fmla="val 5129"/>
          </a:avLst>
        </a:prstGeom>
        <a:noFill/>
        <a:ln>
          <a:solidFill>
            <a:srgbClr val="92D050"/>
          </a:solidFill>
        </a:ln>
        <a:effectLst>
          <a:glow rad="101600">
            <a:schemeClr val="accent4">
              <a:satMod val="175000"/>
              <a:alpha val="40000"/>
            </a:schemeClr>
          </a:glow>
          <a:outerShdw blurRad="50800" dist="50800" dir="5400000" algn="ctr" rotWithShape="0">
            <a:srgbClr val="92D050"/>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oneCellAnchor>
    <xdr:from>
      <xdr:col>0</xdr:col>
      <xdr:colOff>254000</xdr:colOff>
      <xdr:row>2</xdr:row>
      <xdr:rowOff>44116</xdr:rowOff>
    </xdr:from>
    <xdr:ext cx="36931600" cy="1429084"/>
    <xdr:sp macro="" textlink="">
      <xdr:nvSpPr>
        <xdr:cNvPr id="59" name="TextBox 58">
          <a:extLst>
            <a:ext uri="{FF2B5EF4-FFF2-40B4-BE49-F238E27FC236}">
              <a16:creationId xmlns:a16="http://schemas.microsoft.com/office/drawing/2014/main" id="{88F6F31D-F88D-7FED-C6D3-8F1E9DCBBDDE}"/>
            </a:ext>
          </a:extLst>
        </xdr:cNvPr>
        <xdr:cNvSpPr txBox="1"/>
      </xdr:nvSpPr>
      <xdr:spPr>
        <a:xfrm>
          <a:off x="254000" y="399716"/>
          <a:ext cx="36931600" cy="1429084"/>
        </a:xfrm>
        <a:prstGeom prst="rect">
          <a:avLst/>
        </a:prstGeom>
        <a:noFill/>
        <a:ln>
          <a:solidFill>
            <a:srgbClr val="92D050"/>
          </a:solidFill>
        </a:ln>
        <a:effectLst>
          <a:outerShdw blurRad="50800" dist="50800" dir="5400000" algn="ctr" rotWithShape="0">
            <a:srgbClr val="92D050"/>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6000" b="1"/>
            <a:t>GREEN</a:t>
          </a:r>
          <a:r>
            <a:rPr lang="en-US" sz="6000" b="1" baseline="0"/>
            <a:t> HOUSE GASES EMISSIONS</a:t>
          </a:r>
          <a:endParaRPr lang="en-US" sz="6000" b="1"/>
        </a:p>
      </xdr:txBody>
    </xdr:sp>
    <xdr:clientData/>
  </xdr:oneCellAnchor>
  <xdr:oneCellAnchor>
    <xdr:from>
      <xdr:col>13</xdr:col>
      <xdr:colOff>101600</xdr:colOff>
      <xdr:row>19</xdr:row>
      <xdr:rowOff>50800</xdr:rowOff>
    </xdr:from>
    <xdr:ext cx="1972235" cy="593304"/>
    <xdr:sp macro="" textlink="">
      <xdr:nvSpPr>
        <xdr:cNvPr id="20" name="TextBox 19">
          <a:extLst>
            <a:ext uri="{FF2B5EF4-FFF2-40B4-BE49-F238E27FC236}">
              <a16:creationId xmlns:a16="http://schemas.microsoft.com/office/drawing/2014/main" id="{E3087C55-6073-4D03-B086-EEAAB6312E0D}"/>
            </a:ext>
          </a:extLst>
        </xdr:cNvPr>
        <xdr:cNvSpPr txBox="1"/>
      </xdr:nvSpPr>
      <xdr:spPr>
        <a:xfrm>
          <a:off x="8026400" y="3429000"/>
          <a:ext cx="197223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b="1" i="0" u="none" strike="noStrike">
              <a:solidFill>
                <a:schemeClr val="tx1"/>
              </a:solidFill>
              <a:effectLst/>
              <a:latin typeface="+mn-lt"/>
              <a:ea typeface="+mn-ea"/>
              <a:cs typeface="+mn-cs"/>
            </a:rPr>
            <a:t>2882427</a:t>
          </a:r>
          <a:r>
            <a:rPr lang="en-US" sz="3200">
              <a:effectLst/>
            </a:rPr>
            <a:t> </a:t>
          </a:r>
          <a:endParaRPr lang="en-US" sz="3200" b="1"/>
        </a:p>
      </xdr:txBody>
    </xdr:sp>
    <xdr:clientData/>
  </xdr:oneCellAnchor>
  <xdr:twoCellAnchor editAs="oneCell">
    <xdr:from>
      <xdr:col>0</xdr:col>
      <xdr:colOff>470648</xdr:colOff>
      <xdr:row>19</xdr:row>
      <xdr:rowOff>57660</xdr:rowOff>
    </xdr:from>
    <xdr:to>
      <xdr:col>2</xdr:col>
      <xdr:colOff>179295</xdr:colOff>
      <xdr:row>24</xdr:row>
      <xdr:rowOff>80071</xdr:rowOff>
    </xdr:to>
    <xdr:pic>
      <xdr:nvPicPr>
        <xdr:cNvPr id="42" name="Picture 41">
          <a:extLst>
            <a:ext uri="{FF2B5EF4-FFF2-40B4-BE49-F238E27FC236}">
              <a16:creationId xmlns:a16="http://schemas.microsoft.com/office/drawing/2014/main" id="{9D1183BA-AC68-DEE2-F1C2-36D31B4326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70648" y="3464248"/>
          <a:ext cx="918882" cy="918882"/>
        </a:xfrm>
        <a:prstGeom prst="rect">
          <a:avLst/>
        </a:prstGeom>
      </xdr:spPr>
    </xdr:pic>
    <xdr:clientData/>
  </xdr:twoCellAnchor>
  <xdr:twoCellAnchor>
    <xdr:from>
      <xdr:col>39</xdr:col>
      <xdr:colOff>156882</xdr:colOff>
      <xdr:row>13</xdr:row>
      <xdr:rowOff>156882</xdr:rowOff>
    </xdr:from>
    <xdr:to>
      <xdr:col>59</xdr:col>
      <xdr:colOff>515471</xdr:colOff>
      <xdr:row>43</xdr:row>
      <xdr:rowOff>159347</xdr:rowOff>
    </xdr:to>
    <xdr:graphicFrame macro="">
      <xdr:nvGraphicFramePr>
        <xdr:cNvPr id="43" name="Chart 42">
          <a:extLst>
            <a:ext uri="{FF2B5EF4-FFF2-40B4-BE49-F238E27FC236}">
              <a16:creationId xmlns:a16="http://schemas.microsoft.com/office/drawing/2014/main" id="{D214A5D3-800B-4321-92A6-FE54BE66E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321236</xdr:colOff>
      <xdr:row>33</xdr:row>
      <xdr:rowOff>126854</xdr:rowOff>
    </xdr:from>
    <xdr:to>
      <xdr:col>2</xdr:col>
      <xdr:colOff>52295</xdr:colOff>
      <xdr:row>38</xdr:row>
      <xdr:rowOff>171677</xdr:rowOff>
    </xdr:to>
    <xdr:pic>
      <xdr:nvPicPr>
        <xdr:cNvPr id="55" name="Picture 54">
          <a:extLst>
            <a:ext uri="{FF2B5EF4-FFF2-40B4-BE49-F238E27FC236}">
              <a16:creationId xmlns:a16="http://schemas.microsoft.com/office/drawing/2014/main" id="{93701CAC-E3DF-D183-0354-FB78E1A6076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21236" y="5994254"/>
          <a:ext cx="950259" cy="933823"/>
        </a:xfrm>
        <a:prstGeom prst="rect">
          <a:avLst/>
        </a:prstGeom>
      </xdr:spPr>
    </xdr:pic>
    <xdr:clientData/>
  </xdr:twoCellAnchor>
  <xdr:twoCellAnchor editAs="oneCell">
    <xdr:from>
      <xdr:col>0</xdr:col>
      <xdr:colOff>177800</xdr:colOff>
      <xdr:row>47</xdr:row>
      <xdr:rowOff>100990</xdr:rowOff>
    </xdr:from>
    <xdr:to>
      <xdr:col>1</xdr:col>
      <xdr:colOff>584200</xdr:colOff>
      <xdr:row>53</xdr:row>
      <xdr:rowOff>50190</xdr:rowOff>
    </xdr:to>
    <xdr:pic>
      <xdr:nvPicPr>
        <xdr:cNvPr id="61" name="Picture 60">
          <a:extLst>
            <a:ext uri="{FF2B5EF4-FFF2-40B4-BE49-F238E27FC236}">
              <a16:creationId xmlns:a16="http://schemas.microsoft.com/office/drawing/2014/main" id="{F42EAAC4-4AA3-A4E6-299A-16A6DAF09AD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7800" y="8457590"/>
          <a:ext cx="1016000" cy="1016000"/>
        </a:xfrm>
        <a:prstGeom prst="rect">
          <a:avLst/>
        </a:prstGeom>
      </xdr:spPr>
    </xdr:pic>
    <xdr:clientData/>
  </xdr:twoCellAnchor>
  <xdr:twoCellAnchor>
    <xdr:from>
      <xdr:col>0</xdr:col>
      <xdr:colOff>263890</xdr:colOff>
      <xdr:row>55</xdr:row>
      <xdr:rowOff>127000</xdr:rowOff>
    </xdr:from>
    <xdr:to>
      <xdr:col>10</xdr:col>
      <xdr:colOff>76200</xdr:colOff>
      <xdr:row>130</xdr:row>
      <xdr:rowOff>25400</xdr:rowOff>
    </xdr:to>
    <xdr:grpSp>
      <xdr:nvGrpSpPr>
        <xdr:cNvPr id="65" name="Group 64">
          <a:extLst>
            <a:ext uri="{FF2B5EF4-FFF2-40B4-BE49-F238E27FC236}">
              <a16:creationId xmlns:a16="http://schemas.microsoft.com/office/drawing/2014/main" id="{6E4C98FC-E179-0398-68F5-C50D65391F36}"/>
            </a:ext>
          </a:extLst>
        </xdr:cNvPr>
        <xdr:cNvGrpSpPr/>
      </xdr:nvGrpSpPr>
      <xdr:grpSpPr>
        <a:xfrm>
          <a:off x="263890" y="10243207"/>
          <a:ext cx="5855758" cy="13693227"/>
          <a:chOff x="289290" y="9779000"/>
          <a:chExt cx="5908310" cy="13309600"/>
        </a:xfrm>
      </xdr:grpSpPr>
      <mc:AlternateContent xmlns:mc="http://schemas.openxmlformats.org/markup-compatibility/2006">
        <mc:Choice xmlns:a14="http://schemas.microsoft.com/office/drawing/2010/main" Requires="a14">
          <xdr:graphicFrame macro="">
            <xdr:nvGraphicFramePr>
              <xdr:cNvPr id="60" name="year 2">
                <a:extLst>
                  <a:ext uri="{FF2B5EF4-FFF2-40B4-BE49-F238E27FC236}">
                    <a16:creationId xmlns:a16="http://schemas.microsoft.com/office/drawing/2014/main" id="{183794F2-2B3B-4062-87D2-9E9366841383}"/>
                  </a:ext>
                </a:extLst>
              </xdr:cNvPr>
              <xdr:cNvGraphicFramePr/>
            </xdr:nvGraphicFramePr>
            <xdr:xfrm>
              <a:off x="567054" y="9961282"/>
              <a:ext cx="5579746" cy="4850331"/>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539183" y="10430743"/>
                <a:ext cx="5530116" cy="4990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551E39EB-6C2E-4AD5-A33A-F1C43AA2EC59}"/>
                  </a:ext>
                </a:extLst>
              </xdr:cNvPr>
              <xdr:cNvGraphicFramePr/>
            </xdr:nvGraphicFramePr>
            <xdr:xfrm>
              <a:off x="509493" y="14964890"/>
              <a:ext cx="5637307" cy="510925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82134" y="15578572"/>
                <a:ext cx="5587165" cy="5256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sector 1">
                <a:extLst>
                  <a:ext uri="{FF2B5EF4-FFF2-40B4-BE49-F238E27FC236}">
                    <a16:creationId xmlns:a16="http://schemas.microsoft.com/office/drawing/2014/main" id="{EB92353E-1AC3-412B-A767-7EC6B23B5A24}"/>
                  </a:ext>
                </a:extLst>
              </xdr:cNvPr>
              <xdr:cNvGraphicFramePr/>
            </xdr:nvGraphicFramePr>
            <xdr:xfrm>
              <a:off x="431801" y="20273880"/>
              <a:ext cx="5562600" cy="2559257"/>
            </xdr:xfrm>
            <a:graphic>
              <a:graphicData uri="http://schemas.microsoft.com/office/drawing/2010/slicer">
                <sle:slicer xmlns:sle="http://schemas.microsoft.com/office/drawing/2010/slicer" name="sector 1"/>
              </a:graphicData>
            </a:graphic>
          </xdr:graphicFrame>
        </mc:Choice>
        <mc:Fallback>
          <xdr:sp macro="" textlink="">
            <xdr:nvSpPr>
              <xdr:cNvPr id="0" name=""/>
              <xdr:cNvSpPr>
                <a:spLocks noTextEdit="1"/>
              </xdr:cNvSpPr>
            </xdr:nvSpPr>
            <xdr:spPr>
              <a:xfrm>
                <a:off x="405133" y="21040584"/>
                <a:ext cx="5513123" cy="2633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3" name="Rectangle: Rounded Corners 62">
            <a:extLst>
              <a:ext uri="{FF2B5EF4-FFF2-40B4-BE49-F238E27FC236}">
                <a16:creationId xmlns:a16="http://schemas.microsoft.com/office/drawing/2014/main" id="{FEB3949B-62FA-41ED-9833-90D9934E62FD}"/>
              </a:ext>
            </a:extLst>
          </xdr:cNvPr>
          <xdr:cNvSpPr/>
        </xdr:nvSpPr>
        <xdr:spPr>
          <a:xfrm>
            <a:off x="289290" y="9779000"/>
            <a:ext cx="5908310" cy="13309600"/>
          </a:xfrm>
          <a:prstGeom prst="roundRect">
            <a:avLst>
              <a:gd name="adj" fmla="val 5129"/>
            </a:avLst>
          </a:prstGeom>
          <a:noFill/>
          <a:ln>
            <a:solidFill>
              <a:srgbClr val="92D050"/>
            </a:solidFill>
          </a:ln>
          <a:effectLst>
            <a:glow rad="101600">
              <a:schemeClr val="accent4">
                <a:satMod val="175000"/>
                <a:alpha val="40000"/>
              </a:schemeClr>
            </a:glow>
            <a:outerShdw blurRad="50800" dist="50800" dir="5400000" algn="ctr" rotWithShape="0">
              <a:srgbClr val="92D05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11</xdr:col>
      <xdr:colOff>355600</xdr:colOff>
      <xdr:row>13</xdr:row>
      <xdr:rowOff>76200</xdr:rowOff>
    </xdr:from>
    <xdr:ext cx="1270000" cy="533400"/>
    <xdr:sp macro="" textlink="">
      <xdr:nvSpPr>
        <xdr:cNvPr id="66" name="TextBox 65">
          <a:extLst>
            <a:ext uri="{FF2B5EF4-FFF2-40B4-BE49-F238E27FC236}">
              <a16:creationId xmlns:a16="http://schemas.microsoft.com/office/drawing/2014/main" id="{DDF3C31E-F12B-D8BB-BEC6-D4AE8B2B485E}"/>
            </a:ext>
          </a:extLst>
        </xdr:cNvPr>
        <xdr:cNvSpPr txBox="1"/>
      </xdr:nvSpPr>
      <xdr:spPr>
        <a:xfrm>
          <a:off x="7061200" y="2387600"/>
          <a:ext cx="1270000"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ar-EG" sz="2400" b="1"/>
            <a:t>2023</a:t>
          </a:r>
          <a:endParaRPr lang="en-US" sz="2400" b="1"/>
        </a:p>
      </xdr:txBody>
    </xdr:sp>
    <xdr:clientData/>
  </xdr:oneCellAnchor>
  <xdr:oneCellAnchor>
    <xdr:from>
      <xdr:col>11</xdr:col>
      <xdr:colOff>203200</xdr:colOff>
      <xdr:row>30</xdr:row>
      <xdr:rowOff>25400</xdr:rowOff>
    </xdr:from>
    <xdr:ext cx="1930400" cy="482889"/>
    <xdr:sp macro="" textlink="">
      <xdr:nvSpPr>
        <xdr:cNvPr id="69" name="TextBox 68">
          <a:extLst>
            <a:ext uri="{FF2B5EF4-FFF2-40B4-BE49-F238E27FC236}">
              <a16:creationId xmlns:a16="http://schemas.microsoft.com/office/drawing/2014/main" id="{19631074-1C04-763F-08A5-39E645235B51}"/>
            </a:ext>
          </a:extLst>
        </xdr:cNvPr>
        <xdr:cNvSpPr txBox="1"/>
      </xdr:nvSpPr>
      <xdr:spPr>
        <a:xfrm>
          <a:off x="6908800" y="5359400"/>
          <a:ext cx="1930400" cy="482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ar-EG" sz="2400" b="1"/>
            <a:t>2024</a:t>
          </a:r>
          <a:endParaRPr lang="en-US" sz="2400" b="1"/>
        </a:p>
      </xdr:txBody>
    </xdr:sp>
    <xdr:clientData/>
  </xdr:oneCellAnchor>
  <xdr:oneCellAnchor>
    <xdr:from>
      <xdr:col>18</xdr:col>
      <xdr:colOff>177800</xdr:colOff>
      <xdr:row>23</xdr:row>
      <xdr:rowOff>25400</xdr:rowOff>
    </xdr:from>
    <xdr:ext cx="2641600" cy="990600"/>
    <xdr:sp macro="" textlink="">
      <xdr:nvSpPr>
        <xdr:cNvPr id="70" name="TextBox 69">
          <a:extLst>
            <a:ext uri="{FF2B5EF4-FFF2-40B4-BE49-F238E27FC236}">
              <a16:creationId xmlns:a16="http://schemas.microsoft.com/office/drawing/2014/main" id="{E821F0D8-BA56-5477-B950-9AE7D5302FFC}"/>
            </a:ext>
          </a:extLst>
        </xdr:cNvPr>
        <xdr:cNvSpPr txBox="1"/>
      </xdr:nvSpPr>
      <xdr:spPr>
        <a:xfrm>
          <a:off x="11150600" y="4114800"/>
          <a:ext cx="2641600" cy="990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t>YOY</a:t>
          </a:r>
          <a:r>
            <a:rPr lang="en-US" sz="2800" b="1" baseline="0"/>
            <a:t> CHANGE</a:t>
          </a:r>
          <a:endParaRPr lang="en-US" sz="2800" b="1"/>
        </a:p>
      </xdr:txBody>
    </xdr:sp>
    <xdr:clientData/>
  </xdr:oneCellAnchor>
  <xdr:twoCellAnchor>
    <xdr:from>
      <xdr:col>20</xdr:col>
      <xdr:colOff>25400</xdr:colOff>
      <xdr:row>55</xdr:row>
      <xdr:rowOff>127000</xdr:rowOff>
    </xdr:from>
    <xdr:to>
      <xdr:col>20</xdr:col>
      <xdr:colOff>381000</xdr:colOff>
      <xdr:row>55</xdr:row>
      <xdr:rowOff>172719</xdr:rowOff>
    </xdr:to>
    <xdr:sp macro="" textlink="">
      <xdr:nvSpPr>
        <xdr:cNvPr id="71" name="TextBox 70">
          <a:extLst>
            <a:ext uri="{FF2B5EF4-FFF2-40B4-BE49-F238E27FC236}">
              <a16:creationId xmlns:a16="http://schemas.microsoft.com/office/drawing/2014/main" id="{8C6F0E27-EEC9-0CDC-6CD9-4BD0E75F06AB}"/>
            </a:ext>
          </a:extLst>
        </xdr:cNvPr>
        <xdr:cNvSpPr txBox="1"/>
      </xdr:nvSpPr>
      <xdr:spPr>
        <a:xfrm>
          <a:off x="12217400" y="9906000"/>
          <a:ext cx="3556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16</xdr:col>
      <xdr:colOff>127000</xdr:colOff>
      <xdr:row>52</xdr:row>
      <xdr:rowOff>127000</xdr:rowOff>
    </xdr:from>
    <xdr:ext cx="184731" cy="264560"/>
    <xdr:sp macro="" textlink="">
      <xdr:nvSpPr>
        <xdr:cNvPr id="72" name="TextBox 71">
          <a:extLst>
            <a:ext uri="{FF2B5EF4-FFF2-40B4-BE49-F238E27FC236}">
              <a16:creationId xmlns:a16="http://schemas.microsoft.com/office/drawing/2014/main" id="{B0681E39-1F0D-90E5-6037-F527B3CEBBFE}"/>
            </a:ext>
          </a:extLst>
        </xdr:cNvPr>
        <xdr:cNvSpPr txBox="1"/>
      </xdr:nvSpPr>
      <xdr:spPr>
        <a:xfrm>
          <a:off x="9880600" y="9372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355600</xdr:colOff>
      <xdr:row>48</xdr:row>
      <xdr:rowOff>152400</xdr:rowOff>
    </xdr:from>
    <xdr:to>
      <xdr:col>21</xdr:col>
      <xdr:colOff>508000</xdr:colOff>
      <xdr:row>55</xdr:row>
      <xdr:rowOff>127000</xdr:rowOff>
    </xdr:to>
    <xdr:sp macro="" textlink="">
      <xdr:nvSpPr>
        <xdr:cNvPr id="2049" name="Text Box 1">
          <a:extLst>
            <a:ext uri="{FF2B5EF4-FFF2-40B4-BE49-F238E27FC236}">
              <a16:creationId xmlns:a16="http://schemas.microsoft.com/office/drawing/2014/main" id="{D4038BC3-0146-1157-524F-1E6E5FA7E912}"/>
            </a:ext>
          </a:extLst>
        </xdr:cNvPr>
        <xdr:cNvSpPr txBox="1">
          <a:spLocks noChangeArrowheads="1"/>
        </xdr:cNvSpPr>
      </xdr:nvSpPr>
      <xdr:spPr bwMode="auto">
        <a:xfrm>
          <a:off x="8890000" y="8686800"/>
          <a:ext cx="4419600" cy="12192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2400" b="1" i="0" u="none" strike="noStrike" baseline="0">
              <a:solidFill>
                <a:srgbClr val="000000"/>
              </a:solidFill>
              <a:latin typeface="Corbel"/>
            </a:rPr>
            <a:t>Emissions Distribution by Sector</a:t>
          </a:r>
        </a:p>
      </xdr:txBody>
    </xdr:sp>
    <xdr:clientData/>
  </xdr:twoCellAnchor>
  <xdr:twoCellAnchor>
    <xdr:from>
      <xdr:col>11</xdr:col>
      <xdr:colOff>26276</xdr:colOff>
      <xdr:row>13</xdr:row>
      <xdr:rowOff>131379</xdr:rowOff>
    </xdr:from>
    <xdr:to>
      <xdr:col>18</xdr:col>
      <xdr:colOff>9722</xdr:colOff>
      <xdr:row>28</xdr:row>
      <xdr:rowOff>115613</xdr:rowOff>
    </xdr:to>
    <xdr:graphicFrame macro="">
      <xdr:nvGraphicFramePr>
        <xdr:cNvPr id="73" name="Chart 72">
          <a:extLst>
            <a:ext uri="{FF2B5EF4-FFF2-40B4-BE49-F238E27FC236}">
              <a16:creationId xmlns:a16="http://schemas.microsoft.com/office/drawing/2014/main" id="{730434E6-6F3B-4C7C-A360-FB7BBD56F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420414</xdr:colOff>
      <xdr:row>28</xdr:row>
      <xdr:rowOff>105104</xdr:rowOff>
    </xdr:from>
    <xdr:to>
      <xdr:col>18</xdr:col>
      <xdr:colOff>157655</xdr:colOff>
      <xdr:row>43</xdr:row>
      <xdr:rowOff>89339</xdr:rowOff>
    </xdr:to>
    <xdr:graphicFrame macro="">
      <xdr:nvGraphicFramePr>
        <xdr:cNvPr id="74" name="Chart 73">
          <a:extLst>
            <a:ext uri="{FF2B5EF4-FFF2-40B4-BE49-F238E27FC236}">
              <a16:creationId xmlns:a16="http://schemas.microsoft.com/office/drawing/2014/main" id="{0E0E7CF8-C1AF-42B8-B9C0-1DF6889C3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9</xdr:row>
      <xdr:rowOff>0</xdr:rowOff>
    </xdr:from>
    <xdr:to>
      <xdr:col>32</xdr:col>
      <xdr:colOff>1287780</xdr:colOff>
      <xdr:row>24</xdr:row>
      <xdr:rowOff>0</xdr:rowOff>
    </xdr:to>
    <xdr:graphicFrame macro="">
      <xdr:nvGraphicFramePr>
        <xdr:cNvPr id="2" name="Chart 1">
          <a:extLst>
            <a:ext uri="{FF2B5EF4-FFF2-40B4-BE49-F238E27FC236}">
              <a16:creationId xmlns:a16="http://schemas.microsoft.com/office/drawing/2014/main" id="{A75DE531-4A5B-4796-BCF0-BEE2E6DD5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167640</xdr:colOff>
      <xdr:row>14</xdr:row>
      <xdr:rowOff>7620</xdr:rowOff>
    </xdr:from>
    <xdr:to>
      <xdr:col>47</xdr:col>
      <xdr:colOff>472440</xdr:colOff>
      <xdr:row>29</xdr:row>
      <xdr:rowOff>7620</xdr:rowOff>
    </xdr:to>
    <xdr:graphicFrame macro="">
      <xdr:nvGraphicFramePr>
        <xdr:cNvPr id="3" name="Chart 2">
          <a:extLst>
            <a:ext uri="{FF2B5EF4-FFF2-40B4-BE49-F238E27FC236}">
              <a16:creationId xmlns:a16="http://schemas.microsoft.com/office/drawing/2014/main" id="{49A0D930-E01A-4ABC-BFDC-9E07AEA27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38100</xdr:colOff>
      <xdr:row>10</xdr:row>
      <xdr:rowOff>160020</xdr:rowOff>
    </xdr:from>
    <xdr:to>
      <xdr:col>55</xdr:col>
      <xdr:colOff>601980</xdr:colOff>
      <xdr:row>25</xdr:row>
      <xdr:rowOff>160020</xdr:rowOff>
    </xdr:to>
    <xdr:graphicFrame macro="">
      <xdr:nvGraphicFramePr>
        <xdr:cNvPr id="4" name="Chart 3">
          <a:extLst>
            <a:ext uri="{FF2B5EF4-FFF2-40B4-BE49-F238E27FC236}">
              <a16:creationId xmlns:a16="http://schemas.microsoft.com/office/drawing/2014/main" id="{C8A959F8-4D4C-4F86-9E2F-AA5879F2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0</xdr:colOff>
      <xdr:row>2</xdr:row>
      <xdr:rowOff>0</xdr:rowOff>
    </xdr:from>
    <xdr:to>
      <xdr:col>68</xdr:col>
      <xdr:colOff>297180</xdr:colOff>
      <xdr:row>17</xdr:row>
      <xdr:rowOff>0</xdr:rowOff>
    </xdr:to>
    <xdr:graphicFrame macro="">
      <xdr:nvGraphicFramePr>
        <xdr:cNvPr id="5" name="Chart 4">
          <a:extLst>
            <a:ext uri="{FF2B5EF4-FFF2-40B4-BE49-F238E27FC236}">
              <a16:creationId xmlns:a16="http://schemas.microsoft.com/office/drawing/2014/main" id="{11E17371-CD04-440B-B141-164BF4FB5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175260</xdr:colOff>
      <xdr:row>15</xdr:row>
      <xdr:rowOff>34290</xdr:rowOff>
    </xdr:from>
    <xdr:to>
      <xdr:col>14</xdr:col>
      <xdr:colOff>1371600</xdr:colOff>
      <xdr:row>30</xdr:row>
      <xdr:rowOff>34290</xdr:rowOff>
    </xdr:to>
    <xdr:graphicFrame macro="">
      <xdr:nvGraphicFramePr>
        <xdr:cNvPr id="6" name="Chart 5">
          <a:extLst>
            <a:ext uri="{FF2B5EF4-FFF2-40B4-BE49-F238E27FC236}">
              <a16:creationId xmlns:a16="http://schemas.microsoft.com/office/drawing/2014/main" id="{EF82D99D-2A74-4D0A-04D7-159FFA1DE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228600</xdr:colOff>
      <xdr:row>10</xdr:row>
      <xdr:rowOff>179070</xdr:rowOff>
    </xdr:from>
    <xdr:to>
      <xdr:col>20</xdr:col>
      <xdr:colOff>106680</xdr:colOff>
      <xdr:row>25</xdr:row>
      <xdr:rowOff>179070</xdr:rowOff>
    </xdr:to>
    <xdr:graphicFrame macro="">
      <xdr:nvGraphicFramePr>
        <xdr:cNvPr id="7" name="Chart 6">
          <a:extLst>
            <a:ext uri="{FF2B5EF4-FFF2-40B4-BE49-F238E27FC236}">
              <a16:creationId xmlns:a16="http://schemas.microsoft.com/office/drawing/2014/main" id="{E4B31E9E-145C-C3DC-51B2-395EA73F3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1066800</xdr:colOff>
      <xdr:row>13</xdr:row>
      <xdr:rowOff>148590</xdr:rowOff>
    </xdr:from>
    <xdr:to>
      <xdr:col>27</xdr:col>
      <xdr:colOff>152400</xdr:colOff>
      <xdr:row>28</xdr:row>
      <xdr:rowOff>148590</xdr:rowOff>
    </xdr:to>
    <xdr:graphicFrame macro="">
      <xdr:nvGraphicFramePr>
        <xdr:cNvPr id="8" name="Chart 7">
          <a:extLst>
            <a:ext uri="{FF2B5EF4-FFF2-40B4-BE49-F238E27FC236}">
              <a16:creationId xmlns:a16="http://schemas.microsoft.com/office/drawing/2014/main" id="{3EBC4520-D5C2-E7DC-B54D-FFAF65A192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320040</xdr:colOff>
      <xdr:row>14</xdr:row>
      <xdr:rowOff>57150</xdr:rowOff>
    </xdr:from>
    <xdr:to>
      <xdr:col>22</xdr:col>
      <xdr:colOff>541020</xdr:colOff>
      <xdr:row>29</xdr:row>
      <xdr:rowOff>57150</xdr:rowOff>
    </xdr:to>
    <xdr:graphicFrame macro="">
      <xdr:nvGraphicFramePr>
        <xdr:cNvPr id="9" name="Chart 8">
          <a:extLst>
            <a:ext uri="{FF2B5EF4-FFF2-40B4-BE49-F238E27FC236}">
              <a16:creationId xmlns:a16="http://schemas.microsoft.com/office/drawing/2014/main" id="{1658D7E0-3912-B536-2D05-3F29A0BC0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434340</xdr:colOff>
      <xdr:row>13</xdr:row>
      <xdr:rowOff>19050</xdr:rowOff>
    </xdr:from>
    <xdr:to>
      <xdr:col>28</xdr:col>
      <xdr:colOff>1196340</xdr:colOff>
      <xdr:row>28</xdr:row>
      <xdr:rowOff>19050</xdr:rowOff>
    </xdr:to>
    <xdr:graphicFrame macro="">
      <xdr:nvGraphicFramePr>
        <xdr:cNvPr id="10" name="Chart 9">
          <a:extLst>
            <a:ext uri="{FF2B5EF4-FFF2-40B4-BE49-F238E27FC236}">
              <a16:creationId xmlns:a16="http://schemas.microsoft.com/office/drawing/2014/main" id="{EF4AB819-2707-25FB-DA90-A99EFEEFA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45720</xdr:colOff>
      <xdr:row>13</xdr:row>
      <xdr:rowOff>144780</xdr:rowOff>
    </xdr:from>
    <xdr:to>
      <xdr:col>10</xdr:col>
      <xdr:colOff>289560</xdr:colOff>
      <xdr:row>27</xdr:row>
      <xdr:rowOff>51435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E7483223-75A2-0009-3F19-B4F10ED5EC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97040" y="2522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320040</xdr:colOff>
      <xdr:row>20</xdr:row>
      <xdr:rowOff>0</xdr:rowOff>
    </xdr:from>
    <xdr:to>
      <xdr:col>9</xdr:col>
      <xdr:colOff>640080</xdr:colOff>
      <xdr:row>33</xdr:row>
      <xdr:rowOff>89535</xdr:rowOff>
    </xdr:to>
    <mc:AlternateContent xmlns:mc="http://schemas.openxmlformats.org/markup-compatibility/2006" xmlns:a14="http://schemas.microsoft.com/office/drawing/2010/main">
      <mc:Choice Requires="a14">
        <xdr:graphicFrame macro="">
          <xdr:nvGraphicFramePr>
            <xdr:cNvPr id="13" name="year 1">
              <a:extLst>
                <a:ext uri="{FF2B5EF4-FFF2-40B4-BE49-F238E27FC236}">
                  <a16:creationId xmlns:a16="http://schemas.microsoft.com/office/drawing/2014/main" id="{F5807347-4C43-4EF5-1FA1-7C96D9B79DE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562600" y="3657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11</xdr:row>
      <xdr:rowOff>144780</xdr:rowOff>
    </xdr:from>
    <xdr:to>
      <xdr:col>6</xdr:col>
      <xdr:colOff>289560</xdr:colOff>
      <xdr:row>25</xdr:row>
      <xdr:rowOff>51435</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296E1CE6-3785-D355-3325-34862ACCFD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093720" y="2156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8</xdr:row>
      <xdr:rowOff>15240</xdr:rowOff>
    </xdr:from>
    <xdr:to>
      <xdr:col>14</xdr:col>
      <xdr:colOff>167640</xdr:colOff>
      <xdr:row>21</xdr:row>
      <xdr:rowOff>104775</xdr:rowOff>
    </xdr:to>
    <mc:AlternateContent xmlns:mc="http://schemas.openxmlformats.org/markup-compatibility/2006" xmlns:a14="http://schemas.microsoft.com/office/drawing/2010/main">
      <mc:Choice Requires="a14">
        <xdr:graphicFrame macro="">
          <xdr:nvGraphicFramePr>
            <xdr:cNvPr id="11" name="sector">
              <a:extLst>
                <a:ext uri="{FF2B5EF4-FFF2-40B4-BE49-F238E27FC236}">
                  <a16:creationId xmlns:a16="http://schemas.microsoft.com/office/drawing/2014/main" id="{CF9C6240-FC6C-8DEF-9CAE-67E918FFA70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9403080" y="1478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297180</xdr:colOff>
      <xdr:row>12</xdr:row>
      <xdr:rowOff>11430</xdr:rowOff>
    </xdr:from>
    <xdr:to>
      <xdr:col>28</xdr:col>
      <xdr:colOff>266700</xdr:colOff>
      <xdr:row>27</xdr:row>
      <xdr:rowOff>11430</xdr:rowOff>
    </xdr:to>
    <xdr:graphicFrame macro="">
      <xdr:nvGraphicFramePr>
        <xdr:cNvPr id="15" name="Chart 14">
          <a:extLst>
            <a:ext uri="{FF2B5EF4-FFF2-40B4-BE49-F238E27FC236}">
              <a16:creationId xmlns:a16="http://schemas.microsoft.com/office/drawing/2014/main" id="{EF4BCF78-733E-14E7-2687-7C6413C8B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426720</xdr:colOff>
      <xdr:row>7</xdr:row>
      <xdr:rowOff>49530</xdr:rowOff>
    </xdr:from>
    <xdr:to>
      <xdr:col>15</xdr:col>
      <xdr:colOff>121920</xdr:colOff>
      <xdr:row>22</xdr:row>
      <xdr:rowOff>49530</xdr:rowOff>
    </xdr:to>
    <xdr:graphicFrame macro="">
      <xdr:nvGraphicFramePr>
        <xdr:cNvPr id="3" name="Chart 2">
          <a:extLst>
            <a:ext uri="{FF2B5EF4-FFF2-40B4-BE49-F238E27FC236}">
              <a16:creationId xmlns:a16="http://schemas.microsoft.com/office/drawing/2014/main" id="{78457B79-37B6-8E7B-76D4-6BA7A5B22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426720</xdr:colOff>
      <xdr:row>12</xdr:row>
      <xdr:rowOff>171450</xdr:rowOff>
    </xdr:from>
    <xdr:to>
      <xdr:col>13</xdr:col>
      <xdr:colOff>457200</xdr:colOff>
      <xdr:row>27</xdr:row>
      <xdr:rowOff>171450</xdr:rowOff>
    </xdr:to>
    <xdr:graphicFrame macro="">
      <xdr:nvGraphicFramePr>
        <xdr:cNvPr id="4" name="Chart 3">
          <a:extLst>
            <a:ext uri="{FF2B5EF4-FFF2-40B4-BE49-F238E27FC236}">
              <a16:creationId xmlns:a16="http://schemas.microsoft.com/office/drawing/2014/main" id="{ABA755D4-0A42-F5E5-4805-6CBE0FC9D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riginal\AppData\Local\Microsoft\Windows\INetCache\IE\WMCZS0AM\project_ghg_emissions_-_Copy%5b1%5d.xlsx" TargetMode="External"/><Relationship Id="rId1" Type="http://schemas.openxmlformats.org/officeDocument/2006/relationships/externalLinkPath" Target="file:///C:\Users\original\AppData\Local\Microsoft\Windows\INetCache\IE\WMCZS0AM\project_ghg_emissions_-_Copy%5b1%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4"/>
      <sheetName val="Sheet2"/>
      <sheetName val="Sheet3"/>
      <sheetName val="Sheet5"/>
      <sheetName val="data"/>
      <sheetName val="countries"/>
      <sheetName val="Renewable energy consumption (%"/>
      <sheetName val="Sheet6"/>
      <sheetName val="Tempreature"/>
    </sheetNames>
    <sheetDataSet>
      <sheetData sheetId="0"/>
      <sheetData sheetId="1">
        <row r="1">
          <cell r="A1" t="str">
            <v>year</v>
          </cell>
          <cell r="B1" t="str">
            <v>Sum of Emissions</v>
          </cell>
          <cell r="C1" t="str">
            <v>Global Average Tempreature</v>
          </cell>
        </row>
        <row r="2">
          <cell r="A2">
            <v>1990</v>
          </cell>
          <cell r="B2">
            <v>2703031.7499999991</v>
          </cell>
          <cell r="C2">
            <v>0.72288010000000003</v>
          </cell>
        </row>
        <row r="3">
          <cell r="A3">
            <v>1991</v>
          </cell>
          <cell r="B3">
            <v>2870703.14</v>
          </cell>
          <cell r="C3">
            <v>0.70119430000000005</v>
          </cell>
        </row>
        <row r="4">
          <cell r="A4">
            <v>1992</v>
          </cell>
          <cell r="B4">
            <v>1787476.6200000003</v>
          </cell>
          <cell r="C4">
            <v>0.48719456999999999</v>
          </cell>
        </row>
        <row r="5">
          <cell r="A5">
            <v>1993</v>
          </cell>
          <cell r="B5">
            <v>1851769.8499999994</v>
          </cell>
          <cell r="C5">
            <v>0.52800493999999998</v>
          </cell>
        </row>
        <row r="6">
          <cell r="A6">
            <v>1994</v>
          </cell>
          <cell r="B6">
            <v>4321990.2500000009</v>
          </cell>
          <cell r="C6">
            <v>0.59584755</v>
          </cell>
        </row>
        <row r="7">
          <cell r="A7">
            <v>1995</v>
          </cell>
          <cell r="B7">
            <v>1292975.7799999991</v>
          </cell>
          <cell r="C7">
            <v>0.73916389999999998</v>
          </cell>
        </row>
        <row r="8">
          <cell r="A8">
            <v>1996</v>
          </cell>
          <cell r="B8">
            <v>3720911.8999999994</v>
          </cell>
          <cell r="C8">
            <v>0.63898710000000003</v>
          </cell>
        </row>
        <row r="9">
          <cell r="A9">
            <v>1997</v>
          </cell>
          <cell r="B9">
            <v>3107222.6599999983</v>
          </cell>
          <cell r="C9">
            <v>0.78460629999999998</v>
          </cell>
        </row>
        <row r="10">
          <cell r="A10">
            <v>1998</v>
          </cell>
          <cell r="B10">
            <v>4178673.2399999984</v>
          </cell>
          <cell r="C10">
            <v>0.93963945000000004</v>
          </cell>
        </row>
        <row r="11">
          <cell r="A11">
            <v>1999</v>
          </cell>
          <cell r="B11">
            <v>2176902.59</v>
          </cell>
          <cell r="C11">
            <v>0.68678269999999997</v>
          </cell>
        </row>
        <row r="12">
          <cell r="A12">
            <v>2000</v>
          </cell>
          <cell r="B12">
            <v>3694287.6599999992</v>
          </cell>
          <cell r="C12">
            <v>0.69338250000000001</v>
          </cell>
        </row>
        <row r="13">
          <cell r="A13">
            <v>2001</v>
          </cell>
          <cell r="B13">
            <v>3893363.4600000009</v>
          </cell>
          <cell r="C13">
            <v>0.8515781</v>
          </cell>
        </row>
        <row r="14">
          <cell r="A14">
            <v>2002</v>
          </cell>
          <cell r="B14">
            <v>2857723.38</v>
          </cell>
          <cell r="C14">
            <v>0.90576429999999997</v>
          </cell>
        </row>
        <row r="15">
          <cell r="A15">
            <v>2003</v>
          </cell>
          <cell r="B15">
            <v>3110683.0599999991</v>
          </cell>
          <cell r="C15">
            <v>0.90646789999999999</v>
          </cell>
        </row>
        <row r="16">
          <cell r="A16">
            <v>2004</v>
          </cell>
          <cell r="B16">
            <v>2258345.3300000005</v>
          </cell>
          <cell r="C16">
            <v>0.82966846000000005</v>
          </cell>
        </row>
        <row r="17">
          <cell r="A17">
            <v>2005</v>
          </cell>
          <cell r="B17">
            <v>2112254.9899999998</v>
          </cell>
          <cell r="C17">
            <v>0.96916026</v>
          </cell>
        </row>
        <row r="18">
          <cell r="A18">
            <v>2006</v>
          </cell>
          <cell r="B18">
            <v>3366905.5899999989</v>
          </cell>
          <cell r="C18">
            <v>0.93485045</v>
          </cell>
        </row>
        <row r="19">
          <cell r="A19">
            <v>2007</v>
          </cell>
          <cell r="B19">
            <v>3349048.1299999994</v>
          </cell>
          <cell r="C19">
            <v>0.95399909999999999</v>
          </cell>
        </row>
        <row r="20">
          <cell r="A20">
            <v>2008</v>
          </cell>
          <cell r="B20">
            <v>2610117.4099999997</v>
          </cell>
          <cell r="C20">
            <v>0.82794760000000001</v>
          </cell>
        </row>
        <row r="21">
          <cell r="A21">
            <v>2009</v>
          </cell>
          <cell r="B21">
            <v>4098342.8599999989</v>
          </cell>
          <cell r="C21">
            <v>0.95907940000000003</v>
          </cell>
        </row>
        <row r="22">
          <cell r="A22">
            <v>2010</v>
          </cell>
          <cell r="B22">
            <v>2520301.3199999989</v>
          </cell>
          <cell r="C22">
            <v>1.0426692</v>
          </cell>
        </row>
        <row r="23">
          <cell r="A23">
            <v>2011</v>
          </cell>
          <cell r="B23">
            <v>2855074.1800000006</v>
          </cell>
          <cell r="C23">
            <v>0.89999549999999995</v>
          </cell>
        </row>
        <row r="24">
          <cell r="A24">
            <v>2012</v>
          </cell>
          <cell r="B24">
            <v>2202229.4499999997</v>
          </cell>
          <cell r="C24">
            <v>0.93990479999999998</v>
          </cell>
        </row>
        <row r="25">
          <cell r="A25">
            <v>2013</v>
          </cell>
          <cell r="B25">
            <v>3177718.47</v>
          </cell>
          <cell r="C25">
            <v>0.98587309999999995</v>
          </cell>
        </row>
        <row r="26">
          <cell r="A26">
            <v>2014</v>
          </cell>
          <cell r="B26">
            <v>3701321.7399999988</v>
          </cell>
          <cell r="C26">
            <v>1.0351694</v>
          </cell>
        </row>
        <row r="27">
          <cell r="A27">
            <v>2015</v>
          </cell>
          <cell r="B27">
            <v>2475947.81</v>
          </cell>
          <cell r="C27">
            <v>1.1874121</v>
          </cell>
        </row>
        <row r="28">
          <cell r="A28">
            <v>2016</v>
          </cell>
          <cell r="B28">
            <v>3599138.7399999998</v>
          </cell>
          <cell r="C28">
            <v>1.2952248</v>
          </cell>
        </row>
        <row r="29">
          <cell r="A29">
            <v>2017</v>
          </cell>
          <cell r="B29">
            <v>3593087.48</v>
          </cell>
          <cell r="C29">
            <v>1.2074720000000001</v>
          </cell>
        </row>
        <row r="30">
          <cell r="A30">
            <v>2018</v>
          </cell>
          <cell r="B30">
            <v>2430388.15</v>
          </cell>
          <cell r="C30">
            <v>1.1249518000000001</v>
          </cell>
        </row>
        <row r="31">
          <cell r="A31">
            <v>2019</v>
          </cell>
          <cell r="B31">
            <v>2807885.0399999986</v>
          </cell>
          <cell r="C31">
            <v>1.2533703</v>
          </cell>
        </row>
        <row r="32">
          <cell r="A32">
            <v>2020</v>
          </cell>
          <cell r="B32">
            <v>3374645.2900000005</v>
          </cell>
          <cell r="C32">
            <v>1.2852182000000001</v>
          </cell>
        </row>
        <row r="33">
          <cell r="A33">
            <v>2021</v>
          </cell>
          <cell r="B33">
            <v>3207492.97</v>
          </cell>
          <cell r="C33">
            <v>1.1242033</v>
          </cell>
        </row>
        <row r="34">
          <cell r="A34">
            <v>2022</v>
          </cell>
          <cell r="B34">
            <v>3708329.0599999987</v>
          </cell>
          <cell r="C34">
            <v>1.1636031</v>
          </cell>
        </row>
      </sheetData>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refreshedDate="45929.540661226849" createdVersion="8" refreshedVersion="8" minRefreshableVersion="3" recordCount="5000" xr:uid="{77F40AFF-D791-471B-8A0E-ACD2A33306E7}">
  <cacheSource type="worksheet">
    <worksheetSource name="Table3"/>
  </cacheSource>
  <cacheFields count="8">
    <cacheField name="country" numFmtId="0">
      <sharedItems count="49">
        <s v="Algeria"/>
        <s v="Argentina"/>
        <s v="Australia"/>
        <s v="Bangladesh"/>
        <s v="Brazil"/>
        <s v="Canada"/>
        <s v="Chile"/>
        <s v="China"/>
        <s v="Colombia"/>
        <s v="Egypt"/>
        <s v="Ethiopia"/>
        <s v="France"/>
        <s v="Germany"/>
        <s v="India"/>
        <s v="Indonesia"/>
        <s v="Iran"/>
        <s v="Iraq"/>
        <s v="Italy"/>
        <s v="Japan"/>
        <s v="Kenya"/>
        <s v="Kuwait"/>
        <s v="Malaysia"/>
        <s v="Mexico"/>
        <s v="Morocco"/>
        <s v="Netherlands"/>
        <s v="New Zealand"/>
        <s v="Nigeria"/>
        <s v="Norway"/>
        <s v="Pakistan"/>
        <s v="Peru"/>
        <s v="Philippines"/>
        <s v="Poland"/>
        <s v="Qatar"/>
        <s v="Russia"/>
        <s v="Saudi Arabia"/>
        <s v="Singapore"/>
        <s v="South Africa"/>
        <s v="South Korea"/>
        <s v="Spain"/>
        <s v="Sweden"/>
        <s v="Thailand"/>
        <s v="Tunisia"/>
        <s v="Turkey"/>
        <s v="Ukraine"/>
        <s v="United Arab Emirates"/>
        <s v="United Kingdom"/>
        <s v="United States"/>
        <s v="Venezuela"/>
        <s v="Vietnam"/>
      </sharedItems>
    </cacheField>
    <cacheField name="iso3" numFmtId="0">
      <sharedItems/>
    </cacheField>
    <cacheField name="region" numFmtId="0">
      <sharedItems count="5">
        <s v="Africa"/>
        <s v="Americas"/>
        <s v="Oceania"/>
        <s v="Asia"/>
        <s v="Europe"/>
      </sharedItems>
    </cacheField>
    <cacheField name="income_group" numFmtId="0">
      <sharedItems count="4">
        <s v="Upper-middle"/>
        <s v="High"/>
        <s v="Lower-middle"/>
        <s v="Low"/>
      </sharedItems>
    </cacheField>
    <cacheField name="year" numFmtId="0">
      <sharedItems containsSemiMixedTypes="0" containsString="0" containsNumber="1" containsInteger="1" minValue="1990" maxValue="2024" count="35">
        <n v="1990"/>
        <n v="1991"/>
        <n v="1992"/>
        <n v="1993"/>
        <n v="1994"/>
        <n v="1995"/>
        <n v="1996"/>
        <n v="1997"/>
        <n v="1998"/>
        <n v="1999"/>
        <n v="2000"/>
        <n v="2001"/>
        <n v="2002"/>
        <n v="2003"/>
        <n v="2004"/>
        <n v="2005"/>
        <n v="2006"/>
        <n v="2007"/>
        <n v="2009"/>
        <n v="2010"/>
        <n v="2011"/>
        <n v="2012"/>
        <n v="2013"/>
        <n v="2014"/>
        <n v="2015"/>
        <n v="2016"/>
        <n v="2017"/>
        <n v="2019"/>
        <n v="2020"/>
        <n v="2021"/>
        <n v="2022"/>
        <n v="2023"/>
        <n v="2024"/>
        <n v="2008"/>
        <n v="2018"/>
      </sharedItems>
    </cacheField>
    <cacheField name="sector" numFmtId="0">
      <sharedItems count="7">
        <s v="Buildings"/>
        <s v="Power"/>
        <s v="Waste"/>
        <s v="Industry"/>
        <s v="LULUCF"/>
        <s v="Transport"/>
        <s v="Agriculture"/>
      </sharedItems>
    </cacheField>
    <cacheField name="gas" numFmtId="0">
      <sharedItems count="4">
        <s v="CO2"/>
        <s v="CH4"/>
        <s v="N2O"/>
        <s v="F-Gases"/>
      </sharedItems>
    </cacheField>
    <cacheField name="emissions_ktco2e" numFmtId="1">
      <sharedItems containsSemiMixedTypes="0" containsString="0" containsNumber="1" minValue="-286864.06" maxValue="938280.36"/>
    </cacheField>
  </cacheFields>
  <extLst>
    <ext xmlns:x14="http://schemas.microsoft.com/office/spreadsheetml/2009/9/main" uri="{725AE2AE-9491-48be-B2B4-4EB974FC3084}">
      <x14:pivotCacheDefinition pivotCacheId="969457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DZA"/>
    <x v="0"/>
    <x v="0"/>
    <x v="0"/>
    <x v="0"/>
    <x v="0"/>
    <n v="29253.59"/>
  </r>
  <r>
    <x v="0"/>
    <s v="DZA"/>
    <x v="0"/>
    <x v="0"/>
    <x v="0"/>
    <x v="1"/>
    <x v="1"/>
    <n v="518.53"/>
  </r>
  <r>
    <x v="0"/>
    <s v="DZA"/>
    <x v="0"/>
    <x v="0"/>
    <x v="0"/>
    <x v="2"/>
    <x v="2"/>
    <n v="2006.21"/>
  </r>
  <r>
    <x v="0"/>
    <s v="DZA"/>
    <x v="0"/>
    <x v="0"/>
    <x v="1"/>
    <x v="3"/>
    <x v="3"/>
    <n v="1416.66"/>
  </r>
  <r>
    <x v="0"/>
    <s v="DZA"/>
    <x v="0"/>
    <x v="0"/>
    <x v="1"/>
    <x v="3"/>
    <x v="2"/>
    <n v="1469.93"/>
  </r>
  <r>
    <x v="0"/>
    <s v="DZA"/>
    <x v="0"/>
    <x v="0"/>
    <x v="2"/>
    <x v="0"/>
    <x v="1"/>
    <n v="2094.7199999999998"/>
  </r>
  <r>
    <x v="0"/>
    <s v="DZA"/>
    <x v="0"/>
    <x v="0"/>
    <x v="2"/>
    <x v="0"/>
    <x v="2"/>
    <n v="980.46"/>
  </r>
  <r>
    <x v="0"/>
    <s v="DZA"/>
    <x v="0"/>
    <x v="0"/>
    <x v="2"/>
    <x v="4"/>
    <x v="2"/>
    <n v="-253.37"/>
  </r>
  <r>
    <x v="0"/>
    <s v="DZA"/>
    <x v="0"/>
    <x v="0"/>
    <x v="3"/>
    <x v="0"/>
    <x v="0"/>
    <n v="29157.52"/>
  </r>
  <r>
    <x v="0"/>
    <s v="DZA"/>
    <x v="0"/>
    <x v="0"/>
    <x v="3"/>
    <x v="5"/>
    <x v="3"/>
    <n v="0"/>
  </r>
  <r>
    <x v="0"/>
    <s v="DZA"/>
    <x v="0"/>
    <x v="0"/>
    <x v="4"/>
    <x v="6"/>
    <x v="3"/>
    <n v="0"/>
  </r>
  <r>
    <x v="0"/>
    <s v="DZA"/>
    <x v="0"/>
    <x v="0"/>
    <x v="4"/>
    <x v="1"/>
    <x v="0"/>
    <n v="15420.88"/>
  </r>
  <r>
    <x v="0"/>
    <s v="DZA"/>
    <x v="0"/>
    <x v="0"/>
    <x v="4"/>
    <x v="5"/>
    <x v="2"/>
    <n v="144"/>
  </r>
  <r>
    <x v="0"/>
    <s v="DZA"/>
    <x v="0"/>
    <x v="0"/>
    <x v="5"/>
    <x v="6"/>
    <x v="3"/>
    <n v="0"/>
  </r>
  <r>
    <x v="0"/>
    <s v="DZA"/>
    <x v="0"/>
    <x v="0"/>
    <x v="5"/>
    <x v="1"/>
    <x v="0"/>
    <n v="14739.77"/>
  </r>
  <r>
    <x v="0"/>
    <s v="DZA"/>
    <x v="0"/>
    <x v="0"/>
    <x v="5"/>
    <x v="5"/>
    <x v="1"/>
    <n v="298.02999999999997"/>
  </r>
  <r>
    <x v="0"/>
    <s v="DZA"/>
    <x v="0"/>
    <x v="0"/>
    <x v="6"/>
    <x v="5"/>
    <x v="0"/>
    <n v="15756.6"/>
  </r>
  <r>
    <x v="0"/>
    <s v="DZA"/>
    <x v="0"/>
    <x v="0"/>
    <x v="6"/>
    <x v="5"/>
    <x v="2"/>
    <n v="148.77000000000001"/>
  </r>
  <r>
    <x v="0"/>
    <s v="DZA"/>
    <x v="0"/>
    <x v="0"/>
    <x v="7"/>
    <x v="4"/>
    <x v="1"/>
    <n v="-256.52"/>
  </r>
  <r>
    <x v="0"/>
    <s v="DZA"/>
    <x v="0"/>
    <x v="0"/>
    <x v="7"/>
    <x v="4"/>
    <x v="2"/>
    <n v="-221.74"/>
  </r>
  <r>
    <x v="0"/>
    <s v="DZA"/>
    <x v="0"/>
    <x v="0"/>
    <x v="7"/>
    <x v="2"/>
    <x v="1"/>
    <n v="29128.41"/>
  </r>
  <r>
    <x v="0"/>
    <s v="DZA"/>
    <x v="0"/>
    <x v="0"/>
    <x v="7"/>
    <x v="2"/>
    <x v="0"/>
    <n v="5157.92"/>
  </r>
  <r>
    <x v="0"/>
    <s v="DZA"/>
    <x v="0"/>
    <x v="0"/>
    <x v="7"/>
    <x v="2"/>
    <x v="3"/>
    <n v="0"/>
  </r>
  <r>
    <x v="0"/>
    <s v="DZA"/>
    <x v="0"/>
    <x v="0"/>
    <x v="8"/>
    <x v="6"/>
    <x v="3"/>
    <n v="0"/>
  </r>
  <r>
    <x v="0"/>
    <s v="DZA"/>
    <x v="0"/>
    <x v="0"/>
    <x v="8"/>
    <x v="0"/>
    <x v="2"/>
    <n v="830.01"/>
  </r>
  <r>
    <x v="0"/>
    <s v="DZA"/>
    <x v="0"/>
    <x v="0"/>
    <x v="8"/>
    <x v="3"/>
    <x v="0"/>
    <n v="23470.17"/>
  </r>
  <r>
    <x v="0"/>
    <s v="DZA"/>
    <x v="0"/>
    <x v="0"/>
    <x v="8"/>
    <x v="3"/>
    <x v="3"/>
    <n v="1291.4000000000001"/>
  </r>
  <r>
    <x v="0"/>
    <s v="DZA"/>
    <x v="0"/>
    <x v="0"/>
    <x v="9"/>
    <x v="3"/>
    <x v="1"/>
    <n v="1155.8399999999999"/>
  </r>
  <r>
    <x v="0"/>
    <s v="DZA"/>
    <x v="0"/>
    <x v="0"/>
    <x v="9"/>
    <x v="3"/>
    <x v="0"/>
    <n v="21540.85"/>
  </r>
  <r>
    <x v="0"/>
    <s v="DZA"/>
    <x v="0"/>
    <x v="0"/>
    <x v="9"/>
    <x v="4"/>
    <x v="1"/>
    <n v="-229.23"/>
  </r>
  <r>
    <x v="0"/>
    <s v="DZA"/>
    <x v="0"/>
    <x v="0"/>
    <x v="10"/>
    <x v="6"/>
    <x v="1"/>
    <n v="46007.69"/>
  </r>
  <r>
    <x v="0"/>
    <s v="DZA"/>
    <x v="0"/>
    <x v="0"/>
    <x v="10"/>
    <x v="3"/>
    <x v="1"/>
    <n v="1230.4000000000001"/>
  </r>
  <r>
    <x v="0"/>
    <s v="DZA"/>
    <x v="0"/>
    <x v="0"/>
    <x v="10"/>
    <x v="4"/>
    <x v="3"/>
    <n v="0"/>
  </r>
  <r>
    <x v="0"/>
    <s v="DZA"/>
    <x v="0"/>
    <x v="0"/>
    <x v="11"/>
    <x v="5"/>
    <x v="3"/>
    <n v="0"/>
  </r>
  <r>
    <x v="0"/>
    <s v="DZA"/>
    <x v="0"/>
    <x v="0"/>
    <x v="12"/>
    <x v="6"/>
    <x v="0"/>
    <n v="7771.77"/>
  </r>
  <r>
    <x v="0"/>
    <s v="DZA"/>
    <x v="0"/>
    <x v="0"/>
    <x v="12"/>
    <x v="0"/>
    <x v="1"/>
    <n v="2447.73"/>
  </r>
  <r>
    <x v="0"/>
    <s v="DZA"/>
    <x v="0"/>
    <x v="0"/>
    <x v="12"/>
    <x v="0"/>
    <x v="0"/>
    <n v="29810.35"/>
  </r>
  <r>
    <x v="0"/>
    <s v="DZA"/>
    <x v="0"/>
    <x v="0"/>
    <x v="12"/>
    <x v="1"/>
    <x v="0"/>
    <n v="15288.5"/>
  </r>
  <r>
    <x v="0"/>
    <s v="DZA"/>
    <x v="0"/>
    <x v="0"/>
    <x v="12"/>
    <x v="5"/>
    <x v="3"/>
    <n v="0"/>
  </r>
  <r>
    <x v="0"/>
    <s v="DZA"/>
    <x v="0"/>
    <x v="0"/>
    <x v="12"/>
    <x v="2"/>
    <x v="3"/>
    <n v="0"/>
  </r>
  <r>
    <x v="0"/>
    <s v="DZA"/>
    <x v="0"/>
    <x v="0"/>
    <x v="13"/>
    <x v="6"/>
    <x v="2"/>
    <n v="13936.3"/>
  </r>
  <r>
    <x v="0"/>
    <s v="DZA"/>
    <x v="0"/>
    <x v="0"/>
    <x v="13"/>
    <x v="1"/>
    <x v="0"/>
    <n v="13148.82"/>
  </r>
  <r>
    <x v="0"/>
    <s v="DZA"/>
    <x v="0"/>
    <x v="0"/>
    <x v="13"/>
    <x v="2"/>
    <x v="2"/>
    <n v="1543.88"/>
  </r>
  <r>
    <x v="0"/>
    <s v="DZA"/>
    <x v="0"/>
    <x v="0"/>
    <x v="14"/>
    <x v="1"/>
    <x v="2"/>
    <n v="302.06"/>
  </r>
  <r>
    <x v="0"/>
    <s v="DZA"/>
    <x v="0"/>
    <x v="0"/>
    <x v="14"/>
    <x v="5"/>
    <x v="2"/>
    <n v="160.13999999999999"/>
  </r>
  <r>
    <x v="0"/>
    <s v="DZA"/>
    <x v="0"/>
    <x v="0"/>
    <x v="15"/>
    <x v="3"/>
    <x v="1"/>
    <n v="1145.25"/>
  </r>
  <r>
    <x v="0"/>
    <s v="DZA"/>
    <x v="0"/>
    <x v="0"/>
    <x v="15"/>
    <x v="5"/>
    <x v="2"/>
    <n v="140.16"/>
  </r>
  <r>
    <x v="0"/>
    <s v="DZA"/>
    <x v="0"/>
    <x v="0"/>
    <x v="16"/>
    <x v="0"/>
    <x v="1"/>
    <n v="2265.87"/>
  </r>
  <r>
    <x v="0"/>
    <s v="DZA"/>
    <x v="0"/>
    <x v="0"/>
    <x v="16"/>
    <x v="3"/>
    <x v="2"/>
    <n v="1414.74"/>
  </r>
  <r>
    <x v="0"/>
    <s v="DZA"/>
    <x v="0"/>
    <x v="0"/>
    <x v="16"/>
    <x v="4"/>
    <x v="2"/>
    <n v="-228.85"/>
  </r>
  <r>
    <x v="0"/>
    <s v="DZA"/>
    <x v="0"/>
    <x v="0"/>
    <x v="16"/>
    <x v="2"/>
    <x v="1"/>
    <n v="29060.39"/>
  </r>
  <r>
    <x v="0"/>
    <s v="DZA"/>
    <x v="0"/>
    <x v="0"/>
    <x v="17"/>
    <x v="1"/>
    <x v="1"/>
    <n v="516"/>
  </r>
  <r>
    <x v="0"/>
    <s v="DZA"/>
    <x v="0"/>
    <x v="0"/>
    <x v="17"/>
    <x v="5"/>
    <x v="1"/>
    <n v="298.74"/>
  </r>
  <r>
    <x v="0"/>
    <s v="DZA"/>
    <x v="0"/>
    <x v="0"/>
    <x v="18"/>
    <x v="3"/>
    <x v="1"/>
    <n v="1492.77"/>
  </r>
  <r>
    <x v="0"/>
    <s v="DZA"/>
    <x v="0"/>
    <x v="0"/>
    <x v="18"/>
    <x v="2"/>
    <x v="1"/>
    <n v="29391.47"/>
  </r>
  <r>
    <x v="0"/>
    <s v="DZA"/>
    <x v="0"/>
    <x v="0"/>
    <x v="19"/>
    <x v="6"/>
    <x v="0"/>
    <n v="7531.37"/>
  </r>
  <r>
    <x v="0"/>
    <s v="DZA"/>
    <x v="0"/>
    <x v="0"/>
    <x v="19"/>
    <x v="0"/>
    <x v="3"/>
    <n v="0"/>
  </r>
  <r>
    <x v="0"/>
    <s v="DZA"/>
    <x v="0"/>
    <x v="0"/>
    <x v="19"/>
    <x v="3"/>
    <x v="0"/>
    <n v="22777.05"/>
  </r>
  <r>
    <x v="0"/>
    <s v="DZA"/>
    <x v="0"/>
    <x v="0"/>
    <x v="19"/>
    <x v="4"/>
    <x v="0"/>
    <n v="-26510.7"/>
  </r>
  <r>
    <x v="0"/>
    <s v="DZA"/>
    <x v="0"/>
    <x v="0"/>
    <x v="19"/>
    <x v="1"/>
    <x v="1"/>
    <n v="467.81"/>
  </r>
  <r>
    <x v="0"/>
    <s v="DZA"/>
    <x v="0"/>
    <x v="0"/>
    <x v="19"/>
    <x v="2"/>
    <x v="1"/>
    <n v="27716.15"/>
  </r>
  <r>
    <x v="0"/>
    <s v="DZA"/>
    <x v="0"/>
    <x v="0"/>
    <x v="20"/>
    <x v="6"/>
    <x v="0"/>
    <n v="7625.75"/>
  </r>
  <r>
    <x v="0"/>
    <s v="DZA"/>
    <x v="0"/>
    <x v="0"/>
    <x v="20"/>
    <x v="0"/>
    <x v="2"/>
    <n v="932.08"/>
  </r>
  <r>
    <x v="0"/>
    <s v="DZA"/>
    <x v="0"/>
    <x v="0"/>
    <x v="20"/>
    <x v="3"/>
    <x v="3"/>
    <n v="1346.16"/>
  </r>
  <r>
    <x v="0"/>
    <s v="DZA"/>
    <x v="0"/>
    <x v="0"/>
    <x v="20"/>
    <x v="4"/>
    <x v="0"/>
    <n v="-24077.56"/>
  </r>
  <r>
    <x v="0"/>
    <s v="DZA"/>
    <x v="0"/>
    <x v="0"/>
    <x v="20"/>
    <x v="1"/>
    <x v="0"/>
    <n v="16046.2"/>
  </r>
  <r>
    <x v="0"/>
    <s v="DZA"/>
    <x v="0"/>
    <x v="0"/>
    <x v="21"/>
    <x v="6"/>
    <x v="1"/>
    <n v="53564.84"/>
  </r>
  <r>
    <x v="0"/>
    <s v="DZA"/>
    <x v="0"/>
    <x v="0"/>
    <x v="21"/>
    <x v="0"/>
    <x v="1"/>
    <n v="2292.5300000000002"/>
  </r>
  <r>
    <x v="0"/>
    <s v="DZA"/>
    <x v="0"/>
    <x v="0"/>
    <x v="21"/>
    <x v="1"/>
    <x v="0"/>
    <n v="16339.69"/>
  </r>
  <r>
    <x v="0"/>
    <s v="DZA"/>
    <x v="0"/>
    <x v="0"/>
    <x v="22"/>
    <x v="0"/>
    <x v="1"/>
    <n v="2437.6999999999998"/>
  </r>
  <r>
    <x v="0"/>
    <s v="DZA"/>
    <x v="0"/>
    <x v="0"/>
    <x v="22"/>
    <x v="4"/>
    <x v="1"/>
    <n v="-254.52"/>
  </r>
  <r>
    <x v="0"/>
    <s v="DZA"/>
    <x v="0"/>
    <x v="0"/>
    <x v="22"/>
    <x v="4"/>
    <x v="2"/>
    <n v="-258.3"/>
  </r>
  <r>
    <x v="0"/>
    <s v="DZA"/>
    <x v="0"/>
    <x v="0"/>
    <x v="23"/>
    <x v="6"/>
    <x v="1"/>
    <n v="57525.25"/>
  </r>
  <r>
    <x v="0"/>
    <s v="DZA"/>
    <x v="0"/>
    <x v="0"/>
    <x v="23"/>
    <x v="6"/>
    <x v="3"/>
    <n v="0"/>
  </r>
  <r>
    <x v="0"/>
    <s v="DZA"/>
    <x v="0"/>
    <x v="0"/>
    <x v="23"/>
    <x v="0"/>
    <x v="2"/>
    <n v="1012.87"/>
  </r>
  <r>
    <x v="0"/>
    <s v="DZA"/>
    <x v="0"/>
    <x v="0"/>
    <x v="23"/>
    <x v="3"/>
    <x v="3"/>
    <n v="1449.69"/>
  </r>
  <r>
    <x v="0"/>
    <s v="DZA"/>
    <x v="0"/>
    <x v="0"/>
    <x v="23"/>
    <x v="1"/>
    <x v="1"/>
    <n v="450.52"/>
  </r>
  <r>
    <x v="0"/>
    <s v="DZA"/>
    <x v="0"/>
    <x v="0"/>
    <x v="23"/>
    <x v="1"/>
    <x v="2"/>
    <n v="347.81"/>
  </r>
  <r>
    <x v="0"/>
    <s v="DZA"/>
    <x v="0"/>
    <x v="0"/>
    <x v="23"/>
    <x v="2"/>
    <x v="1"/>
    <n v="30512.01"/>
  </r>
  <r>
    <x v="0"/>
    <s v="DZA"/>
    <x v="0"/>
    <x v="0"/>
    <x v="24"/>
    <x v="6"/>
    <x v="1"/>
    <n v="61014.85"/>
  </r>
  <r>
    <x v="0"/>
    <s v="DZA"/>
    <x v="0"/>
    <x v="0"/>
    <x v="24"/>
    <x v="3"/>
    <x v="1"/>
    <n v="1468.68"/>
  </r>
  <r>
    <x v="0"/>
    <s v="DZA"/>
    <x v="0"/>
    <x v="0"/>
    <x v="24"/>
    <x v="2"/>
    <x v="1"/>
    <n v="29652.52"/>
  </r>
  <r>
    <x v="0"/>
    <s v="DZA"/>
    <x v="0"/>
    <x v="0"/>
    <x v="25"/>
    <x v="1"/>
    <x v="3"/>
    <n v="0"/>
  </r>
  <r>
    <x v="0"/>
    <s v="DZA"/>
    <x v="0"/>
    <x v="0"/>
    <x v="25"/>
    <x v="5"/>
    <x v="3"/>
    <n v="0"/>
  </r>
  <r>
    <x v="0"/>
    <s v="DZA"/>
    <x v="0"/>
    <x v="0"/>
    <x v="26"/>
    <x v="5"/>
    <x v="0"/>
    <n v="16972.38"/>
  </r>
  <r>
    <x v="0"/>
    <s v="DZA"/>
    <x v="0"/>
    <x v="0"/>
    <x v="26"/>
    <x v="5"/>
    <x v="3"/>
    <n v="0"/>
  </r>
  <r>
    <x v="0"/>
    <s v="DZA"/>
    <x v="0"/>
    <x v="0"/>
    <x v="27"/>
    <x v="6"/>
    <x v="3"/>
    <n v="0"/>
  </r>
  <r>
    <x v="0"/>
    <s v="DZA"/>
    <x v="0"/>
    <x v="0"/>
    <x v="27"/>
    <x v="0"/>
    <x v="2"/>
    <n v="1070.8599999999999"/>
  </r>
  <r>
    <x v="0"/>
    <s v="DZA"/>
    <x v="0"/>
    <x v="0"/>
    <x v="27"/>
    <x v="3"/>
    <x v="0"/>
    <n v="24515.71"/>
  </r>
  <r>
    <x v="0"/>
    <s v="DZA"/>
    <x v="0"/>
    <x v="0"/>
    <x v="27"/>
    <x v="3"/>
    <x v="3"/>
    <n v="1481.21"/>
  </r>
  <r>
    <x v="0"/>
    <s v="DZA"/>
    <x v="0"/>
    <x v="0"/>
    <x v="27"/>
    <x v="5"/>
    <x v="3"/>
    <n v="0"/>
  </r>
  <r>
    <x v="0"/>
    <s v="DZA"/>
    <x v="0"/>
    <x v="0"/>
    <x v="27"/>
    <x v="2"/>
    <x v="2"/>
    <n v="1703.81"/>
  </r>
  <r>
    <x v="0"/>
    <s v="DZA"/>
    <x v="0"/>
    <x v="0"/>
    <x v="28"/>
    <x v="0"/>
    <x v="0"/>
    <n v="30528.14"/>
  </r>
  <r>
    <x v="0"/>
    <s v="DZA"/>
    <x v="0"/>
    <x v="0"/>
    <x v="28"/>
    <x v="0"/>
    <x v="2"/>
    <n v="1015.23"/>
  </r>
  <r>
    <x v="0"/>
    <s v="DZA"/>
    <x v="0"/>
    <x v="0"/>
    <x v="28"/>
    <x v="4"/>
    <x v="1"/>
    <n v="-250.78"/>
  </r>
  <r>
    <x v="0"/>
    <s v="DZA"/>
    <x v="0"/>
    <x v="0"/>
    <x v="28"/>
    <x v="1"/>
    <x v="1"/>
    <n v="515.27"/>
  </r>
  <r>
    <x v="0"/>
    <s v="DZA"/>
    <x v="0"/>
    <x v="0"/>
    <x v="29"/>
    <x v="0"/>
    <x v="0"/>
    <n v="32229.73"/>
  </r>
  <r>
    <x v="0"/>
    <s v="DZA"/>
    <x v="0"/>
    <x v="0"/>
    <x v="29"/>
    <x v="3"/>
    <x v="0"/>
    <n v="23747.62"/>
  </r>
  <r>
    <x v="0"/>
    <s v="DZA"/>
    <x v="0"/>
    <x v="0"/>
    <x v="30"/>
    <x v="0"/>
    <x v="3"/>
    <n v="0"/>
  </r>
  <r>
    <x v="0"/>
    <s v="DZA"/>
    <x v="0"/>
    <x v="0"/>
    <x v="30"/>
    <x v="4"/>
    <x v="3"/>
    <n v="0"/>
  </r>
  <r>
    <x v="0"/>
    <s v="DZA"/>
    <x v="0"/>
    <x v="0"/>
    <x v="30"/>
    <x v="1"/>
    <x v="3"/>
    <n v="0"/>
  </r>
  <r>
    <x v="0"/>
    <s v="DZA"/>
    <x v="0"/>
    <x v="0"/>
    <x v="30"/>
    <x v="2"/>
    <x v="1"/>
    <n v="31079.38"/>
  </r>
  <r>
    <x v="0"/>
    <s v="DZA"/>
    <x v="0"/>
    <x v="0"/>
    <x v="31"/>
    <x v="0"/>
    <x v="0"/>
    <n v="32226.77"/>
  </r>
  <r>
    <x v="0"/>
    <s v="DZA"/>
    <x v="0"/>
    <x v="0"/>
    <x v="31"/>
    <x v="5"/>
    <x v="2"/>
    <n v="164.58"/>
  </r>
  <r>
    <x v="0"/>
    <s v="DZA"/>
    <x v="0"/>
    <x v="0"/>
    <x v="31"/>
    <x v="2"/>
    <x v="1"/>
    <n v="32503.09"/>
  </r>
  <r>
    <x v="0"/>
    <s v="DZA"/>
    <x v="0"/>
    <x v="0"/>
    <x v="31"/>
    <x v="2"/>
    <x v="2"/>
    <n v="2124.4499999999998"/>
  </r>
  <r>
    <x v="0"/>
    <s v="DZA"/>
    <x v="0"/>
    <x v="0"/>
    <x v="32"/>
    <x v="1"/>
    <x v="1"/>
    <n v="505.48"/>
  </r>
  <r>
    <x v="0"/>
    <s v="DZA"/>
    <x v="0"/>
    <x v="0"/>
    <x v="32"/>
    <x v="2"/>
    <x v="1"/>
    <n v="33337.19"/>
  </r>
  <r>
    <x v="1"/>
    <s v="ARG"/>
    <x v="1"/>
    <x v="0"/>
    <x v="0"/>
    <x v="6"/>
    <x v="2"/>
    <n v="1774"/>
  </r>
  <r>
    <x v="1"/>
    <s v="ARG"/>
    <x v="1"/>
    <x v="0"/>
    <x v="0"/>
    <x v="3"/>
    <x v="2"/>
    <n v="4108.05"/>
  </r>
  <r>
    <x v="1"/>
    <s v="ARG"/>
    <x v="1"/>
    <x v="0"/>
    <x v="0"/>
    <x v="5"/>
    <x v="2"/>
    <n v="220.8"/>
  </r>
  <r>
    <x v="1"/>
    <s v="ARG"/>
    <x v="1"/>
    <x v="0"/>
    <x v="1"/>
    <x v="6"/>
    <x v="0"/>
    <n v="870.59"/>
  </r>
  <r>
    <x v="1"/>
    <s v="ARG"/>
    <x v="1"/>
    <x v="0"/>
    <x v="1"/>
    <x v="0"/>
    <x v="1"/>
    <n v="784.2"/>
  </r>
  <r>
    <x v="1"/>
    <s v="ARG"/>
    <x v="1"/>
    <x v="0"/>
    <x v="2"/>
    <x v="0"/>
    <x v="1"/>
    <n v="842.99"/>
  </r>
  <r>
    <x v="1"/>
    <s v="ARG"/>
    <x v="1"/>
    <x v="0"/>
    <x v="2"/>
    <x v="3"/>
    <x v="1"/>
    <n v="4535.7"/>
  </r>
  <r>
    <x v="1"/>
    <s v="ARG"/>
    <x v="1"/>
    <x v="0"/>
    <x v="2"/>
    <x v="3"/>
    <x v="3"/>
    <n v="4526.03"/>
  </r>
  <r>
    <x v="1"/>
    <s v="ARG"/>
    <x v="1"/>
    <x v="0"/>
    <x v="3"/>
    <x v="0"/>
    <x v="1"/>
    <n v="710.89"/>
  </r>
  <r>
    <x v="1"/>
    <s v="ARG"/>
    <x v="1"/>
    <x v="0"/>
    <x v="3"/>
    <x v="3"/>
    <x v="0"/>
    <n v="69864.78"/>
  </r>
  <r>
    <x v="1"/>
    <s v="ARG"/>
    <x v="1"/>
    <x v="0"/>
    <x v="3"/>
    <x v="4"/>
    <x v="1"/>
    <n v="-32.840000000000003"/>
  </r>
  <r>
    <x v="1"/>
    <s v="ARG"/>
    <x v="1"/>
    <x v="0"/>
    <x v="3"/>
    <x v="4"/>
    <x v="2"/>
    <n v="-35.75"/>
  </r>
  <r>
    <x v="1"/>
    <s v="ARG"/>
    <x v="1"/>
    <x v="0"/>
    <x v="4"/>
    <x v="6"/>
    <x v="2"/>
    <n v="1810.27"/>
  </r>
  <r>
    <x v="1"/>
    <s v="ARG"/>
    <x v="1"/>
    <x v="0"/>
    <x v="4"/>
    <x v="1"/>
    <x v="3"/>
    <n v="0"/>
  </r>
  <r>
    <x v="1"/>
    <s v="ARG"/>
    <x v="1"/>
    <x v="0"/>
    <x v="5"/>
    <x v="4"/>
    <x v="2"/>
    <n v="-41.18"/>
  </r>
  <r>
    <x v="1"/>
    <s v="ARG"/>
    <x v="1"/>
    <x v="0"/>
    <x v="5"/>
    <x v="1"/>
    <x v="2"/>
    <n v="2288.48"/>
  </r>
  <r>
    <x v="1"/>
    <s v="ARG"/>
    <x v="1"/>
    <x v="0"/>
    <x v="5"/>
    <x v="5"/>
    <x v="1"/>
    <n v="505.22"/>
  </r>
  <r>
    <x v="1"/>
    <s v="ARG"/>
    <x v="1"/>
    <x v="0"/>
    <x v="6"/>
    <x v="6"/>
    <x v="1"/>
    <n v="6014.8"/>
  </r>
  <r>
    <x v="1"/>
    <s v="ARG"/>
    <x v="1"/>
    <x v="0"/>
    <x v="6"/>
    <x v="1"/>
    <x v="2"/>
    <n v="2506.8000000000002"/>
  </r>
  <r>
    <x v="1"/>
    <s v="ARG"/>
    <x v="1"/>
    <x v="0"/>
    <x v="6"/>
    <x v="5"/>
    <x v="2"/>
    <n v="257.72000000000003"/>
  </r>
  <r>
    <x v="1"/>
    <s v="ARG"/>
    <x v="1"/>
    <x v="0"/>
    <x v="7"/>
    <x v="6"/>
    <x v="0"/>
    <n v="1049.44"/>
  </r>
  <r>
    <x v="1"/>
    <s v="ARG"/>
    <x v="1"/>
    <x v="0"/>
    <x v="7"/>
    <x v="6"/>
    <x v="2"/>
    <n v="1907.28"/>
  </r>
  <r>
    <x v="1"/>
    <s v="ARG"/>
    <x v="1"/>
    <x v="0"/>
    <x v="7"/>
    <x v="1"/>
    <x v="3"/>
    <n v="0"/>
  </r>
  <r>
    <x v="1"/>
    <s v="ARG"/>
    <x v="1"/>
    <x v="0"/>
    <x v="8"/>
    <x v="6"/>
    <x v="1"/>
    <n v="7360.26"/>
  </r>
  <r>
    <x v="1"/>
    <s v="ARG"/>
    <x v="1"/>
    <x v="0"/>
    <x v="8"/>
    <x v="0"/>
    <x v="1"/>
    <n v="945.51"/>
  </r>
  <r>
    <x v="1"/>
    <s v="ARG"/>
    <x v="1"/>
    <x v="0"/>
    <x v="8"/>
    <x v="1"/>
    <x v="0"/>
    <n v="137208.91"/>
  </r>
  <r>
    <x v="1"/>
    <s v="ARG"/>
    <x v="1"/>
    <x v="0"/>
    <x v="8"/>
    <x v="2"/>
    <x v="0"/>
    <n v="298.45999999999998"/>
  </r>
  <r>
    <x v="1"/>
    <s v="ARG"/>
    <x v="1"/>
    <x v="0"/>
    <x v="9"/>
    <x v="1"/>
    <x v="1"/>
    <n v="4593.38"/>
  </r>
  <r>
    <x v="1"/>
    <s v="ARG"/>
    <x v="1"/>
    <x v="0"/>
    <x v="10"/>
    <x v="6"/>
    <x v="3"/>
    <n v="0"/>
  </r>
  <r>
    <x v="1"/>
    <s v="ARG"/>
    <x v="1"/>
    <x v="0"/>
    <x v="10"/>
    <x v="3"/>
    <x v="0"/>
    <n v="89495.94"/>
  </r>
  <r>
    <x v="1"/>
    <s v="ARG"/>
    <x v="1"/>
    <x v="0"/>
    <x v="10"/>
    <x v="1"/>
    <x v="1"/>
    <n v="4463.96"/>
  </r>
  <r>
    <x v="1"/>
    <s v="ARG"/>
    <x v="1"/>
    <x v="0"/>
    <x v="10"/>
    <x v="2"/>
    <x v="1"/>
    <n v="1628.61"/>
  </r>
  <r>
    <x v="1"/>
    <s v="ARG"/>
    <x v="1"/>
    <x v="0"/>
    <x v="10"/>
    <x v="2"/>
    <x v="0"/>
    <n v="340.72"/>
  </r>
  <r>
    <x v="1"/>
    <s v="ARG"/>
    <x v="1"/>
    <x v="0"/>
    <x v="11"/>
    <x v="1"/>
    <x v="3"/>
    <n v="0"/>
  </r>
  <r>
    <x v="1"/>
    <s v="ARG"/>
    <x v="1"/>
    <x v="0"/>
    <x v="11"/>
    <x v="5"/>
    <x v="1"/>
    <n v="674.16"/>
  </r>
  <r>
    <x v="1"/>
    <s v="ARG"/>
    <x v="1"/>
    <x v="0"/>
    <x v="12"/>
    <x v="3"/>
    <x v="0"/>
    <n v="107196.91"/>
  </r>
  <r>
    <x v="1"/>
    <s v="ARG"/>
    <x v="1"/>
    <x v="0"/>
    <x v="12"/>
    <x v="3"/>
    <x v="2"/>
    <n v="5687.88"/>
  </r>
  <r>
    <x v="1"/>
    <s v="ARG"/>
    <x v="1"/>
    <x v="0"/>
    <x v="12"/>
    <x v="1"/>
    <x v="3"/>
    <n v="0"/>
  </r>
  <r>
    <x v="1"/>
    <s v="ARG"/>
    <x v="1"/>
    <x v="0"/>
    <x v="12"/>
    <x v="2"/>
    <x v="0"/>
    <n v="369.73"/>
  </r>
  <r>
    <x v="1"/>
    <s v="ARG"/>
    <x v="1"/>
    <x v="0"/>
    <x v="13"/>
    <x v="2"/>
    <x v="2"/>
    <n v="119.81"/>
  </r>
  <r>
    <x v="1"/>
    <s v="ARG"/>
    <x v="1"/>
    <x v="0"/>
    <x v="14"/>
    <x v="4"/>
    <x v="0"/>
    <n v="-4876.3100000000004"/>
  </r>
  <r>
    <x v="1"/>
    <s v="ARG"/>
    <x v="1"/>
    <x v="0"/>
    <x v="14"/>
    <x v="1"/>
    <x v="1"/>
    <n v="4500.82"/>
  </r>
  <r>
    <x v="1"/>
    <s v="ARG"/>
    <x v="1"/>
    <x v="0"/>
    <x v="14"/>
    <x v="2"/>
    <x v="2"/>
    <n v="113.57"/>
  </r>
  <r>
    <x v="1"/>
    <s v="ARG"/>
    <x v="1"/>
    <x v="0"/>
    <x v="15"/>
    <x v="0"/>
    <x v="1"/>
    <n v="1221.8800000000001"/>
  </r>
  <r>
    <x v="1"/>
    <s v="ARG"/>
    <x v="1"/>
    <x v="0"/>
    <x v="15"/>
    <x v="0"/>
    <x v="0"/>
    <n v="15582.21"/>
  </r>
  <r>
    <x v="1"/>
    <s v="ARG"/>
    <x v="1"/>
    <x v="0"/>
    <x v="16"/>
    <x v="6"/>
    <x v="3"/>
    <n v="0"/>
  </r>
  <r>
    <x v="1"/>
    <s v="ARG"/>
    <x v="1"/>
    <x v="0"/>
    <x v="16"/>
    <x v="4"/>
    <x v="1"/>
    <n v="-44.61"/>
  </r>
  <r>
    <x v="1"/>
    <s v="ARG"/>
    <x v="1"/>
    <x v="0"/>
    <x v="16"/>
    <x v="4"/>
    <x v="3"/>
    <n v="0"/>
  </r>
  <r>
    <x v="1"/>
    <s v="ARG"/>
    <x v="1"/>
    <x v="0"/>
    <x v="16"/>
    <x v="1"/>
    <x v="2"/>
    <n v="3250.32"/>
  </r>
  <r>
    <x v="1"/>
    <s v="ARG"/>
    <x v="1"/>
    <x v="0"/>
    <x v="16"/>
    <x v="5"/>
    <x v="0"/>
    <n v="29931.200000000001"/>
  </r>
  <r>
    <x v="1"/>
    <s v="ARG"/>
    <x v="1"/>
    <x v="0"/>
    <x v="16"/>
    <x v="2"/>
    <x v="1"/>
    <n v="1898.17"/>
  </r>
  <r>
    <x v="1"/>
    <s v="ARG"/>
    <x v="1"/>
    <x v="0"/>
    <x v="16"/>
    <x v="2"/>
    <x v="3"/>
    <n v="0"/>
  </r>
  <r>
    <x v="1"/>
    <s v="ARG"/>
    <x v="1"/>
    <x v="0"/>
    <x v="17"/>
    <x v="6"/>
    <x v="1"/>
    <n v="9178.24"/>
  </r>
  <r>
    <x v="1"/>
    <s v="ARG"/>
    <x v="1"/>
    <x v="0"/>
    <x v="17"/>
    <x v="3"/>
    <x v="2"/>
    <n v="6204.81"/>
  </r>
  <r>
    <x v="1"/>
    <s v="ARG"/>
    <x v="1"/>
    <x v="0"/>
    <x v="17"/>
    <x v="1"/>
    <x v="3"/>
    <n v="0"/>
  </r>
  <r>
    <x v="1"/>
    <s v="ARG"/>
    <x v="1"/>
    <x v="0"/>
    <x v="17"/>
    <x v="5"/>
    <x v="0"/>
    <n v="31914.560000000001"/>
  </r>
  <r>
    <x v="1"/>
    <s v="ARG"/>
    <x v="1"/>
    <x v="0"/>
    <x v="17"/>
    <x v="2"/>
    <x v="3"/>
    <n v="0"/>
  </r>
  <r>
    <x v="1"/>
    <s v="ARG"/>
    <x v="1"/>
    <x v="0"/>
    <x v="33"/>
    <x v="1"/>
    <x v="3"/>
    <n v="0"/>
  </r>
  <r>
    <x v="1"/>
    <s v="ARG"/>
    <x v="1"/>
    <x v="0"/>
    <x v="33"/>
    <x v="5"/>
    <x v="3"/>
    <n v="0"/>
  </r>
  <r>
    <x v="1"/>
    <s v="ARG"/>
    <x v="1"/>
    <x v="0"/>
    <x v="18"/>
    <x v="0"/>
    <x v="2"/>
    <n v="503.04"/>
  </r>
  <r>
    <x v="1"/>
    <s v="ARG"/>
    <x v="1"/>
    <x v="0"/>
    <x v="18"/>
    <x v="4"/>
    <x v="2"/>
    <n v="-55.46"/>
  </r>
  <r>
    <x v="1"/>
    <s v="ARG"/>
    <x v="1"/>
    <x v="0"/>
    <x v="18"/>
    <x v="2"/>
    <x v="0"/>
    <n v="401.64"/>
  </r>
  <r>
    <x v="1"/>
    <s v="ARG"/>
    <x v="1"/>
    <x v="0"/>
    <x v="19"/>
    <x v="6"/>
    <x v="0"/>
    <n v="1351.77"/>
  </r>
  <r>
    <x v="1"/>
    <s v="ARG"/>
    <x v="1"/>
    <x v="0"/>
    <x v="19"/>
    <x v="0"/>
    <x v="1"/>
    <n v="1111.33"/>
  </r>
  <r>
    <x v="1"/>
    <s v="ARG"/>
    <x v="1"/>
    <x v="0"/>
    <x v="19"/>
    <x v="3"/>
    <x v="3"/>
    <n v="6264.43"/>
  </r>
  <r>
    <x v="1"/>
    <s v="ARG"/>
    <x v="1"/>
    <x v="0"/>
    <x v="19"/>
    <x v="4"/>
    <x v="3"/>
    <n v="0"/>
  </r>
  <r>
    <x v="1"/>
    <s v="ARG"/>
    <x v="1"/>
    <x v="0"/>
    <x v="19"/>
    <x v="5"/>
    <x v="0"/>
    <n v="33966.39"/>
  </r>
  <r>
    <x v="1"/>
    <s v="ARG"/>
    <x v="1"/>
    <x v="0"/>
    <x v="20"/>
    <x v="3"/>
    <x v="2"/>
    <n v="7058.31"/>
  </r>
  <r>
    <x v="1"/>
    <s v="ARG"/>
    <x v="1"/>
    <x v="0"/>
    <x v="20"/>
    <x v="4"/>
    <x v="0"/>
    <n v="-5479.08"/>
  </r>
  <r>
    <x v="1"/>
    <s v="ARG"/>
    <x v="1"/>
    <x v="0"/>
    <x v="21"/>
    <x v="0"/>
    <x v="1"/>
    <n v="1226.8499999999999"/>
  </r>
  <r>
    <x v="1"/>
    <s v="ARG"/>
    <x v="1"/>
    <x v="0"/>
    <x v="21"/>
    <x v="3"/>
    <x v="3"/>
    <n v="6480.08"/>
  </r>
  <r>
    <x v="1"/>
    <s v="ARG"/>
    <x v="1"/>
    <x v="0"/>
    <x v="21"/>
    <x v="5"/>
    <x v="0"/>
    <n v="33563.440000000002"/>
  </r>
  <r>
    <x v="1"/>
    <s v="ARG"/>
    <x v="1"/>
    <x v="0"/>
    <x v="22"/>
    <x v="0"/>
    <x v="0"/>
    <n v="16065.33"/>
  </r>
  <r>
    <x v="1"/>
    <s v="ARG"/>
    <x v="1"/>
    <x v="0"/>
    <x v="22"/>
    <x v="5"/>
    <x v="2"/>
    <n v="374.59"/>
  </r>
  <r>
    <x v="1"/>
    <s v="ARG"/>
    <x v="1"/>
    <x v="0"/>
    <x v="23"/>
    <x v="5"/>
    <x v="0"/>
    <n v="37325.81"/>
  </r>
  <r>
    <x v="1"/>
    <s v="ARG"/>
    <x v="1"/>
    <x v="0"/>
    <x v="24"/>
    <x v="0"/>
    <x v="0"/>
    <n v="15976.9"/>
  </r>
  <r>
    <x v="1"/>
    <s v="ARG"/>
    <x v="1"/>
    <x v="0"/>
    <x v="24"/>
    <x v="4"/>
    <x v="3"/>
    <n v="0"/>
  </r>
  <r>
    <x v="1"/>
    <s v="ARG"/>
    <x v="1"/>
    <x v="0"/>
    <x v="24"/>
    <x v="1"/>
    <x v="0"/>
    <n v="210741.83"/>
  </r>
  <r>
    <x v="1"/>
    <s v="ARG"/>
    <x v="1"/>
    <x v="0"/>
    <x v="26"/>
    <x v="4"/>
    <x v="3"/>
    <n v="0"/>
  </r>
  <r>
    <x v="1"/>
    <s v="ARG"/>
    <x v="1"/>
    <x v="0"/>
    <x v="26"/>
    <x v="1"/>
    <x v="1"/>
    <n v="6039.22"/>
  </r>
  <r>
    <x v="1"/>
    <s v="ARG"/>
    <x v="1"/>
    <x v="0"/>
    <x v="26"/>
    <x v="1"/>
    <x v="0"/>
    <n v="199922.05"/>
  </r>
  <r>
    <x v="1"/>
    <s v="ARG"/>
    <x v="1"/>
    <x v="0"/>
    <x v="34"/>
    <x v="6"/>
    <x v="2"/>
    <n v="2754.72"/>
  </r>
  <r>
    <x v="1"/>
    <s v="ARG"/>
    <x v="1"/>
    <x v="0"/>
    <x v="34"/>
    <x v="0"/>
    <x v="2"/>
    <n v="522.66"/>
  </r>
  <r>
    <x v="1"/>
    <s v="ARG"/>
    <x v="1"/>
    <x v="0"/>
    <x v="27"/>
    <x v="3"/>
    <x v="2"/>
    <n v="6172.8"/>
  </r>
  <r>
    <x v="1"/>
    <s v="ARG"/>
    <x v="1"/>
    <x v="0"/>
    <x v="27"/>
    <x v="4"/>
    <x v="1"/>
    <n v="-53.03"/>
  </r>
  <r>
    <x v="1"/>
    <s v="ARG"/>
    <x v="1"/>
    <x v="0"/>
    <x v="28"/>
    <x v="6"/>
    <x v="2"/>
    <n v="2872.57"/>
  </r>
  <r>
    <x v="1"/>
    <s v="ARG"/>
    <x v="1"/>
    <x v="0"/>
    <x v="28"/>
    <x v="0"/>
    <x v="2"/>
    <n v="589.84"/>
  </r>
  <r>
    <x v="1"/>
    <s v="ARG"/>
    <x v="1"/>
    <x v="0"/>
    <x v="28"/>
    <x v="5"/>
    <x v="3"/>
    <n v="0"/>
  </r>
  <r>
    <x v="1"/>
    <s v="ARG"/>
    <x v="1"/>
    <x v="0"/>
    <x v="28"/>
    <x v="2"/>
    <x v="3"/>
    <n v="0"/>
  </r>
  <r>
    <x v="1"/>
    <s v="ARG"/>
    <x v="1"/>
    <x v="0"/>
    <x v="29"/>
    <x v="6"/>
    <x v="1"/>
    <n v="9646.26"/>
  </r>
  <r>
    <x v="1"/>
    <s v="ARG"/>
    <x v="1"/>
    <x v="0"/>
    <x v="29"/>
    <x v="3"/>
    <x v="3"/>
    <n v="7373.39"/>
  </r>
  <r>
    <x v="1"/>
    <s v="ARG"/>
    <x v="1"/>
    <x v="0"/>
    <x v="29"/>
    <x v="2"/>
    <x v="0"/>
    <n v="483.78"/>
  </r>
  <r>
    <x v="1"/>
    <s v="ARG"/>
    <x v="1"/>
    <x v="0"/>
    <x v="29"/>
    <x v="2"/>
    <x v="2"/>
    <n v="148.25"/>
  </r>
  <r>
    <x v="1"/>
    <s v="ARG"/>
    <x v="1"/>
    <x v="0"/>
    <x v="30"/>
    <x v="5"/>
    <x v="0"/>
    <n v="39466.44"/>
  </r>
  <r>
    <x v="1"/>
    <s v="ARG"/>
    <x v="1"/>
    <x v="0"/>
    <x v="32"/>
    <x v="1"/>
    <x v="0"/>
    <n v="208418.97"/>
  </r>
  <r>
    <x v="2"/>
    <s v="AUS"/>
    <x v="2"/>
    <x v="1"/>
    <x v="0"/>
    <x v="6"/>
    <x v="2"/>
    <n v="16973.37"/>
  </r>
  <r>
    <x v="2"/>
    <s v="AUS"/>
    <x v="2"/>
    <x v="1"/>
    <x v="0"/>
    <x v="0"/>
    <x v="3"/>
    <n v="0"/>
  </r>
  <r>
    <x v="2"/>
    <s v="AUS"/>
    <x v="2"/>
    <x v="1"/>
    <x v="0"/>
    <x v="3"/>
    <x v="2"/>
    <n v="4838.1499999999996"/>
  </r>
  <r>
    <x v="2"/>
    <s v="AUS"/>
    <x v="2"/>
    <x v="1"/>
    <x v="0"/>
    <x v="4"/>
    <x v="2"/>
    <n v="-48.28"/>
  </r>
  <r>
    <x v="2"/>
    <s v="AUS"/>
    <x v="2"/>
    <x v="1"/>
    <x v="0"/>
    <x v="2"/>
    <x v="3"/>
    <n v="0"/>
  </r>
  <r>
    <x v="2"/>
    <s v="AUS"/>
    <x v="2"/>
    <x v="1"/>
    <x v="1"/>
    <x v="6"/>
    <x v="0"/>
    <n v="8906.76"/>
  </r>
  <r>
    <x v="2"/>
    <s v="AUS"/>
    <x v="2"/>
    <x v="1"/>
    <x v="1"/>
    <x v="3"/>
    <x v="2"/>
    <n v="5407.17"/>
  </r>
  <r>
    <x v="2"/>
    <s v="AUS"/>
    <x v="2"/>
    <x v="1"/>
    <x v="2"/>
    <x v="0"/>
    <x v="3"/>
    <n v="0"/>
  </r>
  <r>
    <x v="2"/>
    <s v="AUS"/>
    <x v="2"/>
    <x v="1"/>
    <x v="2"/>
    <x v="4"/>
    <x v="3"/>
    <n v="0"/>
  </r>
  <r>
    <x v="2"/>
    <s v="AUS"/>
    <x v="2"/>
    <x v="1"/>
    <x v="2"/>
    <x v="1"/>
    <x v="1"/>
    <n v="1790.48"/>
  </r>
  <r>
    <x v="2"/>
    <s v="AUS"/>
    <x v="2"/>
    <x v="1"/>
    <x v="3"/>
    <x v="0"/>
    <x v="1"/>
    <n v="2981.26"/>
  </r>
  <r>
    <x v="2"/>
    <s v="AUS"/>
    <x v="2"/>
    <x v="1"/>
    <x v="3"/>
    <x v="5"/>
    <x v="0"/>
    <n v="114462.14"/>
  </r>
  <r>
    <x v="2"/>
    <s v="AUS"/>
    <x v="2"/>
    <x v="1"/>
    <x v="4"/>
    <x v="0"/>
    <x v="3"/>
    <n v="0"/>
  </r>
  <r>
    <x v="2"/>
    <s v="AUS"/>
    <x v="2"/>
    <x v="1"/>
    <x v="4"/>
    <x v="2"/>
    <x v="1"/>
    <n v="7409.19"/>
  </r>
  <r>
    <x v="2"/>
    <s v="AUS"/>
    <x v="2"/>
    <x v="1"/>
    <x v="5"/>
    <x v="0"/>
    <x v="0"/>
    <n v="34685.81"/>
  </r>
  <r>
    <x v="2"/>
    <s v="AUS"/>
    <x v="2"/>
    <x v="1"/>
    <x v="5"/>
    <x v="5"/>
    <x v="0"/>
    <n v="106684.97"/>
  </r>
  <r>
    <x v="2"/>
    <s v="AUS"/>
    <x v="2"/>
    <x v="1"/>
    <x v="6"/>
    <x v="6"/>
    <x v="3"/>
    <n v="0"/>
  </r>
  <r>
    <x v="2"/>
    <s v="AUS"/>
    <x v="2"/>
    <x v="1"/>
    <x v="6"/>
    <x v="3"/>
    <x v="3"/>
    <n v="4995.24"/>
  </r>
  <r>
    <x v="2"/>
    <s v="AUS"/>
    <x v="2"/>
    <x v="1"/>
    <x v="6"/>
    <x v="1"/>
    <x v="1"/>
    <n v="1897.16"/>
  </r>
  <r>
    <x v="2"/>
    <s v="AUS"/>
    <x v="2"/>
    <x v="1"/>
    <x v="6"/>
    <x v="2"/>
    <x v="2"/>
    <n v="450.25"/>
  </r>
  <r>
    <x v="2"/>
    <s v="AUS"/>
    <x v="2"/>
    <x v="1"/>
    <x v="7"/>
    <x v="6"/>
    <x v="2"/>
    <n v="14159.22"/>
  </r>
  <r>
    <x v="2"/>
    <s v="AUS"/>
    <x v="2"/>
    <x v="1"/>
    <x v="7"/>
    <x v="3"/>
    <x v="2"/>
    <n v="4623.22"/>
  </r>
  <r>
    <x v="2"/>
    <s v="AUS"/>
    <x v="2"/>
    <x v="1"/>
    <x v="7"/>
    <x v="5"/>
    <x v="0"/>
    <n v="102732.75"/>
  </r>
  <r>
    <x v="2"/>
    <s v="AUS"/>
    <x v="2"/>
    <x v="1"/>
    <x v="7"/>
    <x v="5"/>
    <x v="2"/>
    <n v="1254.3699999999999"/>
  </r>
  <r>
    <x v="2"/>
    <s v="AUS"/>
    <x v="2"/>
    <x v="1"/>
    <x v="8"/>
    <x v="6"/>
    <x v="1"/>
    <n v="57702.15"/>
  </r>
  <r>
    <x v="2"/>
    <s v="AUS"/>
    <x v="2"/>
    <x v="1"/>
    <x v="8"/>
    <x v="2"/>
    <x v="3"/>
    <n v="0"/>
  </r>
  <r>
    <x v="2"/>
    <s v="AUS"/>
    <x v="2"/>
    <x v="1"/>
    <x v="8"/>
    <x v="2"/>
    <x v="2"/>
    <n v="476.65"/>
  </r>
  <r>
    <x v="2"/>
    <s v="AUS"/>
    <x v="2"/>
    <x v="1"/>
    <x v="9"/>
    <x v="6"/>
    <x v="3"/>
    <n v="0"/>
  </r>
  <r>
    <x v="2"/>
    <s v="AUS"/>
    <x v="2"/>
    <x v="1"/>
    <x v="9"/>
    <x v="0"/>
    <x v="0"/>
    <n v="34890.589999999997"/>
  </r>
  <r>
    <x v="2"/>
    <s v="AUS"/>
    <x v="2"/>
    <x v="1"/>
    <x v="9"/>
    <x v="0"/>
    <x v="2"/>
    <n v="1198.3399999999999"/>
  </r>
  <r>
    <x v="2"/>
    <s v="AUS"/>
    <x v="2"/>
    <x v="1"/>
    <x v="9"/>
    <x v="4"/>
    <x v="2"/>
    <n v="-46.64"/>
  </r>
  <r>
    <x v="2"/>
    <s v="AUS"/>
    <x v="2"/>
    <x v="1"/>
    <x v="9"/>
    <x v="1"/>
    <x v="3"/>
    <n v="0"/>
  </r>
  <r>
    <x v="2"/>
    <s v="AUS"/>
    <x v="2"/>
    <x v="1"/>
    <x v="9"/>
    <x v="2"/>
    <x v="3"/>
    <n v="0"/>
  </r>
  <r>
    <x v="2"/>
    <s v="AUS"/>
    <x v="2"/>
    <x v="1"/>
    <x v="9"/>
    <x v="2"/>
    <x v="2"/>
    <n v="415.34"/>
  </r>
  <r>
    <x v="2"/>
    <s v="AUS"/>
    <x v="2"/>
    <x v="1"/>
    <x v="10"/>
    <x v="5"/>
    <x v="0"/>
    <n v="122200.87"/>
  </r>
  <r>
    <x v="2"/>
    <s v="AUS"/>
    <x v="2"/>
    <x v="1"/>
    <x v="11"/>
    <x v="0"/>
    <x v="1"/>
    <n v="2703.56"/>
  </r>
  <r>
    <x v="2"/>
    <s v="AUS"/>
    <x v="2"/>
    <x v="1"/>
    <x v="11"/>
    <x v="5"/>
    <x v="0"/>
    <n v="91788.4"/>
  </r>
  <r>
    <x v="2"/>
    <s v="AUS"/>
    <x v="2"/>
    <x v="1"/>
    <x v="12"/>
    <x v="0"/>
    <x v="2"/>
    <n v="1260.81"/>
  </r>
  <r>
    <x v="2"/>
    <s v="AUS"/>
    <x v="2"/>
    <x v="1"/>
    <x v="12"/>
    <x v="3"/>
    <x v="1"/>
    <n v="5072.79"/>
  </r>
  <r>
    <x v="2"/>
    <s v="AUS"/>
    <x v="2"/>
    <x v="1"/>
    <x v="12"/>
    <x v="1"/>
    <x v="3"/>
    <n v="0"/>
  </r>
  <r>
    <x v="2"/>
    <s v="AUS"/>
    <x v="2"/>
    <x v="1"/>
    <x v="12"/>
    <x v="2"/>
    <x v="0"/>
    <n v="1380.78"/>
  </r>
  <r>
    <x v="2"/>
    <s v="AUS"/>
    <x v="2"/>
    <x v="1"/>
    <x v="13"/>
    <x v="0"/>
    <x v="2"/>
    <n v="1195.33"/>
  </r>
  <r>
    <x v="2"/>
    <s v="AUS"/>
    <x v="2"/>
    <x v="1"/>
    <x v="13"/>
    <x v="4"/>
    <x v="3"/>
    <n v="0"/>
  </r>
  <r>
    <x v="2"/>
    <s v="AUS"/>
    <x v="2"/>
    <x v="1"/>
    <x v="14"/>
    <x v="0"/>
    <x v="1"/>
    <n v="3040.09"/>
  </r>
  <r>
    <x v="2"/>
    <s v="AUS"/>
    <x v="2"/>
    <x v="1"/>
    <x v="15"/>
    <x v="6"/>
    <x v="0"/>
    <n v="8864.2999999999993"/>
  </r>
  <r>
    <x v="2"/>
    <s v="AUS"/>
    <x v="2"/>
    <x v="1"/>
    <x v="15"/>
    <x v="6"/>
    <x v="3"/>
    <n v="0"/>
  </r>
  <r>
    <x v="2"/>
    <s v="AUS"/>
    <x v="2"/>
    <x v="1"/>
    <x v="15"/>
    <x v="3"/>
    <x v="0"/>
    <n v="98270.01"/>
  </r>
  <r>
    <x v="2"/>
    <s v="AUS"/>
    <x v="2"/>
    <x v="1"/>
    <x v="15"/>
    <x v="4"/>
    <x v="2"/>
    <n v="-49.78"/>
  </r>
  <r>
    <x v="2"/>
    <s v="AUS"/>
    <x v="2"/>
    <x v="1"/>
    <x v="15"/>
    <x v="5"/>
    <x v="0"/>
    <n v="115408.89"/>
  </r>
  <r>
    <x v="2"/>
    <s v="AUS"/>
    <x v="2"/>
    <x v="1"/>
    <x v="16"/>
    <x v="1"/>
    <x v="3"/>
    <n v="0"/>
  </r>
  <r>
    <x v="2"/>
    <s v="AUS"/>
    <x v="2"/>
    <x v="1"/>
    <x v="17"/>
    <x v="6"/>
    <x v="2"/>
    <n v="15583.39"/>
  </r>
  <r>
    <x v="2"/>
    <s v="AUS"/>
    <x v="2"/>
    <x v="1"/>
    <x v="17"/>
    <x v="0"/>
    <x v="0"/>
    <n v="39388.449999999997"/>
  </r>
  <r>
    <x v="2"/>
    <s v="AUS"/>
    <x v="2"/>
    <x v="1"/>
    <x v="17"/>
    <x v="1"/>
    <x v="1"/>
    <n v="1721.33"/>
  </r>
  <r>
    <x v="2"/>
    <s v="AUS"/>
    <x v="2"/>
    <x v="1"/>
    <x v="33"/>
    <x v="5"/>
    <x v="2"/>
    <n v="1369.06"/>
  </r>
  <r>
    <x v="2"/>
    <s v="AUS"/>
    <x v="2"/>
    <x v="1"/>
    <x v="18"/>
    <x v="4"/>
    <x v="1"/>
    <n v="-49.96"/>
  </r>
  <r>
    <x v="2"/>
    <s v="AUS"/>
    <x v="2"/>
    <x v="1"/>
    <x v="18"/>
    <x v="5"/>
    <x v="0"/>
    <n v="121472.51"/>
  </r>
  <r>
    <x v="2"/>
    <s v="AUS"/>
    <x v="2"/>
    <x v="1"/>
    <x v="18"/>
    <x v="2"/>
    <x v="1"/>
    <n v="8283.77"/>
  </r>
  <r>
    <x v="2"/>
    <s v="AUS"/>
    <x v="2"/>
    <x v="1"/>
    <x v="19"/>
    <x v="0"/>
    <x v="2"/>
    <n v="1298.93"/>
  </r>
  <r>
    <x v="2"/>
    <s v="AUS"/>
    <x v="2"/>
    <x v="1"/>
    <x v="21"/>
    <x v="3"/>
    <x v="2"/>
    <n v="4604.1000000000004"/>
  </r>
  <r>
    <x v="2"/>
    <s v="AUS"/>
    <x v="2"/>
    <x v="1"/>
    <x v="22"/>
    <x v="1"/>
    <x v="2"/>
    <n v="1138.18"/>
  </r>
  <r>
    <x v="2"/>
    <s v="AUS"/>
    <x v="2"/>
    <x v="1"/>
    <x v="22"/>
    <x v="5"/>
    <x v="1"/>
    <n v="2291.65"/>
  </r>
  <r>
    <x v="2"/>
    <s v="AUS"/>
    <x v="2"/>
    <x v="1"/>
    <x v="23"/>
    <x v="6"/>
    <x v="2"/>
    <n v="16495.86"/>
  </r>
  <r>
    <x v="2"/>
    <s v="AUS"/>
    <x v="2"/>
    <x v="1"/>
    <x v="23"/>
    <x v="3"/>
    <x v="0"/>
    <n v="89068.95"/>
  </r>
  <r>
    <x v="2"/>
    <s v="AUS"/>
    <x v="2"/>
    <x v="1"/>
    <x v="24"/>
    <x v="0"/>
    <x v="1"/>
    <n v="2653.43"/>
  </r>
  <r>
    <x v="2"/>
    <s v="AUS"/>
    <x v="2"/>
    <x v="1"/>
    <x v="24"/>
    <x v="3"/>
    <x v="1"/>
    <n v="4930.76"/>
  </r>
  <r>
    <x v="2"/>
    <s v="AUS"/>
    <x v="2"/>
    <x v="1"/>
    <x v="24"/>
    <x v="5"/>
    <x v="0"/>
    <n v="113496.59"/>
  </r>
  <r>
    <x v="2"/>
    <s v="AUS"/>
    <x v="2"/>
    <x v="1"/>
    <x v="25"/>
    <x v="1"/>
    <x v="3"/>
    <n v="0"/>
  </r>
  <r>
    <x v="2"/>
    <s v="AUS"/>
    <x v="2"/>
    <x v="1"/>
    <x v="25"/>
    <x v="2"/>
    <x v="2"/>
    <n v="466.13"/>
  </r>
  <r>
    <x v="2"/>
    <s v="AUS"/>
    <x v="2"/>
    <x v="1"/>
    <x v="26"/>
    <x v="0"/>
    <x v="2"/>
    <n v="1056.56"/>
  </r>
  <r>
    <x v="2"/>
    <s v="AUS"/>
    <x v="2"/>
    <x v="1"/>
    <x v="26"/>
    <x v="3"/>
    <x v="0"/>
    <n v="68027.58"/>
  </r>
  <r>
    <x v="2"/>
    <s v="AUS"/>
    <x v="2"/>
    <x v="1"/>
    <x v="26"/>
    <x v="3"/>
    <x v="2"/>
    <n v="4325.7299999999996"/>
  </r>
  <r>
    <x v="2"/>
    <s v="AUS"/>
    <x v="2"/>
    <x v="1"/>
    <x v="26"/>
    <x v="4"/>
    <x v="1"/>
    <n v="-40.479999999999997"/>
  </r>
  <r>
    <x v="2"/>
    <s v="AUS"/>
    <x v="2"/>
    <x v="1"/>
    <x v="26"/>
    <x v="5"/>
    <x v="0"/>
    <n v="89468.800000000003"/>
  </r>
  <r>
    <x v="2"/>
    <s v="AUS"/>
    <x v="2"/>
    <x v="1"/>
    <x v="26"/>
    <x v="2"/>
    <x v="0"/>
    <n v="1075.3499999999999"/>
  </r>
  <r>
    <x v="2"/>
    <s v="AUS"/>
    <x v="2"/>
    <x v="1"/>
    <x v="26"/>
    <x v="2"/>
    <x v="3"/>
    <n v="0"/>
  </r>
  <r>
    <x v="2"/>
    <s v="AUS"/>
    <x v="2"/>
    <x v="1"/>
    <x v="26"/>
    <x v="2"/>
    <x v="2"/>
    <n v="388.94"/>
  </r>
  <r>
    <x v="2"/>
    <s v="AUS"/>
    <x v="2"/>
    <x v="1"/>
    <x v="34"/>
    <x v="6"/>
    <x v="1"/>
    <n v="45902.71"/>
  </r>
  <r>
    <x v="2"/>
    <s v="AUS"/>
    <x v="2"/>
    <x v="1"/>
    <x v="34"/>
    <x v="3"/>
    <x v="0"/>
    <n v="73064.850000000006"/>
  </r>
  <r>
    <x v="2"/>
    <s v="AUS"/>
    <x v="2"/>
    <x v="1"/>
    <x v="34"/>
    <x v="4"/>
    <x v="1"/>
    <n v="-40.68"/>
  </r>
  <r>
    <x v="2"/>
    <s v="AUS"/>
    <x v="2"/>
    <x v="1"/>
    <x v="34"/>
    <x v="5"/>
    <x v="0"/>
    <n v="95721.43"/>
  </r>
  <r>
    <x v="2"/>
    <s v="AUS"/>
    <x v="2"/>
    <x v="1"/>
    <x v="27"/>
    <x v="3"/>
    <x v="2"/>
    <n v="4089.27"/>
  </r>
  <r>
    <x v="2"/>
    <s v="AUS"/>
    <x v="2"/>
    <x v="1"/>
    <x v="27"/>
    <x v="5"/>
    <x v="0"/>
    <n v="97673.19"/>
  </r>
  <r>
    <x v="2"/>
    <s v="AUS"/>
    <x v="2"/>
    <x v="1"/>
    <x v="27"/>
    <x v="5"/>
    <x v="2"/>
    <n v="900.33"/>
  </r>
  <r>
    <x v="2"/>
    <s v="AUS"/>
    <x v="2"/>
    <x v="1"/>
    <x v="28"/>
    <x v="6"/>
    <x v="2"/>
    <n v="12986.44"/>
  </r>
  <r>
    <x v="2"/>
    <s v="AUS"/>
    <x v="2"/>
    <x v="1"/>
    <x v="28"/>
    <x v="3"/>
    <x v="3"/>
    <n v="4512.3500000000004"/>
  </r>
  <r>
    <x v="2"/>
    <s v="AUS"/>
    <x v="2"/>
    <x v="1"/>
    <x v="28"/>
    <x v="5"/>
    <x v="0"/>
    <n v="90361.67"/>
  </r>
  <r>
    <x v="2"/>
    <s v="AUS"/>
    <x v="2"/>
    <x v="1"/>
    <x v="28"/>
    <x v="5"/>
    <x v="2"/>
    <n v="1032.6199999999999"/>
  </r>
  <r>
    <x v="2"/>
    <s v="AUS"/>
    <x v="2"/>
    <x v="1"/>
    <x v="28"/>
    <x v="2"/>
    <x v="0"/>
    <n v="1199.05"/>
  </r>
  <r>
    <x v="2"/>
    <s v="AUS"/>
    <x v="2"/>
    <x v="1"/>
    <x v="29"/>
    <x v="6"/>
    <x v="0"/>
    <n v="6493.23"/>
  </r>
  <r>
    <x v="2"/>
    <s v="AUS"/>
    <x v="2"/>
    <x v="1"/>
    <x v="30"/>
    <x v="6"/>
    <x v="1"/>
    <n v="47126.28"/>
  </r>
  <r>
    <x v="2"/>
    <s v="AUS"/>
    <x v="2"/>
    <x v="1"/>
    <x v="30"/>
    <x v="6"/>
    <x v="0"/>
    <n v="6814.32"/>
  </r>
  <r>
    <x v="2"/>
    <s v="AUS"/>
    <x v="2"/>
    <x v="1"/>
    <x v="30"/>
    <x v="6"/>
    <x v="2"/>
    <n v="13250.95"/>
  </r>
  <r>
    <x v="2"/>
    <s v="AUS"/>
    <x v="2"/>
    <x v="1"/>
    <x v="30"/>
    <x v="0"/>
    <x v="2"/>
    <n v="925.5"/>
  </r>
  <r>
    <x v="2"/>
    <s v="AUS"/>
    <x v="2"/>
    <x v="1"/>
    <x v="30"/>
    <x v="4"/>
    <x v="1"/>
    <n v="-45.04"/>
  </r>
  <r>
    <x v="2"/>
    <s v="AUS"/>
    <x v="2"/>
    <x v="1"/>
    <x v="30"/>
    <x v="5"/>
    <x v="0"/>
    <n v="96326.35"/>
  </r>
  <r>
    <x v="2"/>
    <s v="AUS"/>
    <x v="2"/>
    <x v="1"/>
    <x v="30"/>
    <x v="2"/>
    <x v="3"/>
    <n v="0"/>
  </r>
  <r>
    <x v="2"/>
    <s v="AUS"/>
    <x v="2"/>
    <x v="1"/>
    <x v="30"/>
    <x v="2"/>
    <x v="2"/>
    <n v="388.09"/>
  </r>
  <r>
    <x v="2"/>
    <s v="AUS"/>
    <x v="2"/>
    <x v="1"/>
    <x v="31"/>
    <x v="0"/>
    <x v="1"/>
    <n v="2210.62"/>
  </r>
  <r>
    <x v="2"/>
    <s v="AUS"/>
    <x v="2"/>
    <x v="1"/>
    <x v="31"/>
    <x v="5"/>
    <x v="2"/>
    <n v="886.55"/>
  </r>
  <r>
    <x v="2"/>
    <s v="AUS"/>
    <x v="2"/>
    <x v="1"/>
    <x v="31"/>
    <x v="2"/>
    <x v="0"/>
    <n v="1030.96"/>
  </r>
  <r>
    <x v="2"/>
    <s v="AUS"/>
    <x v="2"/>
    <x v="1"/>
    <x v="32"/>
    <x v="0"/>
    <x v="1"/>
    <n v="2469.75"/>
  </r>
  <r>
    <x v="2"/>
    <s v="AUS"/>
    <x v="2"/>
    <x v="1"/>
    <x v="32"/>
    <x v="0"/>
    <x v="0"/>
    <n v="27116.98"/>
  </r>
  <r>
    <x v="2"/>
    <s v="AUS"/>
    <x v="2"/>
    <x v="1"/>
    <x v="32"/>
    <x v="3"/>
    <x v="1"/>
    <n v="4141.22"/>
  </r>
  <r>
    <x v="3"/>
    <s v="BGD"/>
    <x v="3"/>
    <x v="2"/>
    <x v="0"/>
    <x v="0"/>
    <x v="1"/>
    <n v="898.04"/>
  </r>
  <r>
    <x v="3"/>
    <s v="BGD"/>
    <x v="3"/>
    <x v="2"/>
    <x v="0"/>
    <x v="0"/>
    <x v="2"/>
    <n v="392.68"/>
  </r>
  <r>
    <x v="3"/>
    <s v="BGD"/>
    <x v="3"/>
    <x v="2"/>
    <x v="0"/>
    <x v="4"/>
    <x v="2"/>
    <n v="15.79"/>
  </r>
  <r>
    <x v="3"/>
    <s v="BGD"/>
    <x v="3"/>
    <x v="2"/>
    <x v="0"/>
    <x v="1"/>
    <x v="1"/>
    <n v="169.31"/>
  </r>
  <r>
    <x v="3"/>
    <s v="BGD"/>
    <x v="3"/>
    <x v="2"/>
    <x v="1"/>
    <x v="1"/>
    <x v="0"/>
    <n v="5222.2299999999996"/>
  </r>
  <r>
    <x v="3"/>
    <s v="BGD"/>
    <x v="3"/>
    <x v="2"/>
    <x v="2"/>
    <x v="6"/>
    <x v="0"/>
    <n v="1217.1500000000001"/>
  </r>
  <r>
    <x v="3"/>
    <s v="BGD"/>
    <x v="3"/>
    <x v="2"/>
    <x v="2"/>
    <x v="0"/>
    <x v="2"/>
    <n v="377.96"/>
  </r>
  <r>
    <x v="3"/>
    <s v="BGD"/>
    <x v="3"/>
    <x v="2"/>
    <x v="2"/>
    <x v="3"/>
    <x v="3"/>
    <n v="1859.47"/>
  </r>
  <r>
    <x v="3"/>
    <s v="BGD"/>
    <x v="3"/>
    <x v="2"/>
    <x v="2"/>
    <x v="3"/>
    <x v="2"/>
    <n v="1818.75"/>
  </r>
  <r>
    <x v="3"/>
    <s v="BGD"/>
    <x v="3"/>
    <x v="2"/>
    <x v="2"/>
    <x v="1"/>
    <x v="1"/>
    <n v="196.23"/>
  </r>
  <r>
    <x v="3"/>
    <s v="BGD"/>
    <x v="3"/>
    <x v="2"/>
    <x v="3"/>
    <x v="3"/>
    <x v="2"/>
    <n v="1971.47"/>
  </r>
  <r>
    <x v="3"/>
    <s v="BGD"/>
    <x v="3"/>
    <x v="2"/>
    <x v="3"/>
    <x v="5"/>
    <x v="3"/>
    <n v="0"/>
  </r>
  <r>
    <x v="3"/>
    <s v="BGD"/>
    <x v="3"/>
    <x v="2"/>
    <x v="3"/>
    <x v="5"/>
    <x v="2"/>
    <n v="411.29"/>
  </r>
  <r>
    <x v="3"/>
    <s v="BGD"/>
    <x v="3"/>
    <x v="2"/>
    <x v="4"/>
    <x v="4"/>
    <x v="2"/>
    <n v="17.59"/>
  </r>
  <r>
    <x v="3"/>
    <s v="BGD"/>
    <x v="3"/>
    <x v="2"/>
    <x v="4"/>
    <x v="2"/>
    <x v="3"/>
    <n v="0"/>
  </r>
  <r>
    <x v="3"/>
    <s v="BGD"/>
    <x v="3"/>
    <x v="2"/>
    <x v="5"/>
    <x v="6"/>
    <x v="1"/>
    <n v="10936.6"/>
  </r>
  <r>
    <x v="3"/>
    <s v="BGD"/>
    <x v="3"/>
    <x v="2"/>
    <x v="5"/>
    <x v="3"/>
    <x v="0"/>
    <n v="37851.9"/>
  </r>
  <r>
    <x v="3"/>
    <s v="BGD"/>
    <x v="3"/>
    <x v="2"/>
    <x v="5"/>
    <x v="1"/>
    <x v="3"/>
    <n v="0"/>
  </r>
  <r>
    <x v="3"/>
    <s v="BGD"/>
    <x v="3"/>
    <x v="2"/>
    <x v="6"/>
    <x v="4"/>
    <x v="0"/>
    <n v="1929.58"/>
  </r>
  <r>
    <x v="3"/>
    <s v="BGD"/>
    <x v="3"/>
    <x v="2"/>
    <x v="6"/>
    <x v="1"/>
    <x v="3"/>
    <n v="0"/>
  </r>
  <r>
    <x v="3"/>
    <s v="BGD"/>
    <x v="3"/>
    <x v="2"/>
    <x v="6"/>
    <x v="2"/>
    <x v="3"/>
    <n v="0"/>
  </r>
  <r>
    <x v="3"/>
    <s v="BGD"/>
    <x v="3"/>
    <x v="2"/>
    <x v="7"/>
    <x v="0"/>
    <x v="1"/>
    <n v="1072.8599999999999"/>
  </r>
  <r>
    <x v="3"/>
    <s v="BGD"/>
    <x v="3"/>
    <x v="2"/>
    <x v="7"/>
    <x v="4"/>
    <x v="1"/>
    <n v="20.010000000000002"/>
  </r>
  <r>
    <x v="3"/>
    <s v="BGD"/>
    <x v="3"/>
    <x v="2"/>
    <x v="8"/>
    <x v="4"/>
    <x v="3"/>
    <n v="0"/>
  </r>
  <r>
    <x v="3"/>
    <s v="BGD"/>
    <x v="3"/>
    <x v="2"/>
    <x v="8"/>
    <x v="1"/>
    <x v="1"/>
    <n v="224.31"/>
  </r>
  <r>
    <x v="3"/>
    <s v="BGD"/>
    <x v="3"/>
    <x v="2"/>
    <x v="8"/>
    <x v="1"/>
    <x v="2"/>
    <n v="144.54"/>
  </r>
  <r>
    <x v="3"/>
    <s v="BGD"/>
    <x v="3"/>
    <x v="2"/>
    <x v="9"/>
    <x v="6"/>
    <x v="0"/>
    <n v="1515.26"/>
  </r>
  <r>
    <x v="3"/>
    <s v="BGD"/>
    <x v="3"/>
    <x v="2"/>
    <x v="9"/>
    <x v="3"/>
    <x v="0"/>
    <n v="37864.959999999999"/>
  </r>
  <r>
    <x v="3"/>
    <s v="BGD"/>
    <x v="3"/>
    <x v="2"/>
    <x v="9"/>
    <x v="1"/>
    <x v="3"/>
    <n v="0"/>
  </r>
  <r>
    <x v="3"/>
    <s v="BGD"/>
    <x v="3"/>
    <x v="2"/>
    <x v="9"/>
    <x v="5"/>
    <x v="0"/>
    <n v="47305.91"/>
  </r>
  <r>
    <x v="3"/>
    <s v="BGD"/>
    <x v="3"/>
    <x v="2"/>
    <x v="10"/>
    <x v="0"/>
    <x v="2"/>
    <n v="455.89"/>
  </r>
  <r>
    <x v="3"/>
    <s v="BGD"/>
    <x v="3"/>
    <x v="2"/>
    <x v="10"/>
    <x v="5"/>
    <x v="3"/>
    <n v="0"/>
  </r>
  <r>
    <x v="3"/>
    <s v="BGD"/>
    <x v="3"/>
    <x v="2"/>
    <x v="11"/>
    <x v="6"/>
    <x v="3"/>
    <n v="0"/>
  </r>
  <r>
    <x v="3"/>
    <s v="BGD"/>
    <x v="3"/>
    <x v="2"/>
    <x v="11"/>
    <x v="0"/>
    <x v="3"/>
    <n v="0"/>
  </r>
  <r>
    <x v="3"/>
    <s v="BGD"/>
    <x v="3"/>
    <x v="2"/>
    <x v="11"/>
    <x v="4"/>
    <x v="0"/>
    <n v="2194.9899999999998"/>
  </r>
  <r>
    <x v="3"/>
    <s v="BGD"/>
    <x v="3"/>
    <x v="2"/>
    <x v="12"/>
    <x v="0"/>
    <x v="0"/>
    <n v="18874.009999999998"/>
  </r>
  <r>
    <x v="3"/>
    <s v="BGD"/>
    <x v="3"/>
    <x v="2"/>
    <x v="12"/>
    <x v="3"/>
    <x v="3"/>
    <n v="2726"/>
  </r>
  <r>
    <x v="3"/>
    <s v="BGD"/>
    <x v="3"/>
    <x v="2"/>
    <x v="12"/>
    <x v="1"/>
    <x v="2"/>
    <n v="180.1"/>
  </r>
  <r>
    <x v="3"/>
    <s v="BGD"/>
    <x v="3"/>
    <x v="2"/>
    <x v="12"/>
    <x v="5"/>
    <x v="0"/>
    <n v="56582.19"/>
  </r>
  <r>
    <x v="3"/>
    <s v="BGD"/>
    <x v="3"/>
    <x v="2"/>
    <x v="13"/>
    <x v="0"/>
    <x v="1"/>
    <n v="1200.8499999999999"/>
  </r>
  <r>
    <x v="3"/>
    <s v="BGD"/>
    <x v="3"/>
    <x v="2"/>
    <x v="13"/>
    <x v="0"/>
    <x v="0"/>
    <n v="17368.64"/>
  </r>
  <r>
    <x v="3"/>
    <s v="BGD"/>
    <x v="3"/>
    <x v="2"/>
    <x v="13"/>
    <x v="0"/>
    <x v="2"/>
    <n v="569.13"/>
  </r>
  <r>
    <x v="3"/>
    <s v="BGD"/>
    <x v="3"/>
    <x v="2"/>
    <x v="13"/>
    <x v="3"/>
    <x v="1"/>
    <n v="2944.36"/>
  </r>
  <r>
    <x v="3"/>
    <s v="BGD"/>
    <x v="3"/>
    <x v="2"/>
    <x v="13"/>
    <x v="3"/>
    <x v="0"/>
    <n v="46963.82"/>
  </r>
  <r>
    <x v="3"/>
    <s v="BGD"/>
    <x v="3"/>
    <x v="2"/>
    <x v="13"/>
    <x v="2"/>
    <x v="1"/>
    <n v="13284.5"/>
  </r>
  <r>
    <x v="3"/>
    <s v="BGD"/>
    <x v="3"/>
    <x v="2"/>
    <x v="14"/>
    <x v="0"/>
    <x v="0"/>
    <n v="17626.25"/>
  </r>
  <r>
    <x v="3"/>
    <s v="BGD"/>
    <x v="3"/>
    <x v="2"/>
    <x v="14"/>
    <x v="0"/>
    <x v="2"/>
    <n v="580.51"/>
  </r>
  <r>
    <x v="3"/>
    <s v="BGD"/>
    <x v="3"/>
    <x v="2"/>
    <x v="14"/>
    <x v="2"/>
    <x v="2"/>
    <n v="916.72"/>
  </r>
  <r>
    <x v="3"/>
    <s v="BGD"/>
    <x v="3"/>
    <x v="2"/>
    <x v="15"/>
    <x v="0"/>
    <x v="3"/>
    <n v="0"/>
  </r>
  <r>
    <x v="3"/>
    <s v="BGD"/>
    <x v="3"/>
    <x v="2"/>
    <x v="15"/>
    <x v="3"/>
    <x v="2"/>
    <n v="2530.73"/>
  </r>
  <r>
    <x v="3"/>
    <s v="BGD"/>
    <x v="3"/>
    <x v="2"/>
    <x v="15"/>
    <x v="4"/>
    <x v="1"/>
    <n v="26.72"/>
  </r>
  <r>
    <x v="3"/>
    <s v="BGD"/>
    <x v="3"/>
    <x v="2"/>
    <x v="15"/>
    <x v="1"/>
    <x v="1"/>
    <n v="256.60000000000002"/>
  </r>
  <r>
    <x v="3"/>
    <s v="BGD"/>
    <x v="3"/>
    <x v="2"/>
    <x v="16"/>
    <x v="3"/>
    <x v="0"/>
    <n v="46245.77"/>
  </r>
  <r>
    <x v="3"/>
    <s v="BGD"/>
    <x v="3"/>
    <x v="2"/>
    <x v="16"/>
    <x v="4"/>
    <x v="1"/>
    <n v="23.95"/>
  </r>
  <r>
    <x v="3"/>
    <s v="BGD"/>
    <x v="3"/>
    <x v="2"/>
    <x v="16"/>
    <x v="2"/>
    <x v="3"/>
    <n v="0"/>
  </r>
  <r>
    <x v="3"/>
    <s v="BGD"/>
    <x v="3"/>
    <x v="2"/>
    <x v="17"/>
    <x v="1"/>
    <x v="0"/>
    <n v="8287.1299999999992"/>
  </r>
  <r>
    <x v="3"/>
    <s v="BGD"/>
    <x v="3"/>
    <x v="2"/>
    <x v="17"/>
    <x v="5"/>
    <x v="3"/>
    <n v="0"/>
  </r>
  <r>
    <x v="3"/>
    <s v="BGD"/>
    <x v="3"/>
    <x v="2"/>
    <x v="17"/>
    <x v="2"/>
    <x v="1"/>
    <n v="12846.94"/>
  </r>
  <r>
    <x v="3"/>
    <s v="BGD"/>
    <x v="3"/>
    <x v="2"/>
    <x v="18"/>
    <x v="4"/>
    <x v="0"/>
    <n v="2539.06"/>
  </r>
  <r>
    <x v="3"/>
    <s v="BGD"/>
    <x v="3"/>
    <x v="2"/>
    <x v="18"/>
    <x v="2"/>
    <x v="1"/>
    <n v="14744.38"/>
  </r>
  <r>
    <x v="3"/>
    <s v="BGD"/>
    <x v="3"/>
    <x v="2"/>
    <x v="19"/>
    <x v="3"/>
    <x v="2"/>
    <n v="3076.11"/>
  </r>
  <r>
    <x v="3"/>
    <s v="BGD"/>
    <x v="3"/>
    <x v="2"/>
    <x v="19"/>
    <x v="5"/>
    <x v="1"/>
    <n v="1283.82"/>
  </r>
  <r>
    <x v="3"/>
    <s v="BGD"/>
    <x v="3"/>
    <x v="2"/>
    <x v="19"/>
    <x v="2"/>
    <x v="3"/>
    <n v="0"/>
  </r>
  <r>
    <x v="3"/>
    <s v="BGD"/>
    <x v="3"/>
    <x v="2"/>
    <x v="20"/>
    <x v="1"/>
    <x v="0"/>
    <n v="10724.27"/>
  </r>
  <r>
    <x v="3"/>
    <s v="BGD"/>
    <x v="3"/>
    <x v="2"/>
    <x v="20"/>
    <x v="5"/>
    <x v="2"/>
    <n v="614.76"/>
  </r>
  <r>
    <x v="3"/>
    <s v="BGD"/>
    <x v="3"/>
    <x v="2"/>
    <x v="20"/>
    <x v="2"/>
    <x v="3"/>
    <n v="0"/>
  </r>
  <r>
    <x v="3"/>
    <s v="BGD"/>
    <x v="3"/>
    <x v="2"/>
    <x v="21"/>
    <x v="4"/>
    <x v="2"/>
    <n v="31.83"/>
  </r>
  <r>
    <x v="3"/>
    <s v="BGD"/>
    <x v="3"/>
    <x v="2"/>
    <x v="21"/>
    <x v="1"/>
    <x v="2"/>
    <n v="231.86"/>
  </r>
  <r>
    <x v="3"/>
    <s v="BGD"/>
    <x v="3"/>
    <x v="2"/>
    <x v="21"/>
    <x v="2"/>
    <x v="3"/>
    <n v="0"/>
  </r>
  <r>
    <x v="3"/>
    <s v="BGD"/>
    <x v="3"/>
    <x v="2"/>
    <x v="21"/>
    <x v="2"/>
    <x v="2"/>
    <n v="1122.69"/>
  </r>
  <r>
    <x v="3"/>
    <s v="BGD"/>
    <x v="3"/>
    <x v="2"/>
    <x v="22"/>
    <x v="0"/>
    <x v="3"/>
    <n v="0"/>
  </r>
  <r>
    <x v="3"/>
    <s v="BGD"/>
    <x v="3"/>
    <x v="2"/>
    <x v="22"/>
    <x v="4"/>
    <x v="2"/>
    <n v="28.02"/>
  </r>
  <r>
    <x v="3"/>
    <s v="BGD"/>
    <x v="3"/>
    <x v="2"/>
    <x v="22"/>
    <x v="1"/>
    <x v="0"/>
    <n v="9831.2999999999993"/>
  </r>
  <r>
    <x v="3"/>
    <s v="BGD"/>
    <x v="3"/>
    <x v="2"/>
    <x v="22"/>
    <x v="5"/>
    <x v="0"/>
    <n v="56981.05"/>
  </r>
  <r>
    <x v="3"/>
    <s v="BGD"/>
    <x v="3"/>
    <x v="2"/>
    <x v="22"/>
    <x v="2"/>
    <x v="1"/>
    <n v="16203.13"/>
  </r>
  <r>
    <x v="3"/>
    <s v="BGD"/>
    <x v="3"/>
    <x v="2"/>
    <x v="22"/>
    <x v="2"/>
    <x v="2"/>
    <n v="901.76"/>
  </r>
  <r>
    <x v="3"/>
    <s v="BGD"/>
    <x v="3"/>
    <x v="2"/>
    <x v="23"/>
    <x v="1"/>
    <x v="1"/>
    <n v="332.44"/>
  </r>
  <r>
    <x v="3"/>
    <s v="BGD"/>
    <x v="3"/>
    <x v="2"/>
    <x v="23"/>
    <x v="1"/>
    <x v="0"/>
    <n v="9919.56"/>
  </r>
  <r>
    <x v="3"/>
    <s v="BGD"/>
    <x v="3"/>
    <x v="2"/>
    <x v="24"/>
    <x v="6"/>
    <x v="0"/>
    <n v="2190.75"/>
  </r>
  <r>
    <x v="3"/>
    <s v="BGD"/>
    <x v="3"/>
    <x v="2"/>
    <x v="24"/>
    <x v="3"/>
    <x v="0"/>
    <n v="55245.22"/>
  </r>
  <r>
    <x v="3"/>
    <s v="BGD"/>
    <x v="3"/>
    <x v="2"/>
    <x v="24"/>
    <x v="4"/>
    <x v="2"/>
    <n v="31.02"/>
  </r>
  <r>
    <x v="3"/>
    <s v="BGD"/>
    <x v="3"/>
    <x v="2"/>
    <x v="24"/>
    <x v="1"/>
    <x v="2"/>
    <n v="223.07"/>
  </r>
  <r>
    <x v="3"/>
    <s v="BGD"/>
    <x v="3"/>
    <x v="2"/>
    <x v="25"/>
    <x v="0"/>
    <x v="3"/>
    <n v="0"/>
  </r>
  <r>
    <x v="3"/>
    <s v="BGD"/>
    <x v="3"/>
    <x v="2"/>
    <x v="25"/>
    <x v="3"/>
    <x v="2"/>
    <n v="3235.35"/>
  </r>
  <r>
    <x v="3"/>
    <s v="BGD"/>
    <x v="3"/>
    <x v="2"/>
    <x v="25"/>
    <x v="1"/>
    <x v="0"/>
    <n v="11430.03"/>
  </r>
  <r>
    <x v="3"/>
    <s v="BGD"/>
    <x v="3"/>
    <x v="2"/>
    <x v="25"/>
    <x v="5"/>
    <x v="0"/>
    <n v="64781.04"/>
  </r>
  <r>
    <x v="3"/>
    <s v="BGD"/>
    <x v="3"/>
    <x v="2"/>
    <x v="26"/>
    <x v="6"/>
    <x v="3"/>
    <n v="0"/>
  </r>
  <r>
    <x v="3"/>
    <s v="BGD"/>
    <x v="3"/>
    <x v="2"/>
    <x v="26"/>
    <x v="2"/>
    <x v="1"/>
    <n v="16986.37"/>
  </r>
  <r>
    <x v="3"/>
    <s v="BGD"/>
    <x v="3"/>
    <x v="2"/>
    <x v="26"/>
    <x v="2"/>
    <x v="3"/>
    <n v="0"/>
  </r>
  <r>
    <x v="3"/>
    <s v="BGD"/>
    <x v="3"/>
    <x v="2"/>
    <x v="34"/>
    <x v="6"/>
    <x v="0"/>
    <n v="2201.71"/>
  </r>
  <r>
    <x v="3"/>
    <s v="BGD"/>
    <x v="3"/>
    <x v="2"/>
    <x v="34"/>
    <x v="6"/>
    <x v="3"/>
    <n v="0"/>
  </r>
  <r>
    <x v="3"/>
    <s v="BGD"/>
    <x v="3"/>
    <x v="2"/>
    <x v="34"/>
    <x v="0"/>
    <x v="2"/>
    <n v="660.79"/>
  </r>
  <r>
    <x v="3"/>
    <s v="BGD"/>
    <x v="3"/>
    <x v="2"/>
    <x v="34"/>
    <x v="3"/>
    <x v="2"/>
    <n v="3247.5"/>
  </r>
  <r>
    <x v="3"/>
    <s v="BGD"/>
    <x v="3"/>
    <x v="2"/>
    <x v="34"/>
    <x v="1"/>
    <x v="1"/>
    <n v="312.52999999999997"/>
  </r>
  <r>
    <x v="3"/>
    <s v="BGD"/>
    <x v="3"/>
    <x v="2"/>
    <x v="27"/>
    <x v="6"/>
    <x v="3"/>
    <n v="0"/>
  </r>
  <r>
    <x v="3"/>
    <s v="BGD"/>
    <x v="3"/>
    <x v="2"/>
    <x v="27"/>
    <x v="0"/>
    <x v="1"/>
    <n v="1638.98"/>
  </r>
  <r>
    <x v="3"/>
    <s v="BGD"/>
    <x v="3"/>
    <x v="2"/>
    <x v="27"/>
    <x v="3"/>
    <x v="0"/>
    <n v="55350.71"/>
  </r>
  <r>
    <x v="3"/>
    <s v="BGD"/>
    <x v="3"/>
    <x v="2"/>
    <x v="27"/>
    <x v="5"/>
    <x v="1"/>
    <n v="1335.94"/>
  </r>
  <r>
    <x v="3"/>
    <s v="BGD"/>
    <x v="3"/>
    <x v="2"/>
    <x v="27"/>
    <x v="5"/>
    <x v="3"/>
    <n v="0"/>
  </r>
  <r>
    <x v="3"/>
    <s v="BGD"/>
    <x v="3"/>
    <x v="2"/>
    <x v="28"/>
    <x v="4"/>
    <x v="0"/>
    <n v="3297.26"/>
  </r>
  <r>
    <x v="3"/>
    <s v="BGD"/>
    <x v="3"/>
    <x v="2"/>
    <x v="28"/>
    <x v="4"/>
    <x v="2"/>
    <n v="32.450000000000003"/>
  </r>
  <r>
    <x v="3"/>
    <s v="BGD"/>
    <x v="3"/>
    <x v="2"/>
    <x v="28"/>
    <x v="1"/>
    <x v="1"/>
    <n v="337.25"/>
  </r>
  <r>
    <x v="3"/>
    <s v="BGD"/>
    <x v="3"/>
    <x v="2"/>
    <x v="29"/>
    <x v="6"/>
    <x v="1"/>
    <n v="13712.69"/>
  </r>
  <r>
    <x v="3"/>
    <s v="BGD"/>
    <x v="3"/>
    <x v="2"/>
    <x v="29"/>
    <x v="6"/>
    <x v="2"/>
    <n v="4381.3"/>
  </r>
  <r>
    <x v="3"/>
    <s v="BGD"/>
    <x v="3"/>
    <x v="2"/>
    <x v="29"/>
    <x v="3"/>
    <x v="0"/>
    <n v="55067.34"/>
  </r>
  <r>
    <x v="3"/>
    <s v="BGD"/>
    <x v="3"/>
    <x v="2"/>
    <x v="29"/>
    <x v="4"/>
    <x v="0"/>
    <n v="2813.31"/>
  </r>
  <r>
    <x v="3"/>
    <s v="BGD"/>
    <x v="3"/>
    <x v="2"/>
    <x v="29"/>
    <x v="2"/>
    <x v="0"/>
    <n v="3233.16"/>
  </r>
  <r>
    <x v="3"/>
    <s v="BGD"/>
    <x v="3"/>
    <x v="2"/>
    <x v="30"/>
    <x v="0"/>
    <x v="3"/>
    <n v="0"/>
  </r>
  <r>
    <x v="3"/>
    <s v="BGD"/>
    <x v="3"/>
    <x v="2"/>
    <x v="30"/>
    <x v="4"/>
    <x v="2"/>
    <n v="32.94"/>
  </r>
  <r>
    <x v="3"/>
    <s v="BGD"/>
    <x v="3"/>
    <x v="2"/>
    <x v="31"/>
    <x v="1"/>
    <x v="2"/>
    <n v="258.51"/>
  </r>
  <r>
    <x v="3"/>
    <s v="BGD"/>
    <x v="3"/>
    <x v="2"/>
    <x v="31"/>
    <x v="5"/>
    <x v="1"/>
    <n v="1510.55"/>
  </r>
  <r>
    <x v="3"/>
    <s v="BGD"/>
    <x v="3"/>
    <x v="2"/>
    <x v="32"/>
    <x v="2"/>
    <x v="0"/>
    <n v="3611.24"/>
  </r>
  <r>
    <x v="4"/>
    <s v="BRA"/>
    <x v="1"/>
    <x v="0"/>
    <x v="0"/>
    <x v="3"/>
    <x v="2"/>
    <n v="11871.98"/>
  </r>
  <r>
    <x v="4"/>
    <s v="BRA"/>
    <x v="1"/>
    <x v="0"/>
    <x v="0"/>
    <x v="5"/>
    <x v="1"/>
    <n v="1444.51"/>
  </r>
  <r>
    <x v="4"/>
    <s v="BRA"/>
    <x v="1"/>
    <x v="0"/>
    <x v="0"/>
    <x v="2"/>
    <x v="1"/>
    <n v="58742.1"/>
  </r>
  <r>
    <x v="4"/>
    <s v="BRA"/>
    <x v="1"/>
    <x v="0"/>
    <x v="1"/>
    <x v="0"/>
    <x v="2"/>
    <n v="2175.44"/>
  </r>
  <r>
    <x v="4"/>
    <s v="BRA"/>
    <x v="1"/>
    <x v="0"/>
    <x v="1"/>
    <x v="4"/>
    <x v="0"/>
    <n v="-63459.02"/>
  </r>
  <r>
    <x v="4"/>
    <s v="BRA"/>
    <x v="1"/>
    <x v="0"/>
    <x v="1"/>
    <x v="2"/>
    <x v="3"/>
    <n v="0"/>
  </r>
  <r>
    <x v="4"/>
    <s v="BRA"/>
    <x v="1"/>
    <x v="0"/>
    <x v="1"/>
    <x v="2"/>
    <x v="2"/>
    <n v="3648.63"/>
  </r>
  <r>
    <x v="4"/>
    <s v="BRA"/>
    <x v="1"/>
    <x v="0"/>
    <x v="2"/>
    <x v="6"/>
    <x v="2"/>
    <n v="6316.76"/>
  </r>
  <r>
    <x v="4"/>
    <s v="BRA"/>
    <x v="1"/>
    <x v="0"/>
    <x v="2"/>
    <x v="2"/>
    <x v="1"/>
    <n v="57596.76"/>
  </r>
  <r>
    <x v="4"/>
    <s v="BRA"/>
    <x v="1"/>
    <x v="0"/>
    <x v="3"/>
    <x v="6"/>
    <x v="3"/>
    <n v="0"/>
  </r>
  <r>
    <x v="4"/>
    <s v="BRA"/>
    <x v="1"/>
    <x v="0"/>
    <x v="3"/>
    <x v="6"/>
    <x v="2"/>
    <n v="5902.22"/>
  </r>
  <r>
    <x v="4"/>
    <s v="BRA"/>
    <x v="1"/>
    <x v="0"/>
    <x v="3"/>
    <x v="3"/>
    <x v="3"/>
    <n v="9114.7999999999993"/>
  </r>
  <r>
    <x v="4"/>
    <s v="BRA"/>
    <x v="1"/>
    <x v="0"/>
    <x v="3"/>
    <x v="5"/>
    <x v="2"/>
    <n v="549.97"/>
  </r>
  <r>
    <x v="4"/>
    <s v="BRA"/>
    <x v="1"/>
    <x v="0"/>
    <x v="4"/>
    <x v="0"/>
    <x v="0"/>
    <n v="71129.64"/>
  </r>
  <r>
    <x v="4"/>
    <s v="BRA"/>
    <x v="1"/>
    <x v="0"/>
    <x v="6"/>
    <x v="6"/>
    <x v="2"/>
    <n v="6788.47"/>
  </r>
  <r>
    <x v="4"/>
    <s v="BRA"/>
    <x v="1"/>
    <x v="0"/>
    <x v="6"/>
    <x v="0"/>
    <x v="1"/>
    <n v="5109.43"/>
  </r>
  <r>
    <x v="4"/>
    <s v="BRA"/>
    <x v="1"/>
    <x v="0"/>
    <x v="6"/>
    <x v="5"/>
    <x v="0"/>
    <n v="71851.600000000006"/>
  </r>
  <r>
    <x v="4"/>
    <s v="BRA"/>
    <x v="1"/>
    <x v="0"/>
    <x v="6"/>
    <x v="2"/>
    <x v="2"/>
    <n v="4053.94"/>
  </r>
  <r>
    <x v="4"/>
    <s v="BRA"/>
    <x v="1"/>
    <x v="0"/>
    <x v="7"/>
    <x v="6"/>
    <x v="1"/>
    <n v="26281.46"/>
  </r>
  <r>
    <x v="4"/>
    <s v="BRA"/>
    <x v="1"/>
    <x v="0"/>
    <x v="7"/>
    <x v="0"/>
    <x v="2"/>
    <n v="2412.1799999999998"/>
  </r>
  <r>
    <x v="4"/>
    <s v="BRA"/>
    <x v="1"/>
    <x v="0"/>
    <x v="7"/>
    <x v="3"/>
    <x v="3"/>
    <n v="13848.99"/>
  </r>
  <r>
    <x v="4"/>
    <s v="BRA"/>
    <x v="1"/>
    <x v="0"/>
    <x v="7"/>
    <x v="4"/>
    <x v="0"/>
    <n v="-67442.36"/>
  </r>
  <r>
    <x v="4"/>
    <s v="BRA"/>
    <x v="1"/>
    <x v="0"/>
    <x v="7"/>
    <x v="1"/>
    <x v="0"/>
    <n v="11288.22"/>
  </r>
  <r>
    <x v="4"/>
    <s v="BRA"/>
    <x v="1"/>
    <x v="0"/>
    <x v="7"/>
    <x v="5"/>
    <x v="1"/>
    <n v="1562.15"/>
  </r>
  <r>
    <x v="4"/>
    <s v="BRA"/>
    <x v="1"/>
    <x v="0"/>
    <x v="7"/>
    <x v="2"/>
    <x v="3"/>
    <n v="0"/>
  </r>
  <r>
    <x v="4"/>
    <s v="BRA"/>
    <x v="1"/>
    <x v="0"/>
    <x v="8"/>
    <x v="6"/>
    <x v="1"/>
    <n v="28836.48"/>
  </r>
  <r>
    <x v="4"/>
    <s v="BRA"/>
    <x v="1"/>
    <x v="0"/>
    <x v="8"/>
    <x v="6"/>
    <x v="0"/>
    <n v="4026.31"/>
  </r>
  <r>
    <x v="4"/>
    <s v="BRA"/>
    <x v="1"/>
    <x v="0"/>
    <x v="8"/>
    <x v="2"/>
    <x v="3"/>
    <n v="0"/>
  </r>
  <r>
    <x v="4"/>
    <s v="BRA"/>
    <x v="1"/>
    <x v="0"/>
    <x v="8"/>
    <x v="2"/>
    <x v="2"/>
    <n v="4554.41"/>
  </r>
  <r>
    <x v="4"/>
    <s v="BRA"/>
    <x v="1"/>
    <x v="0"/>
    <x v="9"/>
    <x v="0"/>
    <x v="2"/>
    <n v="2661.69"/>
  </r>
  <r>
    <x v="4"/>
    <s v="BRA"/>
    <x v="1"/>
    <x v="0"/>
    <x v="9"/>
    <x v="5"/>
    <x v="3"/>
    <n v="0"/>
  </r>
  <r>
    <x v="4"/>
    <s v="BRA"/>
    <x v="1"/>
    <x v="0"/>
    <x v="9"/>
    <x v="2"/>
    <x v="1"/>
    <n v="80539.06"/>
  </r>
  <r>
    <x v="4"/>
    <s v="BRA"/>
    <x v="1"/>
    <x v="0"/>
    <x v="10"/>
    <x v="6"/>
    <x v="0"/>
    <n v="3832.98"/>
  </r>
  <r>
    <x v="4"/>
    <s v="BRA"/>
    <x v="1"/>
    <x v="0"/>
    <x v="10"/>
    <x v="0"/>
    <x v="0"/>
    <n v="69202.83"/>
  </r>
  <r>
    <x v="4"/>
    <s v="BRA"/>
    <x v="1"/>
    <x v="0"/>
    <x v="10"/>
    <x v="4"/>
    <x v="2"/>
    <n v="-725.88"/>
  </r>
  <r>
    <x v="4"/>
    <s v="BRA"/>
    <x v="1"/>
    <x v="0"/>
    <x v="10"/>
    <x v="2"/>
    <x v="3"/>
    <n v="0"/>
  </r>
  <r>
    <x v="4"/>
    <s v="BRA"/>
    <x v="1"/>
    <x v="0"/>
    <x v="11"/>
    <x v="6"/>
    <x v="1"/>
    <n v="30940.57"/>
  </r>
  <r>
    <x v="4"/>
    <s v="BRA"/>
    <x v="1"/>
    <x v="0"/>
    <x v="11"/>
    <x v="6"/>
    <x v="2"/>
    <n v="10680.49"/>
  </r>
  <r>
    <x v="4"/>
    <s v="BRA"/>
    <x v="1"/>
    <x v="0"/>
    <x v="11"/>
    <x v="5"/>
    <x v="1"/>
    <n v="1923.69"/>
  </r>
  <r>
    <x v="4"/>
    <s v="BRA"/>
    <x v="1"/>
    <x v="0"/>
    <x v="11"/>
    <x v="5"/>
    <x v="2"/>
    <n v="955.68"/>
  </r>
  <r>
    <x v="4"/>
    <s v="BRA"/>
    <x v="1"/>
    <x v="0"/>
    <x v="12"/>
    <x v="6"/>
    <x v="0"/>
    <n v="4170.88"/>
  </r>
  <r>
    <x v="4"/>
    <s v="BRA"/>
    <x v="1"/>
    <x v="0"/>
    <x v="12"/>
    <x v="6"/>
    <x v="3"/>
    <n v="0"/>
  </r>
  <r>
    <x v="4"/>
    <s v="BRA"/>
    <x v="1"/>
    <x v="0"/>
    <x v="12"/>
    <x v="0"/>
    <x v="0"/>
    <n v="86806.38"/>
  </r>
  <r>
    <x v="4"/>
    <s v="BRA"/>
    <x v="1"/>
    <x v="0"/>
    <x v="12"/>
    <x v="1"/>
    <x v="3"/>
    <n v="0"/>
  </r>
  <r>
    <x v="4"/>
    <s v="BRA"/>
    <x v="1"/>
    <x v="0"/>
    <x v="12"/>
    <x v="1"/>
    <x v="2"/>
    <n v="302.57"/>
  </r>
  <r>
    <x v="4"/>
    <s v="BRA"/>
    <x v="1"/>
    <x v="0"/>
    <x v="13"/>
    <x v="0"/>
    <x v="1"/>
    <n v="7282.28"/>
  </r>
  <r>
    <x v="4"/>
    <s v="BRA"/>
    <x v="1"/>
    <x v="0"/>
    <x v="13"/>
    <x v="0"/>
    <x v="2"/>
    <n v="2789.95"/>
  </r>
  <r>
    <x v="4"/>
    <s v="BRA"/>
    <x v="1"/>
    <x v="0"/>
    <x v="13"/>
    <x v="3"/>
    <x v="1"/>
    <n v="16151.82"/>
  </r>
  <r>
    <x v="4"/>
    <s v="BRA"/>
    <x v="1"/>
    <x v="0"/>
    <x v="13"/>
    <x v="3"/>
    <x v="2"/>
    <n v="16693.830000000002"/>
  </r>
  <r>
    <x v="4"/>
    <s v="BRA"/>
    <x v="1"/>
    <x v="0"/>
    <x v="13"/>
    <x v="4"/>
    <x v="0"/>
    <n v="-74133.42"/>
  </r>
  <r>
    <x v="4"/>
    <s v="BRA"/>
    <x v="1"/>
    <x v="0"/>
    <x v="13"/>
    <x v="2"/>
    <x v="2"/>
    <n v="5161.1400000000003"/>
  </r>
  <r>
    <x v="4"/>
    <s v="BRA"/>
    <x v="1"/>
    <x v="0"/>
    <x v="14"/>
    <x v="6"/>
    <x v="0"/>
    <n v="4221.68"/>
  </r>
  <r>
    <x v="4"/>
    <s v="BRA"/>
    <x v="1"/>
    <x v="0"/>
    <x v="14"/>
    <x v="0"/>
    <x v="1"/>
    <n v="6805.89"/>
  </r>
  <r>
    <x v="4"/>
    <s v="BRA"/>
    <x v="1"/>
    <x v="0"/>
    <x v="14"/>
    <x v="0"/>
    <x v="0"/>
    <n v="76244.789999999994"/>
  </r>
  <r>
    <x v="4"/>
    <s v="BRA"/>
    <x v="1"/>
    <x v="0"/>
    <x v="14"/>
    <x v="4"/>
    <x v="0"/>
    <n v="-75530.100000000006"/>
  </r>
  <r>
    <x v="4"/>
    <s v="BRA"/>
    <x v="1"/>
    <x v="0"/>
    <x v="14"/>
    <x v="4"/>
    <x v="3"/>
    <n v="0"/>
  </r>
  <r>
    <x v="4"/>
    <s v="BRA"/>
    <x v="1"/>
    <x v="0"/>
    <x v="14"/>
    <x v="5"/>
    <x v="0"/>
    <n v="94353.77"/>
  </r>
  <r>
    <x v="4"/>
    <s v="BRA"/>
    <x v="1"/>
    <x v="0"/>
    <x v="15"/>
    <x v="6"/>
    <x v="1"/>
    <n v="31539.63"/>
  </r>
  <r>
    <x v="4"/>
    <s v="BRA"/>
    <x v="1"/>
    <x v="0"/>
    <x v="15"/>
    <x v="0"/>
    <x v="3"/>
    <n v="0"/>
  </r>
  <r>
    <x v="4"/>
    <s v="BRA"/>
    <x v="1"/>
    <x v="0"/>
    <x v="15"/>
    <x v="5"/>
    <x v="2"/>
    <n v="876.74"/>
  </r>
  <r>
    <x v="4"/>
    <s v="BRA"/>
    <x v="1"/>
    <x v="0"/>
    <x v="16"/>
    <x v="0"/>
    <x v="1"/>
    <n v="6407.88"/>
  </r>
  <r>
    <x v="4"/>
    <s v="BRA"/>
    <x v="1"/>
    <x v="0"/>
    <x v="16"/>
    <x v="3"/>
    <x v="0"/>
    <n v="313183.37"/>
  </r>
  <r>
    <x v="4"/>
    <s v="BRA"/>
    <x v="1"/>
    <x v="0"/>
    <x v="17"/>
    <x v="1"/>
    <x v="3"/>
    <n v="0"/>
  </r>
  <r>
    <x v="4"/>
    <s v="BRA"/>
    <x v="1"/>
    <x v="0"/>
    <x v="17"/>
    <x v="2"/>
    <x v="2"/>
    <n v="6093.71"/>
  </r>
  <r>
    <x v="4"/>
    <s v="BRA"/>
    <x v="1"/>
    <x v="0"/>
    <x v="33"/>
    <x v="0"/>
    <x v="1"/>
    <n v="7996.35"/>
  </r>
  <r>
    <x v="4"/>
    <s v="BRA"/>
    <x v="1"/>
    <x v="0"/>
    <x v="33"/>
    <x v="4"/>
    <x v="0"/>
    <n v="-105225.91"/>
  </r>
  <r>
    <x v="4"/>
    <s v="BRA"/>
    <x v="1"/>
    <x v="0"/>
    <x v="33"/>
    <x v="4"/>
    <x v="3"/>
    <n v="0"/>
  </r>
  <r>
    <x v="4"/>
    <s v="BRA"/>
    <x v="1"/>
    <x v="0"/>
    <x v="33"/>
    <x v="1"/>
    <x v="1"/>
    <n v="506.65"/>
  </r>
  <r>
    <x v="4"/>
    <s v="BRA"/>
    <x v="1"/>
    <x v="0"/>
    <x v="33"/>
    <x v="1"/>
    <x v="0"/>
    <n v="16447.16"/>
  </r>
  <r>
    <x v="4"/>
    <s v="BRA"/>
    <x v="1"/>
    <x v="0"/>
    <x v="33"/>
    <x v="5"/>
    <x v="2"/>
    <n v="1116.29"/>
  </r>
  <r>
    <x v="4"/>
    <s v="BRA"/>
    <x v="1"/>
    <x v="0"/>
    <x v="18"/>
    <x v="0"/>
    <x v="1"/>
    <n v="8018.3"/>
  </r>
  <r>
    <x v="4"/>
    <s v="BRA"/>
    <x v="1"/>
    <x v="0"/>
    <x v="18"/>
    <x v="0"/>
    <x v="2"/>
    <n v="3063.55"/>
  </r>
  <r>
    <x v="4"/>
    <s v="BRA"/>
    <x v="1"/>
    <x v="0"/>
    <x v="18"/>
    <x v="5"/>
    <x v="3"/>
    <n v="0"/>
  </r>
  <r>
    <x v="4"/>
    <s v="BRA"/>
    <x v="1"/>
    <x v="0"/>
    <x v="18"/>
    <x v="2"/>
    <x v="1"/>
    <n v="86844.63"/>
  </r>
  <r>
    <x v="4"/>
    <s v="BRA"/>
    <x v="1"/>
    <x v="0"/>
    <x v="19"/>
    <x v="3"/>
    <x v="3"/>
    <n v="19140.439999999999"/>
  </r>
  <r>
    <x v="4"/>
    <s v="BRA"/>
    <x v="1"/>
    <x v="0"/>
    <x v="19"/>
    <x v="1"/>
    <x v="1"/>
    <n v="488.24"/>
  </r>
  <r>
    <x v="4"/>
    <s v="BRA"/>
    <x v="1"/>
    <x v="0"/>
    <x v="19"/>
    <x v="1"/>
    <x v="2"/>
    <n v="332.96"/>
  </r>
  <r>
    <x v="4"/>
    <s v="BRA"/>
    <x v="1"/>
    <x v="0"/>
    <x v="20"/>
    <x v="6"/>
    <x v="1"/>
    <n v="34315.54"/>
  </r>
  <r>
    <x v="4"/>
    <s v="BRA"/>
    <x v="1"/>
    <x v="0"/>
    <x v="20"/>
    <x v="6"/>
    <x v="2"/>
    <n v="10375.64"/>
  </r>
  <r>
    <x v="4"/>
    <s v="BRA"/>
    <x v="1"/>
    <x v="0"/>
    <x v="20"/>
    <x v="1"/>
    <x v="0"/>
    <n v="13773.94"/>
  </r>
  <r>
    <x v="4"/>
    <s v="BRA"/>
    <x v="1"/>
    <x v="0"/>
    <x v="20"/>
    <x v="5"/>
    <x v="1"/>
    <n v="1921.32"/>
  </r>
  <r>
    <x v="4"/>
    <s v="BRA"/>
    <x v="1"/>
    <x v="0"/>
    <x v="21"/>
    <x v="6"/>
    <x v="2"/>
    <n v="11294.86"/>
  </r>
  <r>
    <x v="4"/>
    <s v="BRA"/>
    <x v="1"/>
    <x v="0"/>
    <x v="21"/>
    <x v="3"/>
    <x v="3"/>
    <n v="21274.14"/>
  </r>
  <r>
    <x v="4"/>
    <s v="BRA"/>
    <x v="1"/>
    <x v="0"/>
    <x v="21"/>
    <x v="4"/>
    <x v="2"/>
    <n v="-991.38"/>
  </r>
  <r>
    <x v="4"/>
    <s v="BRA"/>
    <x v="1"/>
    <x v="0"/>
    <x v="21"/>
    <x v="2"/>
    <x v="1"/>
    <n v="108692.16"/>
  </r>
  <r>
    <x v="4"/>
    <s v="BRA"/>
    <x v="1"/>
    <x v="0"/>
    <x v="22"/>
    <x v="2"/>
    <x v="1"/>
    <n v="92074.01"/>
  </r>
  <r>
    <x v="4"/>
    <s v="BRA"/>
    <x v="1"/>
    <x v="0"/>
    <x v="22"/>
    <x v="2"/>
    <x v="0"/>
    <n v="17241.73"/>
  </r>
  <r>
    <x v="4"/>
    <s v="BRA"/>
    <x v="1"/>
    <x v="0"/>
    <x v="23"/>
    <x v="5"/>
    <x v="1"/>
    <n v="2035.7"/>
  </r>
  <r>
    <x v="4"/>
    <s v="BRA"/>
    <x v="1"/>
    <x v="0"/>
    <x v="24"/>
    <x v="3"/>
    <x v="0"/>
    <n v="311497.5"/>
  </r>
  <r>
    <x v="4"/>
    <s v="BRA"/>
    <x v="1"/>
    <x v="0"/>
    <x v="24"/>
    <x v="5"/>
    <x v="3"/>
    <n v="0"/>
  </r>
  <r>
    <x v="4"/>
    <s v="BRA"/>
    <x v="1"/>
    <x v="0"/>
    <x v="25"/>
    <x v="0"/>
    <x v="0"/>
    <n v="92115.3"/>
  </r>
  <r>
    <x v="4"/>
    <s v="BRA"/>
    <x v="1"/>
    <x v="0"/>
    <x v="25"/>
    <x v="3"/>
    <x v="2"/>
    <n v="19823.97"/>
  </r>
  <r>
    <x v="4"/>
    <s v="BRA"/>
    <x v="1"/>
    <x v="0"/>
    <x v="25"/>
    <x v="4"/>
    <x v="1"/>
    <n v="-967.75"/>
  </r>
  <r>
    <x v="4"/>
    <s v="BRA"/>
    <x v="1"/>
    <x v="0"/>
    <x v="26"/>
    <x v="0"/>
    <x v="2"/>
    <n v="3838.05"/>
  </r>
  <r>
    <x v="4"/>
    <s v="BRA"/>
    <x v="1"/>
    <x v="0"/>
    <x v="34"/>
    <x v="0"/>
    <x v="0"/>
    <n v="93307.16"/>
  </r>
  <r>
    <x v="4"/>
    <s v="BRA"/>
    <x v="1"/>
    <x v="0"/>
    <x v="34"/>
    <x v="0"/>
    <x v="2"/>
    <n v="3003.81"/>
  </r>
  <r>
    <x v="4"/>
    <s v="BRA"/>
    <x v="1"/>
    <x v="0"/>
    <x v="34"/>
    <x v="1"/>
    <x v="1"/>
    <n v="468.12"/>
  </r>
  <r>
    <x v="4"/>
    <s v="BRA"/>
    <x v="1"/>
    <x v="0"/>
    <x v="34"/>
    <x v="5"/>
    <x v="2"/>
    <n v="1018.91"/>
  </r>
  <r>
    <x v="4"/>
    <s v="BRA"/>
    <x v="1"/>
    <x v="0"/>
    <x v="27"/>
    <x v="4"/>
    <x v="1"/>
    <n v="-927.88"/>
  </r>
  <r>
    <x v="4"/>
    <s v="BRA"/>
    <x v="1"/>
    <x v="0"/>
    <x v="27"/>
    <x v="4"/>
    <x v="3"/>
    <n v="0"/>
  </r>
  <r>
    <x v="4"/>
    <s v="BRA"/>
    <x v="1"/>
    <x v="0"/>
    <x v="28"/>
    <x v="6"/>
    <x v="0"/>
    <n v="5211.03"/>
  </r>
  <r>
    <x v="4"/>
    <s v="BRA"/>
    <x v="1"/>
    <x v="0"/>
    <x v="28"/>
    <x v="5"/>
    <x v="2"/>
    <n v="1090.03"/>
  </r>
  <r>
    <x v="4"/>
    <s v="BRA"/>
    <x v="1"/>
    <x v="0"/>
    <x v="29"/>
    <x v="6"/>
    <x v="3"/>
    <n v="0"/>
  </r>
  <r>
    <x v="4"/>
    <s v="BRA"/>
    <x v="1"/>
    <x v="0"/>
    <x v="29"/>
    <x v="0"/>
    <x v="3"/>
    <n v="0"/>
  </r>
  <r>
    <x v="4"/>
    <s v="BRA"/>
    <x v="1"/>
    <x v="0"/>
    <x v="29"/>
    <x v="5"/>
    <x v="1"/>
    <n v="2356.14"/>
  </r>
  <r>
    <x v="4"/>
    <s v="BRA"/>
    <x v="1"/>
    <x v="0"/>
    <x v="29"/>
    <x v="5"/>
    <x v="2"/>
    <n v="1105.5899999999999"/>
  </r>
  <r>
    <x v="4"/>
    <s v="BRA"/>
    <x v="1"/>
    <x v="0"/>
    <x v="30"/>
    <x v="3"/>
    <x v="1"/>
    <n v="15930.91"/>
  </r>
  <r>
    <x v="4"/>
    <s v="BRA"/>
    <x v="1"/>
    <x v="0"/>
    <x v="30"/>
    <x v="3"/>
    <x v="2"/>
    <n v="17300.11"/>
  </r>
  <r>
    <x v="4"/>
    <s v="BRA"/>
    <x v="1"/>
    <x v="0"/>
    <x v="30"/>
    <x v="1"/>
    <x v="1"/>
    <n v="444.73"/>
  </r>
  <r>
    <x v="4"/>
    <s v="BRA"/>
    <x v="1"/>
    <x v="0"/>
    <x v="30"/>
    <x v="1"/>
    <x v="3"/>
    <n v="0"/>
  </r>
  <r>
    <x v="4"/>
    <s v="BRA"/>
    <x v="1"/>
    <x v="0"/>
    <x v="30"/>
    <x v="2"/>
    <x v="0"/>
    <n v="16907.580000000002"/>
  </r>
  <r>
    <x v="4"/>
    <s v="BRA"/>
    <x v="1"/>
    <x v="0"/>
    <x v="31"/>
    <x v="2"/>
    <x v="3"/>
    <n v="0"/>
  </r>
  <r>
    <x v="4"/>
    <s v="BRA"/>
    <x v="1"/>
    <x v="0"/>
    <x v="32"/>
    <x v="5"/>
    <x v="2"/>
    <n v="1125.1199999999999"/>
  </r>
  <r>
    <x v="4"/>
    <s v="BRA"/>
    <x v="1"/>
    <x v="0"/>
    <x v="32"/>
    <x v="2"/>
    <x v="2"/>
    <n v="5923.08"/>
  </r>
  <r>
    <x v="5"/>
    <s v="CAN"/>
    <x v="1"/>
    <x v="1"/>
    <x v="0"/>
    <x v="0"/>
    <x v="1"/>
    <n v="5497.92"/>
  </r>
  <r>
    <x v="5"/>
    <s v="CAN"/>
    <x v="1"/>
    <x v="1"/>
    <x v="1"/>
    <x v="6"/>
    <x v="0"/>
    <n v="10042.049999999999"/>
  </r>
  <r>
    <x v="5"/>
    <s v="CAN"/>
    <x v="1"/>
    <x v="1"/>
    <x v="1"/>
    <x v="0"/>
    <x v="1"/>
    <n v="6168.33"/>
  </r>
  <r>
    <x v="5"/>
    <s v="CAN"/>
    <x v="1"/>
    <x v="1"/>
    <x v="1"/>
    <x v="3"/>
    <x v="0"/>
    <n v="95370.63"/>
  </r>
  <r>
    <x v="5"/>
    <s v="CAN"/>
    <x v="1"/>
    <x v="1"/>
    <x v="1"/>
    <x v="4"/>
    <x v="0"/>
    <n v="-21665.48"/>
  </r>
  <r>
    <x v="5"/>
    <s v="CAN"/>
    <x v="1"/>
    <x v="1"/>
    <x v="1"/>
    <x v="1"/>
    <x v="0"/>
    <n v="57053.3"/>
  </r>
  <r>
    <x v="5"/>
    <s v="CAN"/>
    <x v="1"/>
    <x v="1"/>
    <x v="1"/>
    <x v="2"/>
    <x v="1"/>
    <n v="4113.78"/>
  </r>
  <r>
    <x v="5"/>
    <s v="CAN"/>
    <x v="1"/>
    <x v="1"/>
    <x v="2"/>
    <x v="3"/>
    <x v="1"/>
    <n v="5120.3500000000004"/>
  </r>
  <r>
    <x v="5"/>
    <s v="CAN"/>
    <x v="1"/>
    <x v="1"/>
    <x v="2"/>
    <x v="5"/>
    <x v="1"/>
    <n v="813.79"/>
  </r>
  <r>
    <x v="5"/>
    <s v="CAN"/>
    <x v="1"/>
    <x v="1"/>
    <x v="2"/>
    <x v="5"/>
    <x v="0"/>
    <n v="41906.89"/>
  </r>
  <r>
    <x v="5"/>
    <s v="CAN"/>
    <x v="1"/>
    <x v="1"/>
    <x v="2"/>
    <x v="2"/>
    <x v="0"/>
    <n v="699.08"/>
  </r>
  <r>
    <x v="5"/>
    <s v="CAN"/>
    <x v="1"/>
    <x v="1"/>
    <x v="3"/>
    <x v="3"/>
    <x v="2"/>
    <n v="5365.43"/>
  </r>
  <r>
    <x v="5"/>
    <s v="CAN"/>
    <x v="1"/>
    <x v="1"/>
    <x v="3"/>
    <x v="4"/>
    <x v="2"/>
    <n v="-245.5"/>
  </r>
  <r>
    <x v="5"/>
    <s v="CAN"/>
    <x v="1"/>
    <x v="1"/>
    <x v="3"/>
    <x v="1"/>
    <x v="3"/>
    <n v="0"/>
  </r>
  <r>
    <x v="5"/>
    <s v="CAN"/>
    <x v="1"/>
    <x v="1"/>
    <x v="4"/>
    <x v="1"/>
    <x v="3"/>
    <n v="0"/>
  </r>
  <r>
    <x v="5"/>
    <s v="CAN"/>
    <x v="1"/>
    <x v="1"/>
    <x v="5"/>
    <x v="3"/>
    <x v="1"/>
    <n v="6055.85"/>
  </r>
  <r>
    <x v="5"/>
    <s v="CAN"/>
    <x v="1"/>
    <x v="1"/>
    <x v="6"/>
    <x v="0"/>
    <x v="1"/>
    <n v="5302.94"/>
  </r>
  <r>
    <x v="5"/>
    <s v="CAN"/>
    <x v="1"/>
    <x v="1"/>
    <x v="6"/>
    <x v="0"/>
    <x v="3"/>
    <n v="0"/>
  </r>
  <r>
    <x v="5"/>
    <s v="CAN"/>
    <x v="1"/>
    <x v="1"/>
    <x v="6"/>
    <x v="0"/>
    <x v="2"/>
    <n v="2576.66"/>
  </r>
  <r>
    <x v="5"/>
    <s v="CAN"/>
    <x v="1"/>
    <x v="1"/>
    <x v="6"/>
    <x v="4"/>
    <x v="2"/>
    <n v="-224.68"/>
  </r>
  <r>
    <x v="5"/>
    <s v="CAN"/>
    <x v="1"/>
    <x v="1"/>
    <x v="6"/>
    <x v="1"/>
    <x v="1"/>
    <n v="1675.6"/>
  </r>
  <r>
    <x v="5"/>
    <s v="CAN"/>
    <x v="1"/>
    <x v="1"/>
    <x v="7"/>
    <x v="6"/>
    <x v="2"/>
    <n v="19565.45"/>
  </r>
  <r>
    <x v="5"/>
    <s v="CAN"/>
    <x v="1"/>
    <x v="1"/>
    <x v="7"/>
    <x v="0"/>
    <x v="2"/>
    <n v="2644.17"/>
  </r>
  <r>
    <x v="5"/>
    <s v="CAN"/>
    <x v="1"/>
    <x v="1"/>
    <x v="7"/>
    <x v="1"/>
    <x v="0"/>
    <n v="55592.32"/>
  </r>
  <r>
    <x v="5"/>
    <s v="CAN"/>
    <x v="1"/>
    <x v="1"/>
    <x v="7"/>
    <x v="5"/>
    <x v="1"/>
    <n v="868.7"/>
  </r>
  <r>
    <x v="5"/>
    <s v="CAN"/>
    <x v="1"/>
    <x v="1"/>
    <x v="8"/>
    <x v="0"/>
    <x v="1"/>
    <n v="6383.59"/>
  </r>
  <r>
    <x v="5"/>
    <s v="CAN"/>
    <x v="1"/>
    <x v="1"/>
    <x v="8"/>
    <x v="5"/>
    <x v="3"/>
    <n v="0"/>
  </r>
  <r>
    <x v="5"/>
    <s v="CAN"/>
    <x v="1"/>
    <x v="1"/>
    <x v="8"/>
    <x v="2"/>
    <x v="2"/>
    <n v="284.83"/>
  </r>
  <r>
    <x v="5"/>
    <s v="CAN"/>
    <x v="1"/>
    <x v="1"/>
    <x v="9"/>
    <x v="6"/>
    <x v="1"/>
    <n v="69236.7"/>
  </r>
  <r>
    <x v="5"/>
    <s v="CAN"/>
    <x v="1"/>
    <x v="1"/>
    <x v="9"/>
    <x v="6"/>
    <x v="3"/>
    <n v="0"/>
  </r>
  <r>
    <x v="5"/>
    <s v="CAN"/>
    <x v="1"/>
    <x v="1"/>
    <x v="10"/>
    <x v="1"/>
    <x v="0"/>
    <n v="61432.83"/>
  </r>
  <r>
    <x v="5"/>
    <s v="CAN"/>
    <x v="1"/>
    <x v="1"/>
    <x v="11"/>
    <x v="6"/>
    <x v="3"/>
    <n v="0"/>
  </r>
  <r>
    <x v="5"/>
    <s v="CAN"/>
    <x v="1"/>
    <x v="1"/>
    <x v="11"/>
    <x v="0"/>
    <x v="1"/>
    <n v="5728.52"/>
  </r>
  <r>
    <x v="5"/>
    <s v="CAN"/>
    <x v="1"/>
    <x v="1"/>
    <x v="11"/>
    <x v="4"/>
    <x v="0"/>
    <n v="-23782.17"/>
  </r>
  <r>
    <x v="5"/>
    <s v="CAN"/>
    <x v="1"/>
    <x v="1"/>
    <x v="12"/>
    <x v="1"/>
    <x v="2"/>
    <n v="1105.9000000000001"/>
  </r>
  <r>
    <x v="5"/>
    <s v="CAN"/>
    <x v="1"/>
    <x v="1"/>
    <x v="14"/>
    <x v="0"/>
    <x v="3"/>
    <n v="0"/>
  </r>
  <r>
    <x v="5"/>
    <s v="CAN"/>
    <x v="1"/>
    <x v="1"/>
    <x v="14"/>
    <x v="4"/>
    <x v="3"/>
    <n v="0"/>
  </r>
  <r>
    <x v="5"/>
    <s v="CAN"/>
    <x v="1"/>
    <x v="1"/>
    <x v="15"/>
    <x v="6"/>
    <x v="2"/>
    <n v="20503.16"/>
  </r>
  <r>
    <x v="5"/>
    <s v="CAN"/>
    <x v="1"/>
    <x v="1"/>
    <x v="15"/>
    <x v="2"/>
    <x v="0"/>
    <n v="929.91"/>
  </r>
  <r>
    <x v="5"/>
    <s v="CAN"/>
    <x v="1"/>
    <x v="1"/>
    <x v="16"/>
    <x v="6"/>
    <x v="0"/>
    <n v="10632.81"/>
  </r>
  <r>
    <x v="5"/>
    <s v="CAN"/>
    <x v="1"/>
    <x v="1"/>
    <x v="16"/>
    <x v="4"/>
    <x v="1"/>
    <n v="-249.81"/>
  </r>
  <r>
    <x v="5"/>
    <s v="CAN"/>
    <x v="1"/>
    <x v="1"/>
    <x v="16"/>
    <x v="4"/>
    <x v="0"/>
    <n v="-26682.5"/>
  </r>
  <r>
    <x v="5"/>
    <s v="CAN"/>
    <x v="1"/>
    <x v="1"/>
    <x v="16"/>
    <x v="4"/>
    <x v="2"/>
    <n v="-262.56"/>
  </r>
  <r>
    <x v="5"/>
    <s v="CAN"/>
    <x v="1"/>
    <x v="1"/>
    <x v="17"/>
    <x v="6"/>
    <x v="0"/>
    <n v="9780.19"/>
  </r>
  <r>
    <x v="5"/>
    <s v="CAN"/>
    <x v="1"/>
    <x v="1"/>
    <x v="17"/>
    <x v="6"/>
    <x v="2"/>
    <n v="18737.63"/>
  </r>
  <r>
    <x v="5"/>
    <s v="CAN"/>
    <x v="1"/>
    <x v="1"/>
    <x v="17"/>
    <x v="5"/>
    <x v="3"/>
    <n v="0"/>
  </r>
  <r>
    <x v="5"/>
    <s v="CAN"/>
    <x v="1"/>
    <x v="1"/>
    <x v="33"/>
    <x v="0"/>
    <x v="3"/>
    <n v="0"/>
  </r>
  <r>
    <x v="5"/>
    <s v="CAN"/>
    <x v="1"/>
    <x v="1"/>
    <x v="33"/>
    <x v="1"/>
    <x v="1"/>
    <n v="1788.64"/>
  </r>
  <r>
    <x v="5"/>
    <s v="CAN"/>
    <x v="1"/>
    <x v="1"/>
    <x v="33"/>
    <x v="1"/>
    <x v="0"/>
    <n v="55058.34"/>
  </r>
  <r>
    <x v="5"/>
    <s v="CAN"/>
    <x v="1"/>
    <x v="1"/>
    <x v="33"/>
    <x v="5"/>
    <x v="0"/>
    <n v="45256.46"/>
  </r>
  <r>
    <x v="5"/>
    <s v="CAN"/>
    <x v="1"/>
    <x v="1"/>
    <x v="33"/>
    <x v="2"/>
    <x v="2"/>
    <n v="265.52999999999997"/>
  </r>
  <r>
    <x v="5"/>
    <s v="CAN"/>
    <x v="1"/>
    <x v="1"/>
    <x v="18"/>
    <x v="4"/>
    <x v="3"/>
    <n v="0"/>
  </r>
  <r>
    <x v="5"/>
    <s v="CAN"/>
    <x v="1"/>
    <x v="1"/>
    <x v="18"/>
    <x v="1"/>
    <x v="0"/>
    <n v="58887.85"/>
  </r>
  <r>
    <x v="5"/>
    <s v="CAN"/>
    <x v="1"/>
    <x v="1"/>
    <x v="18"/>
    <x v="2"/>
    <x v="2"/>
    <n v="252.59"/>
  </r>
  <r>
    <x v="5"/>
    <s v="CAN"/>
    <x v="1"/>
    <x v="1"/>
    <x v="19"/>
    <x v="6"/>
    <x v="1"/>
    <n v="67731.759999999995"/>
  </r>
  <r>
    <x v="5"/>
    <s v="CAN"/>
    <x v="1"/>
    <x v="1"/>
    <x v="19"/>
    <x v="0"/>
    <x v="0"/>
    <n v="83345.41"/>
  </r>
  <r>
    <x v="5"/>
    <s v="CAN"/>
    <x v="1"/>
    <x v="1"/>
    <x v="19"/>
    <x v="2"/>
    <x v="0"/>
    <n v="807.16"/>
  </r>
  <r>
    <x v="5"/>
    <s v="CAN"/>
    <x v="1"/>
    <x v="1"/>
    <x v="19"/>
    <x v="2"/>
    <x v="2"/>
    <n v="277.16000000000003"/>
  </r>
  <r>
    <x v="5"/>
    <s v="CAN"/>
    <x v="1"/>
    <x v="1"/>
    <x v="20"/>
    <x v="5"/>
    <x v="1"/>
    <n v="950.19"/>
  </r>
  <r>
    <x v="5"/>
    <s v="CAN"/>
    <x v="1"/>
    <x v="1"/>
    <x v="20"/>
    <x v="2"/>
    <x v="1"/>
    <n v="4361.41"/>
  </r>
  <r>
    <x v="5"/>
    <s v="CAN"/>
    <x v="1"/>
    <x v="1"/>
    <x v="21"/>
    <x v="4"/>
    <x v="2"/>
    <n v="-234.44"/>
  </r>
  <r>
    <x v="5"/>
    <s v="CAN"/>
    <x v="1"/>
    <x v="1"/>
    <x v="21"/>
    <x v="5"/>
    <x v="3"/>
    <n v="0"/>
  </r>
  <r>
    <x v="5"/>
    <s v="CAN"/>
    <x v="1"/>
    <x v="1"/>
    <x v="21"/>
    <x v="2"/>
    <x v="1"/>
    <n v="4211.3500000000004"/>
  </r>
  <r>
    <x v="5"/>
    <s v="CAN"/>
    <x v="1"/>
    <x v="1"/>
    <x v="22"/>
    <x v="6"/>
    <x v="3"/>
    <n v="0"/>
  </r>
  <r>
    <x v="5"/>
    <s v="CAN"/>
    <x v="1"/>
    <x v="1"/>
    <x v="22"/>
    <x v="1"/>
    <x v="0"/>
    <n v="49547.43"/>
  </r>
  <r>
    <x v="5"/>
    <s v="CAN"/>
    <x v="1"/>
    <x v="1"/>
    <x v="23"/>
    <x v="0"/>
    <x v="1"/>
    <n v="5843.42"/>
  </r>
  <r>
    <x v="5"/>
    <s v="CAN"/>
    <x v="1"/>
    <x v="1"/>
    <x v="23"/>
    <x v="3"/>
    <x v="3"/>
    <n v="5390.03"/>
  </r>
  <r>
    <x v="5"/>
    <s v="CAN"/>
    <x v="1"/>
    <x v="1"/>
    <x v="23"/>
    <x v="1"/>
    <x v="0"/>
    <n v="48229.78"/>
  </r>
  <r>
    <x v="5"/>
    <s v="CAN"/>
    <x v="1"/>
    <x v="1"/>
    <x v="24"/>
    <x v="6"/>
    <x v="1"/>
    <n v="66513.509999999995"/>
  </r>
  <r>
    <x v="5"/>
    <s v="CAN"/>
    <x v="1"/>
    <x v="1"/>
    <x v="24"/>
    <x v="0"/>
    <x v="1"/>
    <n v="5204.34"/>
  </r>
  <r>
    <x v="5"/>
    <s v="CAN"/>
    <x v="1"/>
    <x v="1"/>
    <x v="24"/>
    <x v="3"/>
    <x v="1"/>
    <n v="5052.8"/>
  </r>
  <r>
    <x v="5"/>
    <s v="CAN"/>
    <x v="1"/>
    <x v="1"/>
    <x v="24"/>
    <x v="3"/>
    <x v="2"/>
    <n v="5080.3999999999996"/>
  </r>
  <r>
    <x v="5"/>
    <s v="CAN"/>
    <x v="1"/>
    <x v="1"/>
    <x v="24"/>
    <x v="4"/>
    <x v="2"/>
    <n v="-219.61"/>
  </r>
  <r>
    <x v="5"/>
    <s v="CAN"/>
    <x v="1"/>
    <x v="1"/>
    <x v="24"/>
    <x v="1"/>
    <x v="2"/>
    <n v="1179.02"/>
  </r>
  <r>
    <x v="5"/>
    <s v="CAN"/>
    <x v="1"/>
    <x v="1"/>
    <x v="24"/>
    <x v="5"/>
    <x v="1"/>
    <n v="928.66"/>
  </r>
  <r>
    <x v="5"/>
    <s v="CAN"/>
    <x v="1"/>
    <x v="1"/>
    <x v="24"/>
    <x v="5"/>
    <x v="3"/>
    <n v="0"/>
  </r>
  <r>
    <x v="5"/>
    <s v="CAN"/>
    <x v="1"/>
    <x v="1"/>
    <x v="25"/>
    <x v="3"/>
    <x v="3"/>
    <n v="5030.58"/>
  </r>
  <r>
    <x v="5"/>
    <s v="CAN"/>
    <x v="1"/>
    <x v="1"/>
    <x v="25"/>
    <x v="4"/>
    <x v="0"/>
    <n v="-21162.73"/>
  </r>
  <r>
    <x v="5"/>
    <s v="CAN"/>
    <x v="1"/>
    <x v="1"/>
    <x v="25"/>
    <x v="5"/>
    <x v="0"/>
    <n v="38545.279999999999"/>
  </r>
  <r>
    <x v="5"/>
    <s v="CAN"/>
    <x v="1"/>
    <x v="1"/>
    <x v="25"/>
    <x v="2"/>
    <x v="1"/>
    <n v="3776.33"/>
  </r>
  <r>
    <x v="5"/>
    <s v="CAN"/>
    <x v="1"/>
    <x v="1"/>
    <x v="25"/>
    <x v="2"/>
    <x v="2"/>
    <n v="226.59"/>
  </r>
  <r>
    <x v="5"/>
    <s v="CAN"/>
    <x v="1"/>
    <x v="1"/>
    <x v="26"/>
    <x v="3"/>
    <x v="3"/>
    <n v="4566.01"/>
  </r>
  <r>
    <x v="5"/>
    <s v="CAN"/>
    <x v="1"/>
    <x v="1"/>
    <x v="26"/>
    <x v="4"/>
    <x v="2"/>
    <n v="-187.3"/>
  </r>
  <r>
    <x v="5"/>
    <s v="CAN"/>
    <x v="1"/>
    <x v="1"/>
    <x v="26"/>
    <x v="5"/>
    <x v="3"/>
    <n v="0"/>
  </r>
  <r>
    <x v="5"/>
    <s v="CAN"/>
    <x v="1"/>
    <x v="1"/>
    <x v="26"/>
    <x v="2"/>
    <x v="1"/>
    <n v="3462.62"/>
  </r>
  <r>
    <x v="5"/>
    <s v="CAN"/>
    <x v="1"/>
    <x v="1"/>
    <x v="34"/>
    <x v="4"/>
    <x v="3"/>
    <n v="0"/>
  </r>
  <r>
    <x v="5"/>
    <s v="CAN"/>
    <x v="1"/>
    <x v="1"/>
    <x v="34"/>
    <x v="1"/>
    <x v="3"/>
    <n v="0"/>
  </r>
  <r>
    <x v="5"/>
    <s v="CAN"/>
    <x v="1"/>
    <x v="1"/>
    <x v="34"/>
    <x v="2"/>
    <x v="0"/>
    <n v="689.69"/>
  </r>
  <r>
    <x v="5"/>
    <s v="CAN"/>
    <x v="1"/>
    <x v="1"/>
    <x v="27"/>
    <x v="6"/>
    <x v="2"/>
    <n v="17176.599999999999"/>
  </r>
  <r>
    <x v="5"/>
    <s v="CAN"/>
    <x v="1"/>
    <x v="1"/>
    <x v="27"/>
    <x v="3"/>
    <x v="2"/>
    <n v="4406.79"/>
  </r>
  <r>
    <x v="5"/>
    <s v="CAN"/>
    <x v="1"/>
    <x v="1"/>
    <x v="27"/>
    <x v="1"/>
    <x v="3"/>
    <n v="0"/>
  </r>
  <r>
    <x v="5"/>
    <s v="CAN"/>
    <x v="1"/>
    <x v="1"/>
    <x v="29"/>
    <x v="0"/>
    <x v="2"/>
    <n v="1838.4"/>
  </r>
  <r>
    <x v="5"/>
    <s v="CAN"/>
    <x v="1"/>
    <x v="1"/>
    <x v="29"/>
    <x v="3"/>
    <x v="3"/>
    <n v="3932.83"/>
  </r>
  <r>
    <x v="5"/>
    <s v="CAN"/>
    <x v="1"/>
    <x v="1"/>
    <x v="29"/>
    <x v="2"/>
    <x v="2"/>
    <n v="176.97"/>
  </r>
  <r>
    <x v="5"/>
    <s v="CAN"/>
    <x v="1"/>
    <x v="1"/>
    <x v="30"/>
    <x v="0"/>
    <x v="2"/>
    <n v="1874.82"/>
  </r>
  <r>
    <x v="5"/>
    <s v="CAN"/>
    <x v="1"/>
    <x v="1"/>
    <x v="31"/>
    <x v="0"/>
    <x v="3"/>
    <n v="0"/>
  </r>
  <r>
    <x v="5"/>
    <s v="CAN"/>
    <x v="1"/>
    <x v="1"/>
    <x v="31"/>
    <x v="4"/>
    <x v="1"/>
    <n v="-154.75"/>
  </r>
  <r>
    <x v="5"/>
    <s v="CAN"/>
    <x v="1"/>
    <x v="1"/>
    <x v="31"/>
    <x v="4"/>
    <x v="0"/>
    <n v="-15065.12"/>
  </r>
  <r>
    <x v="5"/>
    <s v="CAN"/>
    <x v="1"/>
    <x v="1"/>
    <x v="31"/>
    <x v="4"/>
    <x v="2"/>
    <n v="-155.29"/>
  </r>
  <r>
    <x v="5"/>
    <s v="CAN"/>
    <x v="1"/>
    <x v="1"/>
    <x v="32"/>
    <x v="6"/>
    <x v="3"/>
    <n v="0"/>
  </r>
  <r>
    <x v="5"/>
    <s v="CAN"/>
    <x v="1"/>
    <x v="1"/>
    <x v="32"/>
    <x v="3"/>
    <x v="2"/>
    <n v="3140.65"/>
  </r>
  <r>
    <x v="5"/>
    <s v="CAN"/>
    <x v="1"/>
    <x v="1"/>
    <x v="32"/>
    <x v="4"/>
    <x v="0"/>
    <n v="-15418.54"/>
  </r>
  <r>
    <x v="5"/>
    <s v="CAN"/>
    <x v="1"/>
    <x v="1"/>
    <x v="32"/>
    <x v="1"/>
    <x v="1"/>
    <n v="1066.43"/>
  </r>
  <r>
    <x v="5"/>
    <s v="CAN"/>
    <x v="1"/>
    <x v="1"/>
    <x v="32"/>
    <x v="1"/>
    <x v="3"/>
    <n v="0"/>
  </r>
  <r>
    <x v="5"/>
    <s v="CAN"/>
    <x v="1"/>
    <x v="1"/>
    <x v="32"/>
    <x v="5"/>
    <x v="0"/>
    <n v="29715.06"/>
  </r>
  <r>
    <x v="5"/>
    <s v="CAN"/>
    <x v="1"/>
    <x v="1"/>
    <x v="32"/>
    <x v="5"/>
    <x v="2"/>
    <n v="301.61"/>
  </r>
  <r>
    <x v="5"/>
    <s v="CAN"/>
    <x v="1"/>
    <x v="1"/>
    <x v="32"/>
    <x v="2"/>
    <x v="1"/>
    <n v="2618.2600000000002"/>
  </r>
  <r>
    <x v="6"/>
    <s v="CHL"/>
    <x v="1"/>
    <x v="1"/>
    <x v="0"/>
    <x v="6"/>
    <x v="0"/>
    <n v="577.36"/>
  </r>
  <r>
    <x v="6"/>
    <s v="CHL"/>
    <x v="1"/>
    <x v="1"/>
    <x v="0"/>
    <x v="3"/>
    <x v="3"/>
    <n v="215.86"/>
  </r>
  <r>
    <x v="6"/>
    <s v="CHL"/>
    <x v="1"/>
    <x v="1"/>
    <x v="0"/>
    <x v="3"/>
    <x v="2"/>
    <n v="205.17"/>
  </r>
  <r>
    <x v="6"/>
    <s v="CHL"/>
    <x v="1"/>
    <x v="1"/>
    <x v="0"/>
    <x v="4"/>
    <x v="1"/>
    <n v="-2.59"/>
  </r>
  <r>
    <x v="6"/>
    <s v="CHL"/>
    <x v="1"/>
    <x v="1"/>
    <x v="0"/>
    <x v="4"/>
    <x v="0"/>
    <n v="-244.44"/>
  </r>
  <r>
    <x v="6"/>
    <s v="CHL"/>
    <x v="1"/>
    <x v="1"/>
    <x v="0"/>
    <x v="4"/>
    <x v="2"/>
    <n v="-2.4500000000000002"/>
  </r>
  <r>
    <x v="6"/>
    <s v="CHL"/>
    <x v="1"/>
    <x v="1"/>
    <x v="0"/>
    <x v="5"/>
    <x v="2"/>
    <n v="162.21"/>
  </r>
  <r>
    <x v="6"/>
    <s v="CHL"/>
    <x v="1"/>
    <x v="1"/>
    <x v="0"/>
    <x v="2"/>
    <x v="2"/>
    <n v="182.1"/>
  </r>
  <r>
    <x v="6"/>
    <s v="CHL"/>
    <x v="1"/>
    <x v="1"/>
    <x v="1"/>
    <x v="1"/>
    <x v="2"/>
    <n v="99"/>
  </r>
  <r>
    <x v="6"/>
    <s v="CHL"/>
    <x v="1"/>
    <x v="1"/>
    <x v="2"/>
    <x v="6"/>
    <x v="3"/>
    <n v="0"/>
  </r>
  <r>
    <x v="6"/>
    <s v="CHL"/>
    <x v="1"/>
    <x v="1"/>
    <x v="2"/>
    <x v="3"/>
    <x v="1"/>
    <n v="202.86"/>
  </r>
  <r>
    <x v="6"/>
    <s v="CHL"/>
    <x v="1"/>
    <x v="1"/>
    <x v="2"/>
    <x v="3"/>
    <x v="2"/>
    <n v="188.87"/>
  </r>
  <r>
    <x v="6"/>
    <s v="CHL"/>
    <x v="1"/>
    <x v="1"/>
    <x v="2"/>
    <x v="4"/>
    <x v="0"/>
    <n v="-232.82"/>
  </r>
  <r>
    <x v="6"/>
    <s v="CHL"/>
    <x v="1"/>
    <x v="1"/>
    <x v="2"/>
    <x v="1"/>
    <x v="3"/>
    <n v="0"/>
  </r>
  <r>
    <x v="6"/>
    <s v="CHL"/>
    <x v="1"/>
    <x v="1"/>
    <x v="2"/>
    <x v="2"/>
    <x v="3"/>
    <n v="0"/>
  </r>
  <r>
    <x v="6"/>
    <s v="CHL"/>
    <x v="1"/>
    <x v="1"/>
    <x v="3"/>
    <x v="0"/>
    <x v="3"/>
    <n v="0"/>
  </r>
  <r>
    <x v="6"/>
    <s v="CHL"/>
    <x v="1"/>
    <x v="1"/>
    <x v="3"/>
    <x v="1"/>
    <x v="1"/>
    <n v="161.03"/>
  </r>
  <r>
    <x v="6"/>
    <s v="CHL"/>
    <x v="1"/>
    <x v="1"/>
    <x v="3"/>
    <x v="5"/>
    <x v="3"/>
    <n v="0"/>
  </r>
  <r>
    <x v="6"/>
    <s v="CHL"/>
    <x v="1"/>
    <x v="1"/>
    <x v="4"/>
    <x v="0"/>
    <x v="1"/>
    <n v="337.06"/>
  </r>
  <r>
    <x v="6"/>
    <s v="CHL"/>
    <x v="1"/>
    <x v="1"/>
    <x v="4"/>
    <x v="1"/>
    <x v="1"/>
    <n v="161.66"/>
  </r>
  <r>
    <x v="6"/>
    <s v="CHL"/>
    <x v="1"/>
    <x v="1"/>
    <x v="4"/>
    <x v="2"/>
    <x v="3"/>
    <n v="0"/>
  </r>
  <r>
    <x v="6"/>
    <s v="CHL"/>
    <x v="1"/>
    <x v="1"/>
    <x v="5"/>
    <x v="6"/>
    <x v="0"/>
    <n v="525.87"/>
  </r>
  <r>
    <x v="6"/>
    <s v="CHL"/>
    <x v="1"/>
    <x v="1"/>
    <x v="5"/>
    <x v="0"/>
    <x v="3"/>
    <n v="0"/>
  </r>
  <r>
    <x v="6"/>
    <s v="CHL"/>
    <x v="1"/>
    <x v="1"/>
    <x v="5"/>
    <x v="0"/>
    <x v="2"/>
    <n v="131.28"/>
  </r>
  <r>
    <x v="6"/>
    <s v="CHL"/>
    <x v="1"/>
    <x v="1"/>
    <x v="5"/>
    <x v="1"/>
    <x v="1"/>
    <n v="155.07"/>
  </r>
  <r>
    <x v="6"/>
    <s v="CHL"/>
    <x v="1"/>
    <x v="1"/>
    <x v="5"/>
    <x v="1"/>
    <x v="0"/>
    <n v="5181.46"/>
  </r>
  <r>
    <x v="6"/>
    <s v="CHL"/>
    <x v="1"/>
    <x v="1"/>
    <x v="6"/>
    <x v="0"/>
    <x v="2"/>
    <n v="133.25"/>
  </r>
  <r>
    <x v="6"/>
    <s v="CHL"/>
    <x v="1"/>
    <x v="1"/>
    <x v="6"/>
    <x v="2"/>
    <x v="3"/>
    <n v="0"/>
  </r>
  <r>
    <x v="6"/>
    <s v="CHL"/>
    <x v="1"/>
    <x v="1"/>
    <x v="6"/>
    <x v="2"/>
    <x v="2"/>
    <n v="184.56"/>
  </r>
  <r>
    <x v="6"/>
    <s v="CHL"/>
    <x v="1"/>
    <x v="1"/>
    <x v="7"/>
    <x v="6"/>
    <x v="0"/>
    <n v="557.77"/>
  </r>
  <r>
    <x v="6"/>
    <s v="CHL"/>
    <x v="1"/>
    <x v="1"/>
    <x v="7"/>
    <x v="3"/>
    <x v="1"/>
    <n v="198.85"/>
  </r>
  <r>
    <x v="6"/>
    <s v="CHL"/>
    <x v="1"/>
    <x v="1"/>
    <x v="7"/>
    <x v="2"/>
    <x v="3"/>
    <n v="0"/>
  </r>
  <r>
    <x v="6"/>
    <s v="CHL"/>
    <x v="1"/>
    <x v="1"/>
    <x v="8"/>
    <x v="1"/>
    <x v="3"/>
    <n v="0"/>
  </r>
  <r>
    <x v="6"/>
    <s v="CHL"/>
    <x v="1"/>
    <x v="1"/>
    <x v="9"/>
    <x v="0"/>
    <x v="0"/>
    <n v="4510.3999999999996"/>
  </r>
  <r>
    <x v="6"/>
    <s v="CHL"/>
    <x v="1"/>
    <x v="1"/>
    <x v="10"/>
    <x v="6"/>
    <x v="1"/>
    <n v="4391.66"/>
  </r>
  <r>
    <x v="6"/>
    <s v="CHL"/>
    <x v="1"/>
    <x v="1"/>
    <x v="10"/>
    <x v="1"/>
    <x v="1"/>
    <n v="169.78"/>
  </r>
  <r>
    <x v="6"/>
    <s v="CHL"/>
    <x v="1"/>
    <x v="1"/>
    <x v="10"/>
    <x v="5"/>
    <x v="1"/>
    <n v="353.47"/>
  </r>
  <r>
    <x v="6"/>
    <s v="CHL"/>
    <x v="1"/>
    <x v="1"/>
    <x v="10"/>
    <x v="2"/>
    <x v="3"/>
    <n v="0"/>
  </r>
  <r>
    <x v="6"/>
    <s v="CHL"/>
    <x v="1"/>
    <x v="1"/>
    <x v="11"/>
    <x v="0"/>
    <x v="1"/>
    <n v="320.31"/>
  </r>
  <r>
    <x v="6"/>
    <s v="CHL"/>
    <x v="1"/>
    <x v="1"/>
    <x v="11"/>
    <x v="3"/>
    <x v="2"/>
    <n v="204.23"/>
  </r>
  <r>
    <x v="6"/>
    <s v="CHL"/>
    <x v="1"/>
    <x v="1"/>
    <x v="11"/>
    <x v="4"/>
    <x v="1"/>
    <n v="-2.52"/>
  </r>
  <r>
    <x v="6"/>
    <s v="CHL"/>
    <x v="1"/>
    <x v="1"/>
    <x v="11"/>
    <x v="5"/>
    <x v="2"/>
    <n v="182.39"/>
  </r>
  <r>
    <x v="6"/>
    <s v="CHL"/>
    <x v="1"/>
    <x v="1"/>
    <x v="12"/>
    <x v="0"/>
    <x v="3"/>
    <n v="0"/>
  </r>
  <r>
    <x v="6"/>
    <s v="CHL"/>
    <x v="1"/>
    <x v="1"/>
    <x v="12"/>
    <x v="3"/>
    <x v="0"/>
    <n v="3668.16"/>
  </r>
  <r>
    <x v="6"/>
    <s v="CHL"/>
    <x v="1"/>
    <x v="1"/>
    <x v="12"/>
    <x v="1"/>
    <x v="2"/>
    <n v="114.69"/>
  </r>
  <r>
    <x v="6"/>
    <s v="CHL"/>
    <x v="1"/>
    <x v="1"/>
    <x v="13"/>
    <x v="0"/>
    <x v="1"/>
    <n v="358.95"/>
  </r>
  <r>
    <x v="6"/>
    <s v="CHL"/>
    <x v="1"/>
    <x v="1"/>
    <x v="13"/>
    <x v="0"/>
    <x v="3"/>
    <n v="0"/>
  </r>
  <r>
    <x v="6"/>
    <s v="CHL"/>
    <x v="1"/>
    <x v="1"/>
    <x v="13"/>
    <x v="2"/>
    <x v="1"/>
    <n v="3581.2"/>
  </r>
  <r>
    <x v="6"/>
    <s v="CHL"/>
    <x v="1"/>
    <x v="1"/>
    <x v="14"/>
    <x v="0"/>
    <x v="2"/>
    <n v="145.13"/>
  </r>
  <r>
    <x v="6"/>
    <s v="CHL"/>
    <x v="1"/>
    <x v="1"/>
    <x v="14"/>
    <x v="4"/>
    <x v="0"/>
    <n v="-254.81"/>
  </r>
  <r>
    <x v="6"/>
    <s v="CHL"/>
    <x v="1"/>
    <x v="1"/>
    <x v="14"/>
    <x v="4"/>
    <x v="2"/>
    <n v="-2.56"/>
  </r>
  <r>
    <x v="6"/>
    <s v="CHL"/>
    <x v="1"/>
    <x v="1"/>
    <x v="14"/>
    <x v="2"/>
    <x v="3"/>
    <n v="0"/>
  </r>
  <r>
    <x v="6"/>
    <s v="CHL"/>
    <x v="1"/>
    <x v="1"/>
    <x v="15"/>
    <x v="6"/>
    <x v="1"/>
    <n v="4702.6400000000003"/>
  </r>
  <r>
    <x v="6"/>
    <s v="CHL"/>
    <x v="1"/>
    <x v="1"/>
    <x v="16"/>
    <x v="6"/>
    <x v="2"/>
    <n v="1240.95"/>
  </r>
  <r>
    <x v="6"/>
    <s v="CHL"/>
    <x v="1"/>
    <x v="1"/>
    <x v="16"/>
    <x v="5"/>
    <x v="0"/>
    <n v="17387.39"/>
  </r>
  <r>
    <x v="6"/>
    <s v="CHL"/>
    <x v="1"/>
    <x v="1"/>
    <x v="33"/>
    <x v="6"/>
    <x v="3"/>
    <n v="0"/>
  </r>
  <r>
    <x v="6"/>
    <s v="CHL"/>
    <x v="1"/>
    <x v="1"/>
    <x v="33"/>
    <x v="0"/>
    <x v="0"/>
    <n v="4264.1400000000003"/>
  </r>
  <r>
    <x v="6"/>
    <s v="CHL"/>
    <x v="1"/>
    <x v="1"/>
    <x v="33"/>
    <x v="1"/>
    <x v="0"/>
    <n v="4763.16"/>
  </r>
  <r>
    <x v="6"/>
    <s v="CHL"/>
    <x v="1"/>
    <x v="1"/>
    <x v="33"/>
    <x v="5"/>
    <x v="1"/>
    <n v="361.45"/>
  </r>
  <r>
    <x v="6"/>
    <s v="CHL"/>
    <x v="1"/>
    <x v="1"/>
    <x v="18"/>
    <x v="3"/>
    <x v="0"/>
    <n v="3826.53"/>
  </r>
  <r>
    <x v="6"/>
    <s v="CHL"/>
    <x v="1"/>
    <x v="1"/>
    <x v="18"/>
    <x v="5"/>
    <x v="2"/>
    <n v="194.35"/>
  </r>
  <r>
    <x v="6"/>
    <s v="CHL"/>
    <x v="1"/>
    <x v="1"/>
    <x v="19"/>
    <x v="1"/>
    <x v="2"/>
    <n v="124.11"/>
  </r>
  <r>
    <x v="6"/>
    <s v="CHL"/>
    <x v="1"/>
    <x v="1"/>
    <x v="19"/>
    <x v="5"/>
    <x v="2"/>
    <n v="187.69"/>
  </r>
  <r>
    <x v="6"/>
    <s v="CHL"/>
    <x v="1"/>
    <x v="1"/>
    <x v="19"/>
    <x v="2"/>
    <x v="0"/>
    <n v="710.59"/>
  </r>
  <r>
    <x v="6"/>
    <s v="CHL"/>
    <x v="1"/>
    <x v="1"/>
    <x v="20"/>
    <x v="1"/>
    <x v="0"/>
    <n v="5359.46"/>
  </r>
  <r>
    <x v="6"/>
    <s v="CHL"/>
    <x v="1"/>
    <x v="1"/>
    <x v="21"/>
    <x v="6"/>
    <x v="3"/>
    <n v="0"/>
  </r>
  <r>
    <x v="6"/>
    <s v="CHL"/>
    <x v="1"/>
    <x v="1"/>
    <x v="21"/>
    <x v="3"/>
    <x v="1"/>
    <n v="226.01"/>
  </r>
  <r>
    <x v="6"/>
    <s v="CHL"/>
    <x v="1"/>
    <x v="1"/>
    <x v="21"/>
    <x v="4"/>
    <x v="1"/>
    <n v="-2.74"/>
  </r>
  <r>
    <x v="6"/>
    <s v="CHL"/>
    <x v="1"/>
    <x v="1"/>
    <x v="21"/>
    <x v="4"/>
    <x v="2"/>
    <n v="-2.86"/>
  </r>
  <r>
    <x v="6"/>
    <s v="CHL"/>
    <x v="1"/>
    <x v="1"/>
    <x v="21"/>
    <x v="1"/>
    <x v="0"/>
    <n v="5328.64"/>
  </r>
  <r>
    <x v="6"/>
    <s v="CHL"/>
    <x v="1"/>
    <x v="1"/>
    <x v="21"/>
    <x v="1"/>
    <x v="3"/>
    <n v="0"/>
  </r>
  <r>
    <x v="6"/>
    <s v="CHL"/>
    <x v="1"/>
    <x v="1"/>
    <x v="21"/>
    <x v="2"/>
    <x v="1"/>
    <n v="3690.74"/>
  </r>
  <r>
    <x v="6"/>
    <s v="CHL"/>
    <x v="1"/>
    <x v="1"/>
    <x v="22"/>
    <x v="5"/>
    <x v="0"/>
    <n v="16829.240000000002"/>
  </r>
  <r>
    <x v="6"/>
    <s v="CHL"/>
    <x v="1"/>
    <x v="1"/>
    <x v="23"/>
    <x v="5"/>
    <x v="2"/>
    <n v="170.82"/>
  </r>
  <r>
    <x v="6"/>
    <s v="CHL"/>
    <x v="1"/>
    <x v="1"/>
    <x v="23"/>
    <x v="2"/>
    <x v="3"/>
    <n v="0"/>
  </r>
  <r>
    <x v="6"/>
    <s v="CHL"/>
    <x v="1"/>
    <x v="1"/>
    <x v="24"/>
    <x v="6"/>
    <x v="0"/>
    <n v="616.16999999999996"/>
  </r>
  <r>
    <x v="6"/>
    <s v="CHL"/>
    <x v="1"/>
    <x v="1"/>
    <x v="24"/>
    <x v="0"/>
    <x v="2"/>
    <n v="161.79"/>
  </r>
  <r>
    <x v="6"/>
    <s v="CHL"/>
    <x v="1"/>
    <x v="1"/>
    <x v="24"/>
    <x v="3"/>
    <x v="1"/>
    <n v="224.59"/>
  </r>
  <r>
    <x v="6"/>
    <s v="CHL"/>
    <x v="1"/>
    <x v="1"/>
    <x v="25"/>
    <x v="3"/>
    <x v="0"/>
    <n v="3630.8"/>
  </r>
  <r>
    <x v="6"/>
    <s v="CHL"/>
    <x v="1"/>
    <x v="1"/>
    <x v="25"/>
    <x v="5"/>
    <x v="0"/>
    <n v="17108.990000000002"/>
  </r>
  <r>
    <x v="6"/>
    <s v="CHL"/>
    <x v="1"/>
    <x v="1"/>
    <x v="26"/>
    <x v="6"/>
    <x v="0"/>
    <n v="529.34"/>
  </r>
  <r>
    <x v="6"/>
    <s v="CHL"/>
    <x v="1"/>
    <x v="1"/>
    <x v="26"/>
    <x v="3"/>
    <x v="2"/>
    <n v="214.68"/>
  </r>
  <r>
    <x v="6"/>
    <s v="CHL"/>
    <x v="1"/>
    <x v="1"/>
    <x v="26"/>
    <x v="4"/>
    <x v="3"/>
    <n v="0"/>
  </r>
  <r>
    <x v="6"/>
    <s v="CHL"/>
    <x v="1"/>
    <x v="1"/>
    <x v="34"/>
    <x v="2"/>
    <x v="3"/>
    <n v="0"/>
  </r>
  <r>
    <x v="6"/>
    <s v="CHL"/>
    <x v="1"/>
    <x v="1"/>
    <x v="27"/>
    <x v="0"/>
    <x v="2"/>
    <n v="139.18"/>
  </r>
  <r>
    <x v="6"/>
    <s v="CHL"/>
    <x v="1"/>
    <x v="1"/>
    <x v="27"/>
    <x v="4"/>
    <x v="1"/>
    <n v="-2.5099999999999998"/>
  </r>
  <r>
    <x v="6"/>
    <s v="CHL"/>
    <x v="1"/>
    <x v="1"/>
    <x v="27"/>
    <x v="2"/>
    <x v="2"/>
    <n v="189.67"/>
  </r>
  <r>
    <x v="6"/>
    <s v="CHL"/>
    <x v="1"/>
    <x v="1"/>
    <x v="28"/>
    <x v="0"/>
    <x v="3"/>
    <n v="0"/>
  </r>
  <r>
    <x v="6"/>
    <s v="CHL"/>
    <x v="1"/>
    <x v="1"/>
    <x v="28"/>
    <x v="1"/>
    <x v="1"/>
    <n v="156.77000000000001"/>
  </r>
  <r>
    <x v="6"/>
    <s v="CHL"/>
    <x v="1"/>
    <x v="1"/>
    <x v="28"/>
    <x v="1"/>
    <x v="3"/>
    <n v="0"/>
  </r>
  <r>
    <x v="6"/>
    <s v="CHL"/>
    <x v="1"/>
    <x v="1"/>
    <x v="28"/>
    <x v="2"/>
    <x v="2"/>
    <n v="204.89"/>
  </r>
  <r>
    <x v="6"/>
    <s v="CHL"/>
    <x v="1"/>
    <x v="1"/>
    <x v="29"/>
    <x v="6"/>
    <x v="2"/>
    <n v="1184.75"/>
  </r>
  <r>
    <x v="6"/>
    <s v="CHL"/>
    <x v="1"/>
    <x v="1"/>
    <x v="29"/>
    <x v="0"/>
    <x v="0"/>
    <n v="4240.2700000000004"/>
  </r>
  <r>
    <x v="6"/>
    <s v="CHL"/>
    <x v="1"/>
    <x v="1"/>
    <x v="30"/>
    <x v="6"/>
    <x v="0"/>
    <n v="531.98"/>
  </r>
  <r>
    <x v="6"/>
    <s v="CHL"/>
    <x v="1"/>
    <x v="1"/>
    <x v="30"/>
    <x v="1"/>
    <x v="1"/>
    <n v="127.89"/>
  </r>
  <r>
    <x v="6"/>
    <s v="CHL"/>
    <x v="1"/>
    <x v="1"/>
    <x v="31"/>
    <x v="0"/>
    <x v="3"/>
    <n v="0"/>
  </r>
  <r>
    <x v="6"/>
    <s v="CHL"/>
    <x v="1"/>
    <x v="1"/>
    <x v="31"/>
    <x v="4"/>
    <x v="0"/>
    <n v="-246.23"/>
  </r>
  <r>
    <x v="6"/>
    <s v="CHL"/>
    <x v="1"/>
    <x v="1"/>
    <x v="31"/>
    <x v="5"/>
    <x v="0"/>
    <n v="14535.79"/>
  </r>
  <r>
    <x v="6"/>
    <s v="CHL"/>
    <x v="1"/>
    <x v="1"/>
    <x v="32"/>
    <x v="1"/>
    <x v="1"/>
    <n v="114.37"/>
  </r>
  <r>
    <x v="6"/>
    <s v="CHL"/>
    <x v="1"/>
    <x v="1"/>
    <x v="32"/>
    <x v="5"/>
    <x v="3"/>
    <n v="0"/>
  </r>
  <r>
    <x v="6"/>
    <s v="CHL"/>
    <x v="1"/>
    <x v="1"/>
    <x v="32"/>
    <x v="2"/>
    <x v="3"/>
    <n v="0"/>
  </r>
  <r>
    <x v="7"/>
    <s v="CHN"/>
    <x v="3"/>
    <x v="0"/>
    <x v="0"/>
    <x v="5"/>
    <x v="1"/>
    <n v="4968.8"/>
  </r>
  <r>
    <x v="7"/>
    <s v="CHN"/>
    <x v="3"/>
    <x v="0"/>
    <x v="1"/>
    <x v="3"/>
    <x v="0"/>
    <n v="199511.78"/>
  </r>
  <r>
    <x v="7"/>
    <s v="CHN"/>
    <x v="3"/>
    <x v="0"/>
    <x v="1"/>
    <x v="4"/>
    <x v="0"/>
    <n v="132732.57999999999"/>
  </r>
  <r>
    <x v="7"/>
    <s v="CHN"/>
    <x v="3"/>
    <x v="0"/>
    <x v="1"/>
    <x v="4"/>
    <x v="3"/>
    <n v="0"/>
  </r>
  <r>
    <x v="7"/>
    <s v="CHN"/>
    <x v="3"/>
    <x v="0"/>
    <x v="2"/>
    <x v="1"/>
    <x v="2"/>
    <n v="9577.08"/>
  </r>
  <r>
    <x v="7"/>
    <s v="CHN"/>
    <x v="3"/>
    <x v="0"/>
    <x v="3"/>
    <x v="3"/>
    <x v="0"/>
    <n v="204801.34"/>
  </r>
  <r>
    <x v="7"/>
    <s v="CHN"/>
    <x v="3"/>
    <x v="0"/>
    <x v="3"/>
    <x v="5"/>
    <x v="2"/>
    <n v="3084.86"/>
  </r>
  <r>
    <x v="7"/>
    <s v="CHN"/>
    <x v="3"/>
    <x v="0"/>
    <x v="3"/>
    <x v="2"/>
    <x v="0"/>
    <n v="122559.85"/>
  </r>
  <r>
    <x v="7"/>
    <s v="CHN"/>
    <x v="3"/>
    <x v="0"/>
    <x v="4"/>
    <x v="6"/>
    <x v="1"/>
    <n v="627658.14"/>
  </r>
  <r>
    <x v="7"/>
    <s v="CHN"/>
    <x v="3"/>
    <x v="0"/>
    <x v="4"/>
    <x v="3"/>
    <x v="3"/>
    <n v="13834.62"/>
  </r>
  <r>
    <x v="7"/>
    <s v="CHN"/>
    <x v="3"/>
    <x v="0"/>
    <x v="4"/>
    <x v="3"/>
    <x v="2"/>
    <n v="13620.92"/>
  </r>
  <r>
    <x v="7"/>
    <s v="CHN"/>
    <x v="3"/>
    <x v="0"/>
    <x v="4"/>
    <x v="1"/>
    <x v="0"/>
    <n v="568300"/>
  </r>
  <r>
    <x v="7"/>
    <s v="CHN"/>
    <x v="3"/>
    <x v="0"/>
    <x v="4"/>
    <x v="2"/>
    <x v="0"/>
    <n v="136585.41"/>
  </r>
  <r>
    <x v="7"/>
    <s v="CHN"/>
    <x v="3"/>
    <x v="0"/>
    <x v="5"/>
    <x v="5"/>
    <x v="3"/>
    <n v="0"/>
  </r>
  <r>
    <x v="7"/>
    <s v="CHN"/>
    <x v="3"/>
    <x v="0"/>
    <x v="6"/>
    <x v="3"/>
    <x v="1"/>
    <n v="14734.27"/>
  </r>
  <r>
    <x v="7"/>
    <s v="CHN"/>
    <x v="3"/>
    <x v="0"/>
    <x v="6"/>
    <x v="4"/>
    <x v="2"/>
    <n v="1451.18"/>
  </r>
  <r>
    <x v="7"/>
    <s v="CHN"/>
    <x v="3"/>
    <x v="0"/>
    <x v="6"/>
    <x v="5"/>
    <x v="0"/>
    <n v="329913.19"/>
  </r>
  <r>
    <x v="7"/>
    <s v="CHN"/>
    <x v="3"/>
    <x v="0"/>
    <x v="8"/>
    <x v="0"/>
    <x v="1"/>
    <n v="51903.56"/>
  </r>
  <r>
    <x v="7"/>
    <s v="CHN"/>
    <x v="3"/>
    <x v="0"/>
    <x v="8"/>
    <x v="0"/>
    <x v="0"/>
    <n v="693342.75"/>
  </r>
  <r>
    <x v="7"/>
    <s v="CHN"/>
    <x v="3"/>
    <x v="0"/>
    <x v="8"/>
    <x v="3"/>
    <x v="0"/>
    <n v="266418.01"/>
  </r>
  <r>
    <x v="7"/>
    <s v="CHN"/>
    <x v="3"/>
    <x v="0"/>
    <x v="8"/>
    <x v="2"/>
    <x v="0"/>
    <n v="156791.57999999999"/>
  </r>
  <r>
    <x v="7"/>
    <s v="CHN"/>
    <x v="3"/>
    <x v="0"/>
    <x v="8"/>
    <x v="2"/>
    <x v="2"/>
    <n v="48360.39"/>
  </r>
  <r>
    <x v="7"/>
    <s v="CHN"/>
    <x v="3"/>
    <x v="0"/>
    <x v="9"/>
    <x v="6"/>
    <x v="0"/>
    <n v="96800.27"/>
  </r>
  <r>
    <x v="7"/>
    <s v="CHN"/>
    <x v="3"/>
    <x v="0"/>
    <x v="9"/>
    <x v="6"/>
    <x v="2"/>
    <n v="199921.72"/>
  </r>
  <r>
    <x v="7"/>
    <s v="CHN"/>
    <x v="3"/>
    <x v="0"/>
    <x v="9"/>
    <x v="4"/>
    <x v="1"/>
    <n v="1702.56"/>
  </r>
  <r>
    <x v="7"/>
    <s v="CHN"/>
    <x v="3"/>
    <x v="0"/>
    <x v="9"/>
    <x v="5"/>
    <x v="0"/>
    <n v="370693.78"/>
  </r>
  <r>
    <x v="7"/>
    <s v="CHN"/>
    <x v="3"/>
    <x v="0"/>
    <x v="9"/>
    <x v="5"/>
    <x v="3"/>
    <n v="0"/>
  </r>
  <r>
    <x v="7"/>
    <s v="CHN"/>
    <x v="3"/>
    <x v="0"/>
    <x v="10"/>
    <x v="6"/>
    <x v="3"/>
    <n v="0"/>
  </r>
  <r>
    <x v="7"/>
    <s v="CHN"/>
    <x v="3"/>
    <x v="0"/>
    <x v="10"/>
    <x v="6"/>
    <x v="2"/>
    <n v="185853.82"/>
  </r>
  <r>
    <x v="7"/>
    <s v="CHN"/>
    <x v="3"/>
    <x v="0"/>
    <x v="10"/>
    <x v="3"/>
    <x v="0"/>
    <n v="236891.96"/>
  </r>
  <r>
    <x v="7"/>
    <s v="CHN"/>
    <x v="3"/>
    <x v="0"/>
    <x v="10"/>
    <x v="2"/>
    <x v="1"/>
    <n v="731900.85"/>
  </r>
  <r>
    <x v="7"/>
    <s v="CHN"/>
    <x v="3"/>
    <x v="0"/>
    <x v="10"/>
    <x v="2"/>
    <x v="3"/>
    <n v="0"/>
  </r>
  <r>
    <x v="7"/>
    <s v="CHN"/>
    <x v="3"/>
    <x v="0"/>
    <x v="11"/>
    <x v="6"/>
    <x v="1"/>
    <n v="653212.57999999996"/>
  </r>
  <r>
    <x v="7"/>
    <s v="CHN"/>
    <x v="3"/>
    <x v="0"/>
    <x v="11"/>
    <x v="6"/>
    <x v="2"/>
    <n v="189445.5"/>
  </r>
  <r>
    <x v="7"/>
    <s v="CHN"/>
    <x v="3"/>
    <x v="0"/>
    <x v="12"/>
    <x v="6"/>
    <x v="3"/>
    <n v="0"/>
  </r>
  <r>
    <x v="7"/>
    <s v="CHN"/>
    <x v="3"/>
    <x v="0"/>
    <x v="12"/>
    <x v="0"/>
    <x v="1"/>
    <n v="49211.39"/>
  </r>
  <r>
    <x v="7"/>
    <s v="CHN"/>
    <x v="3"/>
    <x v="0"/>
    <x v="12"/>
    <x v="0"/>
    <x v="0"/>
    <n v="683051.36"/>
  </r>
  <r>
    <x v="7"/>
    <s v="CHN"/>
    <x v="3"/>
    <x v="0"/>
    <x v="12"/>
    <x v="0"/>
    <x v="3"/>
    <n v="0"/>
  </r>
  <r>
    <x v="7"/>
    <s v="CHN"/>
    <x v="3"/>
    <x v="0"/>
    <x v="12"/>
    <x v="3"/>
    <x v="3"/>
    <n v="14917.26"/>
  </r>
  <r>
    <x v="7"/>
    <s v="CHN"/>
    <x v="3"/>
    <x v="0"/>
    <x v="12"/>
    <x v="4"/>
    <x v="3"/>
    <n v="0"/>
  </r>
  <r>
    <x v="7"/>
    <s v="CHN"/>
    <x v="3"/>
    <x v="0"/>
    <x v="13"/>
    <x v="0"/>
    <x v="1"/>
    <n v="50981.69"/>
  </r>
  <r>
    <x v="7"/>
    <s v="CHN"/>
    <x v="3"/>
    <x v="0"/>
    <x v="13"/>
    <x v="5"/>
    <x v="0"/>
    <n v="349729.49"/>
  </r>
  <r>
    <x v="7"/>
    <s v="CHN"/>
    <x v="3"/>
    <x v="0"/>
    <x v="13"/>
    <x v="5"/>
    <x v="3"/>
    <n v="0"/>
  </r>
  <r>
    <x v="7"/>
    <s v="CHN"/>
    <x v="3"/>
    <x v="0"/>
    <x v="13"/>
    <x v="2"/>
    <x v="3"/>
    <n v="0"/>
  </r>
  <r>
    <x v="7"/>
    <s v="CHN"/>
    <x v="3"/>
    <x v="0"/>
    <x v="14"/>
    <x v="0"/>
    <x v="3"/>
    <n v="0"/>
  </r>
  <r>
    <x v="7"/>
    <s v="CHN"/>
    <x v="3"/>
    <x v="0"/>
    <x v="14"/>
    <x v="5"/>
    <x v="1"/>
    <n v="8113.74"/>
  </r>
  <r>
    <x v="7"/>
    <s v="CHN"/>
    <x v="3"/>
    <x v="0"/>
    <x v="15"/>
    <x v="0"/>
    <x v="3"/>
    <n v="0"/>
  </r>
  <r>
    <x v="7"/>
    <s v="CHN"/>
    <x v="3"/>
    <x v="0"/>
    <x v="15"/>
    <x v="3"/>
    <x v="0"/>
    <n v="264363.86"/>
  </r>
  <r>
    <x v="7"/>
    <s v="CHN"/>
    <x v="3"/>
    <x v="0"/>
    <x v="15"/>
    <x v="5"/>
    <x v="1"/>
    <n v="7523.16"/>
  </r>
  <r>
    <x v="7"/>
    <s v="CHN"/>
    <x v="3"/>
    <x v="0"/>
    <x v="15"/>
    <x v="2"/>
    <x v="3"/>
    <n v="0"/>
  </r>
  <r>
    <x v="7"/>
    <s v="CHN"/>
    <x v="3"/>
    <x v="0"/>
    <x v="16"/>
    <x v="6"/>
    <x v="3"/>
    <n v="0"/>
  </r>
  <r>
    <x v="7"/>
    <s v="CHN"/>
    <x v="3"/>
    <x v="0"/>
    <x v="16"/>
    <x v="0"/>
    <x v="3"/>
    <n v="0"/>
  </r>
  <r>
    <x v="7"/>
    <s v="CHN"/>
    <x v="3"/>
    <x v="0"/>
    <x v="16"/>
    <x v="3"/>
    <x v="3"/>
    <n v="13354.94"/>
  </r>
  <r>
    <x v="7"/>
    <s v="CHN"/>
    <x v="3"/>
    <x v="0"/>
    <x v="16"/>
    <x v="4"/>
    <x v="2"/>
    <n v="1735.96"/>
  </r>
  <r>
    <x v="7"/>
    <s v="CHN"/>
    <x v="3"/>
    <x v="0"/>
    <x v="16"/>
    <x v="5"/>
    <x v="3"/>
    <n v="0"/>
  </r>
  <r>
    <x v="7"/>
    <s v="CHN"/>
    <x v="3"/>
    <x v="0"/>
    <x v="17"/>
    <x v="2"/>
    <x v="1"/>
    <n v="891678.15"/>
  </r>
  <r>
    <x v="7"/>
    <s v="CHN"/>
    <x v="3"/>
    <x v="0"/>
    <x v="33"/>
    <x v="0"/>
    <x v="1"/>
    <n v="60936.61"/>
  </r>
  <r>
    <x v="7"/>
    <s v="CHN"/>
    <x v="3"/>
    <x v="0"/>
    <x v="33"/>
    <x v="4"/>
    <x v="3"/>
    <n v="0"/>
  </r>
  <r>
    <x v="7"/>
    <s v="CHN"/>
    <x v="3"/>
    <x v="0"/>
    <x v="33"/>
    <x v="1"/>
    <x v="2"/>
    <n v="16023.15"/>
  </r>
  <r>
    <x v="7"/>
    <s v="CHN"/>
    <x v="3"/>
    <x v="0"/>
    <x v="33"/>
    <x v="5"/>
    <x v="1"/>
    <n v="8958.02"/>
  </r>
  <r>
    <x v="7"/>
    <s v="CHN"/>
    <x v="3"/>
    <x v="0"/>
    <x v="33"/>
    <x v="5"/>
    <x v="3"/>
    <n v="0"/>
  </r>
  <r>
    <x v="7"/>
    <s v="CHN"/>
    <x v="3"/>
    <x v="0"/>
    <x v="33"/>
    <x v="2"/>
    <x v="3"/>
    <n v="0"/>
  </r>
  <r>
    <x v="7"/>
    <s v="CHN"/>
    <x v="3"/>
    <x v="0"/>
    <x v="18"/>
    <x v="3"/>
    <x v="1"/>
    <n v="14813.21"/>
  </r>
  <r>
    <x v="7"/>
    <s v="CHN"/>
    <x v="3"/>
    <x v="0"/>
    <x v="18"/>
    <x v="4"/>
    <x v="3"/>
    <n v="0"/>
  </r>
  <r>
    <x v="7"/>
    <s v="CHN"/>
    <x v="3"/>
    <x v="0"/>
    <x v="18"/>
    <x v="2"/>
    <x v="2"/>
    <n v="54743.72"/>
  </r>
  <r>
    <x v="7"/>
    <s v="CHN"/>
    <x v="3"/>
    <x v="0"/>
    <x v="19"/>
    <x v="6"/>
    <x v="1"/>
    <n v="758170.33"/>
  </r>
  <r>
    <x v="7"/>
    <s v="CHN"/>
    <x v="3"/>
    <x v="0"/>
    <x v="19"/>
    <x v="5"/>
    <x v="1"/>
    <n v="8997.2199999999993"/>
  </r>
  <r>
    <x v="7"/>
    <s v="CHN"/>
    <x v="3"/>
    <x v="0"/>
    <x v="20"/>
    <x v="3"/>
    <x v="2"/>
    <n v="15800.4"/>
  </r>
  <r>
    <x v="7"/>
    <s v="CHN"/>
    <x v="3"/>
    <x v="0"/>
    <x v="21"/>
    <x v="6"/>
    <x v="3"/>
    <n v="0"/>
  </r>
  <r>
    <x v="7"/>
    <s v="CHN"/>
    <x v="3"/>
    <x v="0"/>
    <x v="21"/>
    <x v="0"/>
    <x v="2"/>
    <n v="22397.759999999998"/>
  </r>
  <r>
    <x v="7"/>
    <s v="CHN"/>
    <x v="3"/>
    <x v="0"/>
    <x v="21"/>
    <x v="5"/>
    <x v="3"/>
    <n v="0"/>
  </r>
  <r>
    <x v="7"/>
    <s v="CHN"/>
    <x v="3"/>
    <x v="0"/>
    <x v="22"/>
    <x v="3"/>
    <x v="2"/>
    <n v="17514.990000000002"/>
  </r>
  <r>
    <x v="7"/>
    <s v="CHN"/>
    <x v="3"/>
    <x v="0"/>
    <x v="22"/>
    <x v="4"/>
    <x v="3"/>
    <n v="0"/>
  </r>
  <r>
    <x v="7"/>
    <s v="CHN"/>
    <x v="3"/>
    <x v="0"/>
    <x v="23"/>
    <x v="1"/>
    <x v="0"/>
    <n v="670720.72"/>
  </r>
  <r>
    <x v="7"/>
    <s v="CHN"/>
    <x v="3"/>
    <x v="0"/>
    <x v="23"/>
    <x v="5"/>
    <x v="0"/>
    <n v="389447.72"/>
  </r>
  <r>
    <x v="7"/>
    <s v="CHN"/>
    <x v="3"/>
    <x v="0"/>
    <x v="23"/>
    <x v="5"/>
    <x v="2"/>
    <n v="4132.0200000000004"/>
  </r>
  <r>
    <x v="7"/>
    <s v="CHN"/>
    <x v="3"/>
    <x v="0"/>
    <x v="24"/>
    <x v="6"/>
    <x v="2"/>
    <n v="215780.76"/>
  </r>
  <r>
    <x v="7"/>
    <s v="CHN"/>
    <x v="3"/>
    <x v="0"/>
    <x v="24"/>
    <x v="0"/>
    <x v="3"/>
    <n v="0"/>
  </r>
  <r>
    <x v="7"/>
    <s v="CHN"/>
    <x v="3"/>
    <x v="0"/>
    <x v="24"/>
    <x v="0"/>
    <x v="2"/>
    <n v="22783.7"/>
  </r>
  <r>
    <x v="7"/>
    <s v="CHN"/>
    <x v="3"/>
    <x v="0"/>
    <x v="24"/>
    <x v="2"/>
    <x v="3"/>
    <n v="0"/>
  </r>
  <r>
    <x v="7"/>
    <s v="CHN"/>
    <x v="3"/>
    <x v="0"/>
    <x v="25"/>
    <x v="3"/>
    <x v="0"/>
    <n v="255381.9"/>
  </r>
  <r>
    <x v="7"/>
    <s v="CHN"/>
    <x v="3"/>
    <x v="0"/>
    <x v="25"/>
    <x v="1"/>
    <x v="1"/>
    <n v="20785.810000000001"/>
  </r>
  <r>
    <x v="7"/>
    <s v="CHN"/>
    <x v="3"/>
    <x v="0"/>
    <x v="25"/>
    <x v="5"/>
    <x v="3"/>
    <n v="0"/>
  </r>
  <r>
    <x v="7"/>
    <s v="CHN"/>
    <x v="3"/>
    <x v="0"/>
    <x v="26"/>
    <x v="6"/>
    <x v="0"/>
    <n v="100446.95"/>
  </r>
  <r>
    <x v="7"/>
    <s v="CHN"/>
    <x v="3"/>
    <x v="0"/>
    <x v="26"/>
    <x v="6"/>
    <x v="2"/>
    <n v="204657.86"/>
  </r>
  <r>
    <x v="7"/>
    <s v="CHN"/>
    <x v="3"/>
    <x v="0"/>
    <x v="34"/>
    <x v="6"/>
    <x v="0"/>
    <n v="114483.87"/>
  </r>
  <r>
    <x v="7"/>
    <s v="CHN"/>
    <x v="3"/>
    <x v="0"/>
    <x v="34"/>
    <x v="6"/>
    <x v="3"/>
    <n v="0"/>
  </r>
  <r>
    <x v="7"/>
    <s v="CHN"/>
    <x v="3"/>
    <x v="0"/>
    <x v="34"/>
    <x v="0"/>
    <x v="1"/>
    <n v="56176.51"/>
  </r>
  <r>
    <x v="7"/>
    <s v="CHN"/>
    <x v="3"/>
    <x v="0"/>
    <x v="34"/>
    <x v="0"/>
    <x v="3"/>
    <n v="0"/>
  </r>
  <r>
    <x v="7"/>
    <s v="CHN"/>
    <x v="3"/>
    <x v="0"/>
    <x v="34"/>
    <x v="0"/>
    <x v="2"/>
    <n v="23469.27"/>
  </r>
  <r>
    <x v="7"/>
    <s v="CHN"/>
    <x v="3"/>
    <x v="0"/>
    <x v="34"/>
    <x v="5"/>
    <x v="1"/>
    <n v="8978.33"/>
  </r>
  <r>
    <x v="7"/>
    <s v="CHN"/>
    <x v="3"/>
    <x v="0"/>
    <x v="27"/>
    <x v="4"/>
    <x v="1"/>
    <n v="1726.24"/>
  </r>
  <r>
    <x v="7"/>
    <s v="CHN"/>
    <x v="3"/>
    <x v="0"/>
    <x v="27"/>
    <x v="2"/>
    <x v="2"/>
    <n v="56531.69"/>
  </r>
  <r>
    <x v="7"/>
    <s v="CHN"/>
    <x v="3"/>
    <x v="0"/>
    <x v="28"/>
    <x v="0"/>
    <x v="3"/>
    <n v="0"/>
  </r>
  <r>
    <x v="7"/>
    <s v="CHN"/>
    <x v="3"/>
    <x v="0"/>
    <x v="28"/>
    <x v="4"/>
    <x v="0"/>
    <n v="172010.93"/>
  </r>
  <r>
    <x v="7"/>
    <s v="CHN"/>
    <x v="3"/>
    <x v="0"/>
    <x v="28"/>
    <x v="1"/>
    <x v="1"/>
    <n v="22427.14"/>
  </r>
  <r>
    <x v="7"/>
    <s v="CHN"/>
    <x v="3"/>
    <x v="0"/>
    <x v="28"/>
    <x v="1"/>
    <x v="3"/>
    <n v="0"/>
  </r>
  <r>
    <x v="7"/>
    <s v="CHN"/>
    <x v="3"/>
    <x v="0"/>
    <x v="29"/>
    <x v="3"/>
    <x v="2"/>
    <n v="15594.23"/>
  </r>
  <r>
    <x v="7"/>
    <s v="CHN"/>
    <x v="3"/>
    <x v="0"/>
    <x v="29"/>
    <x v="4"/>
    <x v="0"/>
    <n v="201369.73"/>
  </r>
  <r>
    <x v="7"/>
    <s v="CHN"/>
    <x v="3"/>
    <x v="0"/>
    <x v="29"/>
    <x v="2"/>
    <x v="2"/>
    <n v="59197.279999999999"/>
  </r>
  <r>
    <x v="7"/>
    <s v="CHN"/>
    <x v="3"/>
    <x v="0"/>
    <x v="30"/>
    <x v="6"/>
    <x v="1"/>
    <n v="748912.89"/>
  </r>
  <r>
    <x v="7"/>
    <s v="CHN"/>
    <x v="3"/>
    <x v="0"/>
    <x v="31"/>
    <x v="6"/>
    <x v="2"/>
    <n v="213542.9"/>
  </r>
  <r>
    <x v="7"/>
    <s v="CHN"/>
    <x v="3"/>
    <x v="0"/>
    <x v="32"/>
    <x v="3"/>
    <x v="3"/>
    <n v="17344.8"/>
  </r>
  <r>
    <x v="7"/>
    <s v="CHN"/>
    <x v="3"/>
    <x v="0"/>
    <x v="32"/>
    <x v="2"/>
    <x v="1"/>
    <n v="938280.36"/>
  </r>
  <r>
    <x v="8"/>
    <s v="COL"/>
    <x v="1"/>
    <x v="0"/>
    <x v="0"/>
    <x v="4"/>
    <x v="3"/>
    <n v="0"/>
  </r>
  <r>
    <x v="8"/>
    <s v="COL"/>
    <x v="1"/>
    <x v="0"/>
    <x v="1"/>
    <x v="6"/>
    <x v="1"/>
    <n v="8305.61"/>
  </r>
  <r>
    <x v="8"/>
    <s v="COL"/>
    <x v="1"/>
    <x v="0"/>
    <x v="1"/>
    <x v="0"/>
    <x v="0"/>
    <n v="6397.69"/>
  </r>
  <r>
    <x v="8"/>
    <s v="COL"/>
    <x v="1"/>
    <x v="0"/>
    <x v="1"/>
    <x v="1"/>
    <x v="1"/>
    <n v="795.74"/>
  </r>
  <r>
    <x v="8"/>
    <s v="COL"/>
    <x v="1"/>
    <x v="0"/>
    <x v="1"/>
    <x v="2"/>
    <x v="3"/>
    <n v="0"/>
  </r>
  <r>
    <x v="8"/>
    <s v="COL"/>
    <x v="1"/>
    <x v="0"/>
    <x v="2"/>
    <x v="4"/>
    <x v="1"/>
    <n v="-69.83"/>
  </r>
  <r>
    <x v="8"/>
    <s v="COL"/>
    <x v="1"/>
    <x v="0"/>
    <x v="2"/>
    <x v="4"/>
    <x v="0"/>
    <n v="-7298.42"/>
  </r>
  <r>
    <x v="8"/>
    <s v="COL"/>
    <x v="1"/>
    <x v="0"/>
    <x v="2"/>
    <x v="4"/>
    <x v="2"/>
    <n v="-65.069999999999993"/>
  </r>
  <r>
    <x v="8"/>
    <s v="COL"/>
    <x v="1"/>
    <x v="0"/>
    <x v="3"/>
    <x v="4"/>
    <x v="2"/>
    <n v="-74.89"/>
  </r>
  <r>
    <x v="8"/>
    <s v="COL"/>
    <x v="1"/>
    <x v="0"/>
    <x v="4"/>
    <x v="0"/>
    <x v="2"/>
    <n v="203.65"/>
  </r>
  <r>
    <x v="8"/>
    <s v="COL"/>
    <x v="1"/>
    <x v="0"/>
    <x v="4"/>
    <x v="3"/>
    <x v="2"/>
    <n v="487.09"/>
  </r>
  <r>
    <x v="8"/>
    <s v="COL"/>
    <x v="1"/>
    <x v="0"/>
    <x v="4"/>
    <x v="2"/>
    <x v="0"/>
    <n v="183.42"/>
  </r>
  <r>
    <x v="8"/>
    <s v="COL"/>
    <x v="1"/>
    <x v="0"/>
    <x v="5"/>
    <x v="6"/>
    <x v="3"/>
    <n v="0"/>
  </r>
  <r>
    <x v="8"/>
    <s v="COL"/>
    <x v="1"/>
    <x v="0"/>
    <x v="6"/>
    <x v="6"/>
    <x v="1"/>
    <n v="8563.35"/>
  </r>
  <r>
    <x v="8"/>
    <s v="COL"/>
    <x v="1"/>
    <x v="0"/>
    <x v="6"/>
    <x v="4"/>
    <x v="1"/>
    <n v="-75.099999999999994"/>
  </r>
  <r>
    <x v="8"/>
    <s v="COL"/>
    <x v="1"/>
    <x v="0"/>
    <x v="6"/>
    <x v="4"/>
    <x v="0"/>
    <n v="-6847.4"/>
  </r>
  <r>
    <x v="8"/>
    <s v="COL"/>
    <x v="1"/>
    <x v="0"/>
    <x v="6"/>
    <x v="1"/>
    <x v="3"/>
    <n v="0"/>
  </r>
  <r>
    <x v="8"/>
    <s v="COL"/>
    <x v="1"/>
    <x v="0"/>
    <x v="6"/>
    <x v="1"/>
    <x v="2"/>
    <n v="599.4"/>
  </r>
  <r>
    <x v="8"/>
    <s v="COL"/>
    <x v="1"/>
    <x v="0"/>
    <x v="6"/>
    <x v="2"/>
    <x v="2"/>
    <n v="76.260000000000005"/>
  </r>
  <r>
    <x v="8"/>
    <s v="COL"/>
    <x v="1"/>
    <x v="0"/>
    <x v="7"/>
    <x v="6"/>
    <x v="3"/>
    <n v="0"/>
  </r>
  <r>
    <x v="8"/>
    <s v="COL"/>
    <x v="1"/>
    <x v="0"/>
    <x v="7"/>
    <x v="4"/>
    <x v="1"/>
    <n v="-72.959999999999994"/>
  </r>
  <r>
    <x v="8"/>
    <s v="COL"/>
    <x v="1"/>
    <x v="0"/>
    <x v="7"/>
    <x v="1"/>
    <x v="3"/>
    <n v="0"/>
  </r>
  <r>
    <x v="8"/>
    <s v="COL"/>
    <x v="1"/>
    <x v="0"/>
    <x v="7"/>
    <x v="1"/>
    <x v="2"/>
    <n v="583.9"/>
  </r>
  <r>
    <x v="8"/>
    <s v="COL"/>
    <x v="1"/>
    <x v="0"/>
    <x v="8"/>
    <x v="6"/>
    <x v="3"/>
    <n v="0"/>
  </r>
  <r>
    <x v="8"/>
    <s v="COL"/>
    <x v="1"/>
    <x v="0"/>
    <x v="8"/>
    <x v="1"/>
    <x v="0"/>
    <n v="30080.43"/>
  </r>
  <r>
    <x v="8"/>
    <s v="COL"/>
    <x v="1"/>
    <x v="0"/>
    <x v="8"/>
    <x v="5"/>
    <x v="0"/>
    <n v="16417.48"/>
  </r>
  <r>
    <x v="8"/>
    <s v="COL"/>
    <x v="1"/>
    <x v="0"/>
    <x v="8"/>
    <x v="2"/>
    <x v="3"/>
    <n v="0"/>
  </r>
  <r>
    <x v="8"/>
    <s v="COL"/>
    <x v="1"/>
    <x v="0"/>
    <x v="8"/>
    <x v="2"/>
    <x v="2"/>
    <n v="83.93"/>
  </r>
  <r>
    <x v="8"/>
    <s v="COL"/>
    <x v="1"/>
    <x v="0"/>
    <x v="9"/>
    <x v="6"/>
    <x v="1"/>
    <n v="9574.81"/>
  </r>
  <r>
    <x v="8"/>
    <s v="COL"/>
    <x v="1"/>
    <x v="0"/>
    <x v="9"/>
    <x v="0"/>
    <x v="3"/>
    <n v="0"/>
  </r>
  <r>
    <x v="8"/>
    <s v="COL"/>
    <x v="1"/>
    <x v="0"/>
    <x v="9"/>
    <x v="4"/>
    <x v="2"/>
    <n v="-75.7"/>
  </r>
  <r>
    <x v="8"/>
    <s v="COL"/>
    <x v="1"/>
    <x v="0"/>
    <x v="9"/>
    <x v="5"/>
    <x v="3"/>
    <n v="0"/>
  </r>
  <r>
    <x v="8"/>
    <s v="COL"/>
    <x v="1"/>
    <x v="0"/>
    <x v="9"/>
    <x v="2"/>
    <x v="1"/>
    <n v="1349.65"/>
  </r>
  <r>
    <x v="8"/>
    <s v="COL"/>
    <x v="1"/>
    <x v="0"/>
    <x v="10"/>
    <x v="6"/>
    <x v="3"/>
    <n v="0"/>
  </r>
  <r>
    <x v="8"/>
    <s v="COL"/>
    <x v="1"/>
    <x v="0"/>
    <x v="10"/>
    <x v="0"/>
    <x v="0"/>
    <n v="7939.8"/>
  </r>
  <r>
    <x v="8"/>
    <s v="COL"/>
    <x v="1"/>
    <x v="0"/>
    <x v="10"/>
    <x v="4"/>
    <x v="1"/>
    <n v="-92.23"/>
  </r>
  <r>
    <x v="8"/>
    <s v="COL"/>
    <x v="1"/>
    <x v="0"/>
    <x v="11"/>
    <x v="3"/>
    <x v="0"/>
    <n v="9956.4500000000007"/>
  </r>
  <r>
    <x v="8"/>
    <s v="COL"/>
    <x v="1"/>
    <x v="0"/>
    <x v="12"/>
    <x v="1"/>
    <x v="0"/>
    <n v="35216.46"/>
  </r>
  <r>
    <x v="8"/>
    <s v="COL"/>
    <x v="1"/>
    <x v="0"/>
    <x v="13"/>
    <x v="6"/>
    <x v="3"/>
    <n v="0"/>
  </r>
  <r>
    <x v="8"/>
    <s v="COL"/>
    <x v="1"/>
    <x v="0"/>
    <x v="13"/>
    <x v="0"/>
    <x v="1"/>
    <n v="647.29"/>
  </r>
  <r>
    <x v="8"/>
    <s v="COL"/>
    <x v="1"/>
    <x v="0"/>
    <x v="13"/>
    <x v="5"/>
    <x v="1"/>
    <n v="390.01"/>
  </r>
  <r>
    <x v="8"/>
    <s v="COL"/>
    <x v="1"/>
    <x v="0"/>
    <x v="13"/>
    <x v="2"/>
    <x v="3"/>
    <n v="0"/>
  </r>
  <r>
    <x v="8"/>
    <s v="COL"/>
    <x v="1"/>
    <x v="0"/>
    <x v="14"/>
    <x v="6"/>
    <x v="3"/>
    <n v="0"/>
  </r>
  <r>
    <x v="8"/>
    <s v="COL"/>
    <x v="1"/>
    <x v="0"/>
    <x v="14"/>
    <x v="6"/>
    <x v="2"/>
    <n v="3759.18"/>
  </r>
  <r>
    <x v="8"/>
    <s v="COL"/>
    <x v="1"/>
    <x v="0"/>
    <x v="14"/>
    <x v="3"/>
    <x v="2"/>
    <n v="709.69"/>
  </r>
  <r>
    <x v="8"/>
    <s v="COL"/>
    <x v="1"/>
    <x v="0"/>
    <x v="14"/>
    <x v="1"/>
    <x v="1"/>
    <n v="1060.68"/>
  </r>
  <r>
    <x v="8"/>
    <s v="COL"/>
    <x v="1"/>
    <x v="0"/>
    <x v="14"/>
    <x v="2"/>
    <x v="3"/>
    <n v="0"/>
  </r>
  <r>
    <x v="8"/>
    <s v="COL"/>
    <x v="1"/>
    <x v="0"/>
    <x v="15"/>
    <x v="0"/>
    <x v="0"/>
    <n v="8995.19"/>
  </r>
  <r>
    <x v="8"/>
    <s v="COL"/>
    <x v="1"/>
    <x v="0"/>
    <x v="15"/>
    <x v="3"/>
    <x v="3"/>
    <n v="619.33000000000004"/>
  </r>
  <r>
    <x v="8"/>
    <s v="COL"/>
    <x v="1"/>
    <x v="0"/>
    <x v="15"/>
    <x v="4"/>
    <x v="1"/>
    <n v="-88.58"/>
  </r>
  <r>
    <x v="8"/>
    <s v="COL"/>
    <x v="1"/>
    <x v="0"/>
    <x v="16"/>
    <x v="2"/>
    <x v="3"/>
    <n v="0"/>
  </r>
  <r>
    <x v="8"/>
    <s v="COL"/>
    <x v="1"/>
    <x v="0"/>
    <x v="17"/>
    <x v="4"/>
    <x v="0"/>
    <n v="-9461.41"/>
  </r>
  <r>
    <x v="8"/>
    <s v="COL"/>
    <x v="1"/>
    <x v="0"/>
    <x v="33"/>
    <x v="3"/>
    <x v="0"/>
    <n v="11960.14"/>
  </r>
  <r>
    <x v="8"/>
    <s v="COL"/>
    <x v="1"/>
    <x v="0"/>
    <x v="33"/>
    <x v="3"/>
    <x v="2"/>
    <n v="746.58"/>
  </r>
  <r>
    <x v="8"/>
    <s v="COL"/>
    <x v="1"/>
    <x v="0"/>
    <x v="33"/>
    <x v="5"/>
    <x v="3"/>
    <n v="0"/>
  </r>
  <r>
    <x v="8"/>
    <s v="COL"/>
    <x v="1"/>
    <x v="0"/>
    <x v="33"/>
    <x v="5"/>
    <x v="2"/>
    <n v="190.9"/>
  </r>
  <r>
    <x v="8"/>
    <s v="COL"/>
    <x v="1"/>
    <x v="0"/>
    <x v="33"/>
    <x v="2"/>
    <x v="0"/>
    <n v="300.11"/>
  </r>
  <r>
    <x v="8"/>
    <s v="COL"/>
    <x v="1"/>
    <x v="0"/>
    <x v="18"/>
    <x v="3"/>
    <x v="0"/>
    <n v="14436.88"/>
  </r>
  <r>
    <x v="8"/>
    <s v="COL"/>
    <x v="1"/>
    <x v="0"/>
    <x v="18"/>
    <x v="1"/>
    <x v="1"/>
    <n v="1216.3900000000001"/>
  </r>
  <r>
    <x v="8"/>
    <s v="COL"/>
    <x v="1"/>
    <x v="0"/>
    <x v="18"/>
    <x v="1"/>
    <x v="3"/>
    <n v="0"/>
  </r>
  <r>
    <x v="8"/>
    <s v="COL"/>
    <x v="1"/>
    <x v="0"/>
    <x v="18"/>
    <x v="2"/>
    <x v="2"/>
    <n v="113.03"/>
  </r>
  <r>
    <x v="8"/>
    <s v="COL"/>
    <x v="1"/>
    <x v="0"/>
    <x v="19"/>
    <x v="0"/>
    <x v="1"/>
    <n v="921.87"/>
  </r>
  <r>
    <x v="8"/>
    <s v="COL"/>
    <x v="1"/>
    <x v="0"/>
    <x v="19"/>
    <x v="3"/>
    <x v="0"/>
    <n v="15017.1"/>
  </r>
  <r>
    <x v="8"/>
    <s v="COL"/>
    <x v="1"/>
    <x v="0"/>
    <x v="19"/>
    <x v="1"/>
    <x v="2"/>
    <n v="890.75"/>
  </r>
  <r>
    <x v="8"/>
    <s v="COL"/>
    <x v="1"/>
    <x v="0"/>
    <x v="19"/>
    <x v="5"/>
    <x v="3"/>
    <n v="0"/>
  </r>
  <r>
    <x v="8"/>
    <s v="COL"/>
    <x v="1"/>
    <x v="0"/>
    <x v="20"/>
    <x v="4"/>
    <x v="1"/>
    <n v="-124.79"/>
  </r>
  <r>
    <x v="8"/>
    <s v="COL"/>
    <x v="1"/>
    <x v="0"/>
    <x v="20"/>
    <x v="5"/>
    <x v="3"/>
    <n v="0"/>
  </r>
  <r>
    <x v="8"/>
    <s v="COL"/>
    <x v="1"/>
    <x v="0"/>
    <x v="21"/>
    <x v="0"/>
    <x v="0"/>
    <n v="10682.9"/>
  </r>
  <r>
    <x v="8"/>
    <s v="COL"/>
    <x v="1"/>
    <x v="0"/>
    <x v="21"/>
    <x v="3"/>
    <x v="1"/>
    <n v="833.88"/>
  </r>
  <r>
    <x v="8"/>
    <s v="COL"/>
    <x v="1"/>
    <x v="0"/>
    <x v="21"/>
    <x v="3"/>
    <x v="3"/>
    <n v="839.11"/>
  </r>
  <r>
    <x v="8"/>
    <s v="COL"/>
    <x v="1"/>
    <x v="0"/>
    <x v="21"/>
    <x v="4"/>
    <x v="1"/>
    <n v="-110.45"/>
  </r>
  <r>
    <x v="8"/>
    <s v="COL"/>
    <x v="1"/>
    <x v="0"/>
    <x v="21"/>
    <x v="4"/>
    <x v="0"/>
    <n v="-10578.75"/>
  </r>
  <r>
    <x v="8"/>
    <s v="COL"/>
    <x v="1"/>
    <x v="0"/>
    <x v="21"/>
    <x v="5"/>
    <x v="0"/>
    <n v="23023.51"/>
  </r>
  <r>
    <x v="8"/>
    <s v="COL"/>
    <x v="1"/>
    <x v="0"/>
    <x v="22"/>
    <x v="1"/>
    <x v="3"/>
    <n v="0"/>
  </r>
  <r>
    <x v="8"/>
    <s v="COL"/>
    <x v="1"/>
    <x v="0"/>
    <x v="22"/>
    <x v="5"/>
    <x v="1"/>
    <n v="486.79"/>
  </r>
  <r>
    <x v="8"/>
    <s v="COL"/>
    <x v="1"/>
    <x v="0"/>
    <x v="22"/>
    <x v="2"/>
    <x v="2"/>
    <n v="111.49"/>
  </r>
  <r>
    <x v="8"/>
    <s v="COL"/>
    <x v="1"/>
    <x v="0"/>
    <x v="23"/>
    <x v="0"/>
    <x v="2"/>
    <n v="342.37"/>
  </r>
  <r>
    <x v="8"/>
    <s v="COL"/>
    <x v="1"/>
    <x v="0"/>
    <x v="23"/>
    <x v="1"/>
    <x v="1"/>
    <n v="1165.3"/>
  </r>
  <r>
    <x v="8"/>
    <s v="COL"/>
    <x v="1"/>
    <x v="0"/>
    <x v="24"/>
    <x v="3"/>
    <x v="1"/>
    <n v="769.16"/>
  </r>
  <r>
    <x v="8"/>
    <s v="COL"/>
    <x v="1"/>
    <x v="0"/>
    <x v="24"/>
    <x v="2"/>
    <x v="1"/>
    <n v="1761.53"/>
  </r>
  <r>
    <x v="8"/>
    <s v="COL"/>
    <x v="1"/>
    <x v="0"/>
    <x v="25"/>
    <x v="6"/>
    <x v="1"/>
    <n v="12293.28"/>
  </r>
  <r>
    <x v="8"/>
    <s v="COL"/>
    <x v="1"/>
    <x v="0"/>
    <x v="25"/>
    <x v="0"/>
    <x v="3"/>
    <n v="0"/>
  </r>
  <r>
    <x v="8"/>
    <s v="COL"/>
    <x v="1"/>
    <x v="0"/>
    <x v="25"/>
    <x v="1"/>
    <x v="2"/>
    <n v="745.42"/>
  </r>
  <r>
    <x v="8"/>
    <s v="COL"/>
    <x v="1"/>
    <x v="0"/>
    <x v="25"/>
    <x v="5"/>
    <x v="2"/>
    <n v="246.83"/>
  </r>
  <r>
    <x v="8"/>
    <s v="COL"/>
    <x v="1"/>
    <x v="0"/>
    <x v="26"/>
    <x v="0"/>
    <x v="2"/>
    <n v="354.54"/>
  </r>
  <r>
    <x v="8"/>
    <s v="COL"/>
    <x v="1"/>
    <x v="0"/>
    <x v="26"/>
    <x v="3"/>
    <x v="1"/>
    <n v="828.55"/>
  </r>
  <r>
    <x v="8"/>
    <s v="COL"/>
    <x v="1"/>
    <x v="0"/>
    <x v="26"/>
    <x v="4"/>
    <x v="3"/>
    <n v="0"/>
  </r>
  <r>
    <x v="8"/>
    <s v="COL"/>
    <x v="1"/>
    <x v="0"/>
    <x v="26"/>
    <x v="1"/>
    <x v="3"/>
    <n v="0"/>
  </r>
  <r>
    <x v="8"/>
    <s v="COL"/>
    <x v="1"/>
    <x v="0"/>
    <x v="26"/>
    <x v="5"/>
    <x v="2"/>
    <n v="244.34"/>
  </r>
  <r>
    <x v="8"/>
    <s v="COL"/>
    <x v="1"/>
    <x v="0"/>
    <x v="34"/>
    <x v="3"/>
    <x v="3"/>
    <n v="815.13"/>
  </r>
  <r>
    <x v="8"/>
    <s v="COL"/>
    <x v="1"/>
    <x v="0"/>
    <x v="27"/>
    <x v="0"/>
    <x v="1"/>
    <n v="790.92"/>
  </r>
  <r>
    <x v="8"/>
    <s v="COL"/>
    <x v="1"/>
    <x v="0"/>
    <x v="27"/>
    <x v="0"/>
    <x v="0"/>
    <n v="10330.6"/>
  </r>
  <r>
    <x v="8"/>
    <s v="COL"/>
    <x v="1"/>
    <x v="0"/>
    <x v="27"/>
    <x v="3"/>
    <x v="0"/>
    <n v="13242.25"/>
  </r>
  <r>
    <x v="8"/>
    <s v="COL"/>
    <x v="1"/>
    <x v="0"/>
    <x v="27"/>
    <x v="4"/>
    <x v="1"/>
    <n v="-123.14"/>
  </r>
  <r>
    <x v="8"/>
    <s v="COL"/>
    <x v="1"/>
    <x v="0"/>
    <x v="27"/>
    <x v="2"/>
    <x v="2"/>
    <n v="124.18"/>
  </r>
  <r>
    <x v="8"/>
    <s v="COL"/>
    <x v="1"/>
    <x v="0"/>
    <x v="28"/>
    <x v="6"/>
    <x v="0"/>
    <n v="1942.18"/>
  </r>
  <r>
    <x v="8"/>
    <s v="COL"/>
    <x v="1"/>
    <x v="0"/>
    <x v="28"/>
    <x v="0"/>
    <x v="0"/>
    <n v="10920.58"/>
  </r>
  <r>
    <x v="8"/>
    <s v="COL"/>
    <x v="1"/>
    <x v="0"/>
    <x v="28"/>
    <x v="5"/>
    <x v="0"/>
    <n v="21365.119999999999"/>
  </r>
  <r>
    <x v="8"/>
    <s v="COL"/>
    <x v="1"/>
    <x v="0"/>
    <x v="29"/>
    <x v="1"/>
    <x v="1"/>
    <n v="1278.06"/>
  </r>
  <r>
    <x v="8"/>
    <s v="COL"/>
    <x v="1"/>
    <x v="0"/>
    <x v="31"/>
    <x v="0"/>
    <x v="2"/>
    <n v="318.93"/>
  </r>
  <r>
    <x v="8"/>
    <s v="COL"/>
    <x v="1"/>
    <x v="0"/>
    <x v="31"/>
    <x v="4"/>
    <x v="2"/>
    <n v="-120.34"/>
  </r>
  <r>
    <x v="8"/>
    <s v="COL"/>
    <x v="1"/>
    <x v="0"/>
    <x v="31"/>
    <x v="5"/>
    <x v="3"/>
    <n v="0"/>
  </r>
  <r>
    <x v="8"/>
    <s v="COL"/>
    <x v="1"/>
    <x v="0"/>
    <x v="32"/>
    <x v="0"/>
    <x v="2"/>
    <n v="321.77"/>
  </r>
  <r>
    <x v="8"/>
    <s v="COL"/>
    <x v="1"/>
    <x v="0"/>
    <x v="32"/>
    <x v="3"/>
    <x v="3"/>
    <n v="722.72"/>
  </r>
  <r>
    <x v="8"/>
    <s v="COL"/>
    <x v="1"/>
    <x v="0"/>
    <x v="32"/>
    <x v="2"/>
    <x v="0"/>
    <n v="322.81"/>
  </r>
  <r>
    <x v="9"/>
    <s v="EGY"/>
    <x v="0"/>
    <x v="2"/>
    <x v="0"/>
    <x v="6"/>
    <x v="3"/>
    <n v="0"/>
  </r>
  <r>
    <x v="9"/>
    <s v="EGY"/>
    <x v="0"/>
    <x v="2"/>
    <x v="0"/>
    <x v="4"/>
    <x v="2"/>
    <n v="274"/>
  </r>
  <r>
    <x v="9"/>
    <s v="EGY"/>
    <x v="0"/>
    <x v="2"/>
    <x v="0"/>
    <x v="1"/>
    <x v="1"/>
    <n v="1070.79"/>
  </r>
  <r>
    <x v="9"/>
    <s v="EGY"/>
    <x v="0"/>
    <x v="2"/>
    <x v="0"/>
    <x v="5"/>
    <x v="0"/>
    <n v="102742.78"/>
  </r>
  <r>
    <x v="9"/>
    <s v="EGY"/>
    <x v="0"/>
    <x v="2"/>
    <x v="1"/>
    <x v="6"/>
    <x v="2"/>
    <n v="4165.0200000000004"/>
  </r>
  <r>
    <x v="9"/>
    <s v="EGY"/>
    <x v="0"/>
    <x v="2"/>
    <x v="1"/>
    <x v="4"/>
    <x v="0"/>
    <n v="24863.48"/>
  </r>
  <r>
    <x v="9"/>
    <s v="EGY"/>
    <x v="0"/>
    <x v="2"/>
    <x v="1"/>
    <x v="1"/>
    <x v="1"/>
    <n v="970.92"/>
  </r>
  <r>
    <x v="9"/>
    <s v="EGY"/>
    <x v="0"/>
    <x v="2"/>
    <x v="1"/>
    <x v="2"/>
    <x v="3"/>
    <n v="0"/>
  </r>
  <r>
    <x v="9"/>
    <s v="EGY"/>
    <x v="0"/>
    <x v="2"/>
    <x v="2"/>
    <x v="4"/>
    <x v="1"/>
    <n v="317.08999999999997"/>
  </r>
  <r>
    <x v="9"/>
    <s v="EGY"/>
    <x v="0"/>
    <x v="2"/>
    <x v="2"/>
    <x v="2"/>
    <x v="1"/>
    <n v="25635.71"/>
  </r>
  <r>
    <x v="9"/>
    <s v="EGY"/>
    <x v="0"/>
    <x v="2"/>
    <x v="3"/>
    <x v="6"/>
    <x v="0"/>
    <n v="2207.31"/>
  </r>
  <r>
    <x v="9"/>
    <s v="EGY"/>
    <x v="0"/>
    <x v="2"/>
    <x v="4"/>
    <x v="0"/>
    <x v="1"/>
    <n v="2109.44"/>
  </r>
  <r>
    <x v="9"/>
    <s v="EGY"/>
    <x v="0"/>
    <x v="2"/>
    <x v="4"/>
    <x v="3"/>
    <x v="2"/>
    <n v="4773.99"/>
  </r>
  <r>
    <x v="9"/>
    <s v="EGY"/>
    <x v="0"/>
    <x v="2"/>
    <x v="4"/>
    <x v="4"/>
    <x v="0"/>
    <n v="28661.37"/>
  </r>
  <r>
    <x v="9"/>
    <s v="EGY"/>
    <x v="0"/>
    <x v="2"/>
    <x v="4"/>
    <x v="1"/>
    <x v="3"/>
    <n v="0"/>
  </r>
  <r>
    <x v="9"/>
    <s v="EGY"/>
    <x v="0"/>
    <x v="2"/>
    <x v="4"/>
    <x v="5"/>
    <x v="3"/>
    <n v="0"/>
  </r>
  <r>
    <x v="9"/>
    <s v="EGY"/>
    <x v="0"/>
    <x v="2"/>
    <x v="4"/>
    <x v="2"/>
    <x v="0"/>
    <n v="5187.22"/>
  </r>
  <r>
    <x v="9"/>
    <s v="EGY"/>
    <x v="0"/>
    <x v="2"/>
    <x v="5"/>
    <x v="0"/>
    <x v="1"/>
    <n v="1880.06"/>
  </r>
  <r>
    <x v="9"/>
    <s v="EGY"/>
    <x v="0"/>
    <x v="2"/>
    <x v="5"/>
    <x v="0"/>
    <x v="2"/>
    <n v="773.71"/>
  </r>
  <r>
    <x v="9"/>
    <s v="EGY"/>
    <x v="0"/>
    <x v="2"/>
    <x v="6"/>
    <x v="6"/>
    <x v="3"/>
    <n v="0"/>
  </r>
  <r>
    <x v="9"/>
    <s v="EGY"/>
    <x v="0"/>
    <x v="2"/>
    <x v="6"/>
    <x v="6"/>
    <x v="2"/>
    <n v="4942.09"/>
  </r>
  <r>
    <x v="9"/>
    <s v="EGY"/>
    <x v="0"/>
    <x v="2"/>
    <x v="6"/>
    <x v="0"/>
    <x v="2"/>
    <n v="886.07"/>
  </r>
  <r>
    <x v="9"/>
    <s v="EGY"/>
    <x v="0"/>
    <x v="2"/>
    <x v="6"/>
    <x v="2"/>
    <x v="2"/>
    <n v="1716.52"/>
  </r>
  <r>
    <x v="9"/>
    <s v="EGY"/>
    <x v="0"/>
    <x v="2"/>
    <x v="7"/>
    <x v="3"/>
    <x v="2"/>
    <n v="4892.9799999999996"/>
  </r>
  <r>
    <x v="9"/>
    <s v="EGY"/>
    <x v="0"/>
    <x v="2"/>
    <x v="7"/>
    <x v="4"/>
    <x v="1"/>
    <n v="333.8"/>
  </r>
  <r>
    <x v="9"/>
    <s v="EGY"/>
    <x v="0"/>
    <x v="2"/>
    <x v="7"/>
    <x v="4"/>
    <x v="2"/>
    <n v="365.05"/>
  </r>
  <r>
    <x v="9"/>
    <s v="EGY"/>
    <x v="0"/>
    <x v="2"/>
    <x v="7"/>
    <x v="5"/>
    <x v="1"/>
    <n v="2496.63"/>
  </r>
  <r>
    <x v="9"/>
    <s v="EGY"/>
    <x v="0"/>
    <x v="2"/>
    <x v="8"/>
    <x v="4"/>
    <x v="1"/>
    <n v="383.18"/>
  </r>
  <r>
    <x v="9"/>
    <s v="EGY"/>
    <x v="0"/>
    <x v="2"/>
    <x v="8"/>
    <x v="4"/>
    <x v="0"/>
    <n v="34697.75"/>
  </r>
  <r>
    <x v="9"/>
    <s v="EGY"/>
    <x v="0"/>
    <x v="2"/>
    <x v="8"/>
    <x v="4"/>
    <x v="2"/>
    <n v="369.25"/>
  </r>
  <r>
    <x v="9"/>
    <s v="EGY"/>
    <x v="0"/>
    <x v="2"/>
    <x v="9"/>
    <x v="0"/>
    <x v="2"/>
    <n v="1000.03"/>
  </r>
  <r>
    <x v="9"/>
    <s v="EGY"/>
    <x v="0"/>
    <x v="2"/>
    <x v="9"/>
    <x v="3"/>
    <x v="1"/>
    <n v="5707.47"/>
  </r>
  <r>
    <x v="9"/>
    <s v="EGY"/>
    <x v="0"/>
    <x v="2"/>
    <x v="9"/>
    <x v="3"/>
    <x v="3"/>
    <n v="5345.91"/>
  </r>
  <r>
    <x v="9"/>
    <s v="EGY"/>
    <x v="0"/>
    <x v="2"/>
    <x v="9"/>
    <x v="4"/>
    <x v="3"/>
    <n v="0"/>
  </r>
  <r>
    <x v="9"/>
    <s v="EGY"/>
    <x v="0"/>
    <x v="2"/>
    <x v="9"/>
    <x v="1"/>
    <x v="3"/>
    <n v="0"/>
  </r>
  <r>
    <x v="9"/>
    <s v="EGY"/>
    <x v="0"/>
    <x v="2"/>
    <x v="9"/>
    <x v="5"/>
    <x v="3"/>
    <n v="0"/>
  </r>
  <r>
    <x v="9"/>
    <s v="EGY"/>
    <x v="0"/>
    <x v="2"/>
    <x v="9"/>
    <x v="2"/>
    <x v="0"/>
    <n v="5399.9"/>
  </r>
  <r>
    <x v="9"/>
    <s v="EGY"/>
    <x v="0"/>
    <x v="2"/>
    <x v="10"/>
    <x v="6"/>
    <x v="3"/>
    <n v="0"/>
  </r>
  <r>
    <x v="9"/>
    <s v="EGY"/>
    <x v="0"/>
    <x v="2"/>
    <x v="10"/>
    <x v="2"/>
    <x v="3"/>
    <n v="0"/>
  </r>
  <r>
    <x v="9"/>
    <s v="EGY"/>
    <x v="0"/>
    <x v="2"/>
    <x v="11"/>
    <x v="0"/>
    <x v="2"/>
    <n v="1012.13"/>
  </r>
  <r>
    <x v="9"/>
    <s v="EGY"/>
    <x v="0"/>
    <x v="2"/>
    <x v="11"/>
    <x v="4"/>
    <x v="0"/>
    <n v="36333.760000000002"/>
  </r>
  <r>
    <x v="9"/>
    <s v="EGY"/>
    <x v="0"/>
    <x v="2"/>
    <x v="12"/>
    <x v="0"/>
    <x v="1"/>
    <n v="2637"/>
  </r>
  <r>
    <x v="9"/>
    <s v="EGY"/>
    <x v="0"/>
    <x v="2"/>
    <x v="12"/>
    <x v="4"/>
    <x v="0"/>
    <n v="42776.57"/>
  </r>
  <r>
    <x v="9"/>
    <s v="EGY"/>
    <x v="0"/>
    <x v="2"/>
    <x v="12"/>
    <x v="2"/>
    <x v="2"/>
    <n v="2012.85"/>
  </r>
  <r>
    <x v="9"/>
    <s v="EGY"/>
    <x v="0"/>
    <x v="2"/>
    <x v="13"/>
    <x v="0"/>
    <x v="2"/>
    <n v="1212.3800000000001"/>
  </r>
  <r>
    <x v="9"/>
    <s v="EGY"/>
    <x v="0"/>
    <x v="2"/>
    <x v="13"/>
    <x v="1"/>
    <x v="3"/>
    <n v="0"/>
  </r>
  <r>
    <x v="9"/>
    <s v="EGY"/>
    <x v="0"/>
    <x v="2"/>
    <x v="13"/>
    <x v="2"/>
    <x v="1"/>
    <n v="33376.769999999997"/>
  </r>
  <r>
    <x v="9"/>
    <s v="EGY"/>
    <x v="0"/>
    <x v="2"/>
    <x v="13"/>
    <x v="2"/>
    <x v="3"/>
    <n v="0"/>
  </r>
  <r>
    <x v="9"/>
    <s v="EGY"/>
    <x v="0"/>
    <x v="2"/>
    <x v="14"/>
    <x v="0"/>
    <x v="1"/>
    <n v="3018.26"/>
  </r>
  <r>
    <x v="9"/>
    <s v="EGY"/>
    <x v="0"/>
    <x v="2"/>
    <x v="14"/>
    <x v="0"/>
    <x v="0"/>
    <n v="35909.18"/>
  </r>
  <r>
    <x v="9"/>
    <s v="EGY"/>
    <x v="0"/>
    <x v="2"/>
    <x v="14"/>
    <x v="3"/>
    <x v="3"/>
    <n v="5867.91"/>
  </r>
  <r>
    <x v="9"/>
    <s v="EGY"/>
    <x v="0"/>
    <x v="2"/>
    <x v="14"/>
    <x v="4"/>
    <x v="0"/>
    <n v="48130.23"/>
  </r>
  <r>
    <x v="9"/>
    <s v="EGY"/>
    <x v="0"/>
    <x v="2"/>
    <x v="15"/>
    <x v="0"/>
    <x v="2"/>
    <n v="1103.3699999999999"/>
  </r>
  <r>
    <x v="9"/>
    <s v="EGY"/>
    <x v="0"/>
    <x v="2"/>
    <x v="15"/>
    <x v="1"/>
    <x v="1"/>
    <n v="1356.74"/>
  </r>
  <r>
    <x v="9"/>
    <s v="EGY"/>
    <x v="0"/>
    <x v="2"/>
    <x v="15"/>
    <x v="5"/>
    <x v="3"/>
    <n v="0"/>
  </r>
  <r>
    <x v="9"/>
    <s v="EGY"/>
    <x v="0"/>
    <x v="2"/>
    <x v="15"/>
    <x v="2"/>
    <x v="0"/>
    <n v="6354.97"/>
  </r>
  <r>
    <x v="9"/>
    <s v="EGY"/>
    <x v="0"/>
    <x v="2"/>
    <x v="15"/>
    <x v="2"/>
    <x v="3"/>
    <n v="0"/>
  </r>
  <r>
    <x v="9"/>
    <s v="EGY"/>
    <x v="0"/>
    <x v="2"/>
    <x v="16"/>
    <x v="0"/>
    <x v="0"/>
    <n v="35825.660000000003"/>
  </r>
  <r>
    <x v="9"/>
    <s v="EGY"/>
    <x v="0"/>
    <x v="2"/>
    <x v="16"/>
    <x v="4"/>
    <x v="1"/>
    <n v="415.41"/>
  </r>
  <r>
    <x v="9"/>
    <s v="EGY"/>
    <x v="0"/>
    <x v="2"/>
    <x v="17"/>
    <x v="6"/>
    <x v="1"/>
    <n v="25001.26"/>
  </r>
  <r>
    <x v="9"/>
    <s v="EGY"/>
    <x v="0"/>
    <x v="2"/>
    <x v="17"/>
    <x v="6"/>
    <x v="0"/>
    <n v="3558.17"/>
  </r>
  <r>
    <x v="9"/>
    <s v="EGY"/>
    <x v="0"/>
    <x v="2"/>
    <x v="17"/>
    <x v="0"/>
    <x v="0"/>
    <n v="44094.09"/>
  </r>
  <r>
    <x v="9"/>
    <s v="EGY"/>
    <x v="0"/>
    <x v="2"/>
    <x v="33"/>
    <x v="6"/>
    <x v="1"/>
    <n v="23988.21"/>
  </r>
  <r>
    <x v="9"/>
    <s v="EGY"/>
    <x v="0"/>
    <x v="2"/>
    <x v="33"/>
    <x v="3"/>
    <x v="1"/>
    <n v="6607.84"/>
  </r>
  <r>
    <x v="9"/>
    <s v="EGY"/>
    <x v="0"/>
    <x v="2"/>
    <x v="18"/>
    <x v="0"/>
    <x v="3"/>
    <n v="0"/>
  </r>
  <r>
    <x v="9"/>
    <s v="EGY"/>
    <x v="0"/>
    <x v="2"/>
    <x v="18"/>
    <x v="1"/>
    <x v="1"/>
    <n v="2107.9"/>
  </r>
  <r>
    <x v="9"/>
    <s v="EGY"/>
    <x v="0"/>
    <x v="2"/>
    <x v="18"/>
    <x v="5"/>
    <x v="2"/>
    <n v="1997.38"/>
  </r>
  <r>
    <x v="9"/>
    <s v="EGY"/>
    <x v="0"/>
    <x v="2"/>
    <x v="19"/>
    <x v="3"/>
    <x v="3"/>
    <n v="6975.4"/>
  </r>
  <r>
    <x v="9"/>
    <s v="EGY"/>
    <x v="0"/>
    <x v="2"/>
    <x v="19"/>
    <x v="4"/>
    <x v="1"/>
    <n v="453.95"/>
  </r>
  <r>
    <x v="9"/>
    <s v="EGY"/>
    <x v="0"/>
    <x v="2"/>
    <x v="19"/>
    <x v="5"/>
    <x v="0"/>
    <n v="175418.84"/>
  </r>
  <r>
    <x v="9"/>
    <s v="EGY"/>
    <x v="0"/>
    <x v="2"/>
    <x v="20"/>
    <x v="3"/>
    <x v="3"/>
    <n v="6851.17"/>
  </r>
  <r>
    <x v="9"/>
    <s v="EGY"/>
    <x v="0"/>
    <x v="2"/>
    <x v="20"/>
    <x v="1"/>
    <x v="0"/>
    <n v="52147.48"/>
  </r>
  <r>
    <x v="9"/>
    <s v="EGY"/>
    <x v="0"/>
    <x v="2"/>
    <x v="20"/>
    <x v="1"/>
    <x v="2"/>
    <n v="1264.8599999999999"/>
  </r>
  <r>
    <x v="9"/>
    <s v="EGY"/>
    <x v="0"/>
    <x v="2"/>
    <x v="20"/>
    <x v="2"/>
    <x v="1"/>
    <n v="41141.300000000003"/>
  </r>
  <r>
    <x v="9"/>
    <s v="EGY"/>
    <x v="0"/>
    <x v="2"/>
    <x v="21"/>
    <x v="0"/>
    <x v="0"/>
    <n v="38302.879999999997"/>
  </r>
  <r>
    <x v="9"/>
    <s v="EGY"/>
    <x v="0"/>
    <x v="2"/>
    <x v="21"/>
    <x v="3"/>
    <x v="2"/>
    <n v="6552.83"/>
  </r>
  <r>
    <x v="9"/>
    <s v="EGY"/>
    <x v="0"/>
    <x v="2"/>
    <x v="21"/>
    <x v="5"/>
    <x v="0"/>
    <n v="172396.65"/>
  </r>
  <r>
    <x v="9"/>
    <s v="EGY"/>
    <x v="0"/>
    <x v="2"/>
    <x v="22"/>
    <x v="0"/>
    <x v="3"/>
    <n v="0"/>
  </r>
  <r>
    <x v="9"/>
    <s v="EGY"/>
    <x v="0"/>
    <x v="2"/>
    <x v="22"/>
    <x v="5"/>
    <x v="2"/>
    <n v="1826.71"/>
  </r>
  <r>
    <x v="9"/>
    <s v="EGY"/>
    <x v="0"/>
    <x v="2"/>
    <x v="23"/>
    <x v="0"/>
    <x v="0"/>
    <n v="42260.97"/>
  </r>
  <r>
    <x v="9"/>
    <s v="EGY"/>
    <x v="0"/>
    <x v="2"/>
    <x v="23"/>
    <x v="0"/>
    <x v="2"/>
    <n v="1594.66"/>
  </r>
  <r>
    <x v="9"/>
    <s v="EGY"/>
    <x v="0"/>
    <x v="2"/>
    <x v="23"/>
    <x v="4"/>
    <x v="3"/>
    <n v="0"/>
  </r>
  <r>
    <x v="9"/>
    <s v="EGY"/>
    <x v="0"/>
    <x v="2"/>
    <x v="23"/>
    <x v="4"/>
    <x v="2"/>
    <n v="609.28"/>
  </r>
  <r>
    <x v="9"/>
    <s v="EGY"/>
    <x v="0"/>
    <x v="2"/>
    <x v="23"/>
    <x v="2"/>
    <x v="2"/>
    <n v="2705.01"/>
  </r>
  <r>
    <x v="9"/>
    <s v="EGY"/>
    <x v="0"/>
    <x v="2"/>
    <x v="24"/>
    <x v="6"/>
    <x v="3"/>
    <n v="0"/>
  </r>
  <r>
    <x v="9"/>
    <s v="EGY"/>
    <x v="0"/>
    <x v="2"/>
    <x v="24"/>
    <x v="3"/>
    <x v="0"/>
    <n v="110468.18"/>
  </r>
  <r>
    <x v="9"/>
    <s v="EGY"/>
    <x v="0"/>
    <x v="2"/>
    <x v="25"/>
    <x v="0"/>
    <x v="2"/>
    <n v="1462.95"/>
  </r>
  <r>
    <x v="9"/>
    <s v="EGY"/>
    <x v="0"/>
    <x v="2"/>
    <x v="25"/>
    <x v="1"/>
    <x v="3"/>
    <n v="0"/>
  </r>
  <r>
    <x v="9"/>
    <s v="EGY"/>
    <x v="0"/>
    <x v="2"/>
    <x v="25"/>
    <x v="5"/>
    <x v="0"/>
    <n v="217067.33"/>
  </r>
  <r>
    <x v="9"/>
    <s v="EGY"/>
    <x v="0"/>
    <x v="2"/>
    <x v="25"/>
    <x v="5"/>
    <x v="2"/>
    <n v="1995.13"/>
  </r>
  <r>
    <x v="9"/>
    <s v="EGY"/>
    <x v="0"/>
    <x v="2"/>
    <x v="26"/>
    <x v="4"/>
    <x v="3"/>
    <n v="0"/>
  </r>
  <r>
    <x v="9"/>
    <s v="EGY"/>
    <x v="0"/>
    <x v="2"/>
    <x v="26"/>
    <x v="1"/>
    <x v="0"/>
    <n v="65420.2"/>
  </r>
  <r>
    <x v="9"/>
    <s v="EGY"/>
    <x v="0"/>
    <x v="2"/>
    <x v="34"/>
    <x v="6"/>
    <x v="1"/>
    <n v="31319.06"/>
  </r>
  <r>
    <x v="9"/>
    <s v="EGY"/>
    <x v="0"/>
    <x v="2"/>
    <x v="34"/>
    <x v="0"/>
    <x v="3"/>
    <n v="0"/>
  </r>
  <r>
    <x v="9"/>
    <s v="EGY"/>
    <x v="0"/>
    <x v="2"/>
    <x v="34"/>
    <x v="4"/>
    <x v="2"/>
    <n v="575.28"/>
  </r>
  <r>
    <x v="9"/>
    <s v="EGY"/>
    <x v="0"/>
    <x v="2"/>
    <x v="34"/>
    <x v="2"/>
    <x v="1"/>
    <n v="45697.55"/>
  </r>
  <r>
    <x v="9"/>
    <s v="EGY"/>
    <x v="0"/>
    <x v="2"/>
    <x v="34"/>
    <x v="2"/>
    <x v="2"/>
    <n v="2769.37"/>
  </r>
  <r>
    <x v="9"/>
    <s v="EGY"/>
    <x v="0"/>
    <x v="2"/>
    <x v="27"/>
    <x v="3"/>
    <x v="3"/>
    <n v="7228.6"/>
  </r>
  <r>
    <x v="9"/>
    <s v="EGY"/>
    <x v="0"/>
    <x v="2"/>
    <x v="27"/>
    <x v="3"/>
    <x v="2"/>
    <n v="8211.5400000000009"/>
  </r>
  <r>
    <x v="9"/>
    <s v="EGY"/>
    <x v="0"/>
    <x v="2"/>
    <x v="28"/>
    <x v="3"/>
    <x v="3"/>
    <n v="8314.23"/>
  </r>
  <r>
    <x v="9"/>
    <s v="EGY"/>
    <x v="0"/>
    <x v="2"/>
    <x v="28"/>
    <x v="5"/>
    <x v="0"/>
    <n v="201453.24"/>
  </r>
  <r>
    <x v="9"/>
    <s v="EGY"/>
    <x v="0"/>
    <x v="2"/>
    <x v="28"/>
    <x v="2"/>
    <x v="3"/>
    <n v="0"/>
  </r>
  <r>
    <x v="9"/>
    <s v="EGY"/>
    <x v="0"/>
    <x v="2"/>
    <x v="29"/>
    <x v="3"/>
    <x v="0"/>
    <n v="154770.01999999999"/>
  </r>
  <r>
    <x v="9"/>
    <s v="EGY"/>
    <x v="0"/>
    <x v="2"/>
    <x v="29"/>
    <x v="4"/>
    <x v="2"/>
    <n v="569.41999999999996"/>
  </r>
  <r>
    <x v="9"/>
    <s v="EGY"/>
    <x v="0"/>
    <x v="2"/>
    <x v="29"/>
    <x v="1"/>
    <x v="2"/>
    <n v="1406.08"/>
  </r>
  <r>
    <x v="9"/>
    <s v="EGY"/>
    <x v="0"/>
    <x v="2"/>
    <x v="30"/>
    <x v="3"/>
    <x v="0"/>
    <n v="138128.82999999999"/>
  </r>
  <r>
    <x v="9"/>
    <s v="EGY"/>
    <x v="0"/>
    <x v="2"/>
    <x v="30"/>
    <x v="1"/>
    <x v="1"/>
    <n v="2096.91"/>
  </r>
  <r>
    <x v="9"/>
    <s v="EGY"/>
    <x v="0"/>
    <x v="2"/>
    <x v="30"/>
    <x v="5"/>
    <x v="1"/>
    <n v="4262.26"/>
  </r>
  <r>
    <x v="9"/>
    <s v="EGY"/>
    <x v="0"/>
    <x v="2"/>
    <x v="31"/>
    <x v="0"/>
    <x v="1"/>
    <n v="3822.38"/>
  </r>
  <r>
    <x v="9"/>
    <s v="EGY"/>
    <x v="0"/>
    <x v="2"/>
    <x v="31"/>
    <x v="3"/>
    <x v="2"/>
    <n v="8344.2999999999993"/>
  </r>
  <r>
    <x v="9"/>
    <s v="EGY"/>
    <x v="0"/>
    <x v="2"/>
    <x v="31"/>
    <x v="4"/>
    <x v="1"/>
    <n v="643.1"/>
  </r>
  <r>
    <x v="9"/>
    <s v="EGY"/>
    <x v="0"/>
    <x v="2"/>
    <x v="31"/>
    <x v="2"/>
    <x v="3"/>
    <n v="0"/>
  </r>
  <r>
    <x v="9"/>
    <s v="EGY"/>
    <x v="0"/>
    <x v="2"/>
    <x v="32"/>
    <x v="1"/>
    <x v="2"/>
    <n v="1374.11"/>
  </r>
  <r>
    <x v="10"/>
    <s v="ETH"/>
    <x v="0"/>
    <x v="3"/>
    <x v="0"/>
    <x v="4"/>
    <x v="1"/>
    <n v="104.84"/>
  </r>
  <r>
    <x v="10"/>
    <s v="ETH"/>
    <x v="0"/>
    <x v="3"/>
    <x v="0"/>
    <x v="5"/>
    <x v="3"/>
    <n v="0"/>
  </r>
  <r>
    <x v="10"/>
    <s v="ETH"/>
    <x v="0"/>
    <x v="3"/>
    <x v="1"/>
    <x v="6"/>
    <x v="3"/>
    <n v="0"/>
  </r>
  <r>
    <x v="10"/>
    <s v="ETH"/>
    <x v="0"/>
    <x v="3"/>
    <x v="1"/>
    <x v="1"/>
    <x v="3"/>
    <n v="0"/>
  </r>
  <r>
    <x v="10"/>
    <s v="ETH"/>
    <x v="0"/>
    <x v="3"/>
    <x v="2"/>
    <x v="6"/>
    <x v="1"/>
    <n v="28118.2"/>
  </r>
  <r>
    <x v="10"/>
    <s v="ETH"/>
    <x v="0"/>
    <x v="3"/>
    <x v="2"/>
    <x v="0"/>
    <x v="1"/>
    <n v="1144.01"/>
  </r>
  <r>
    <x v="10"/>
    <s v="ETH"/>
    <x v="0"/>
    <x v="3"/>
    <x v="2"/>
    <x v="3"/>
    <x v="1"/>
    <n v="582.22"/>
  </r>
  <r>
    <x v="10"/>
    <s v="ETH"/>
    <x v="0"/>
    <x v="3"/>
    <x v="3"/>
    <x v="1"/>
    <x v="1"/>
    <n v="1321.62"/>
  </r>
  <r>
    <x v="10"/>
    <s v="ETH"/>
    <x v="0"/>
    <x v="3"/>
    <x v="4"/>
    <x v="0"/>
    <x v="1"/>
    <n v="1097.56"/>
  </r>
  <r>
    <x v="10"/>
    <s v="ETH"/>
    <x v="0"/>
    <x v="3"/>
    <x v="4"/>
    <x v="0"/>
    <x v="3"/>
    <n v="0"/>
  </r>
  <r>
    <x v="10"/>
    <s v="ETH"/>
    <x v="0"/>
    <x v="3"/>
    <x v="4"/>
    <x v="1"/>
    <x v="2"/>
    <n v="976.91"/>
  </r>
  <r>
    <x v="10"/>
    <s v="ETH"/>
    <x v="0"/>
    <x v="3"/>
    <x v="4"/>
    <x v="5"/>
    <x v="2"/>
    <n v="315.14"/>
  </r>
  <r>
    <x v="10"/>
    <s v="ETH"/>
    <x v="0"/>
    <x v="3"/>
    <x v="5"/>
    <x v="4"/>
    <x v="3"/>
    <n v="0"/>
  </r>
  <r>
    <x v="10"/>
    <s v="ETH"/>
    <x v="0"/>
    <x v="3"/>
    <x v="5"/>
    <x v="2"/>
    <x v="1"/>
    <n v="13170.59"/>
  </r>
  <r>
    <x v="10"/>
    <s v="ETH"/>
    <x v="0"/>
    <x v="3"/>
    <x v="5"/>
    <x v="2"/>
    <x v="2"/>
    <n v="798.67"/>
  </r>
  <r>
    <x v="10"/>
    <s v="ETH"/>
    <x v="0"/>
    <x v="3"/>
    <x v="6"/>
    <x v="0"/>
    <x v="0"/>
    <n v="14486.81"/>
  </r>
  <r>
    <x v="10"/>
    <s v="ETH"/>
    <x v="0"/>
    <x v="3"/>
    <x v="6"/>
    <x v="3"/>
    <x v="0"/>
    <n v="10562.14"/>
  </r>
  <r>
    <x v="10"/>
    <s v="ETH"/>
    <x v="0"/>
    <x v="3"/>
    <x v="6"/>
    <x v="4"/>
    <x v="0"/>
    <n v="15027.92"/>
  </r>
  <r>
    <x v="10"/>
    <s v="ETH"/>
    <x v="0"/>
    <x v="3"/>
    <x v="7"/>
    <x v="3"/>
    <x v="0"/>
    <n v="10729.93"/>
  </r>
  <r>
    <x v="10"/>
    <s v="ETH"/>
    <x v="0"/>
    <x v="3"/>
    <x v="7"/>
    <x v="4"/>
    <x v="3"/>
    <n v="0"/>
  </r>
  <r>
    <x v="10"/>
    <s v="ETH"/>
    <x v="0"/>
    <x v="3"/>
    <x v="7"/>
    <x v="1"/>
    <x v="2"/>
    <n v="997.93"/>
  </r>
  <r>
    <x v="10"/>
    <s v="ETH"/>
    <x v="0"/>
    <x v="3"/>
    <x v="7"/>
    <x v="2"/>
    <x v="1"/>
    <n v="11492.03"/>
  </r>
  <r>
    <x v="10"/>
    <s v="ETH"/>
    <x v="0"/>
    <x v="3"/>
    <x v="8"/>
    <x v="0"/>
    <x v="1"/>
    <n v="1153.4000000000001"/>
  </r>
  <r>
    <x v="10"/>
    <s v="ETH"/>
    <x v="0"/>
    <x v="3"/>
    <x v="8"/>
    <x v="1"/>
    <x v="1"/>
    <n v="1542.11"/>
  </r>
  <r>
    <x v="10"/>
    <s v="ETH"/>
    <x v="0"/>
    <x v="3"/>
    <x v="8"/>
    <x v="1"/>
    <x v="3"/>
    <n v="0"/>
  </r>
  <r>
    <x v="10"/>
    <s v="ETH"/>
    <x v="0"/>
    <x v="3"/>
    <x v="9"/>
    <x v="6"/>
    <x v="1"/>
    <n v="33096.49"/>
  </r>
  <r>
    <x v="10"/>
    <s v="ETH"/>
    <x v="0"/>
    <x v="3"/>
    <x v="9"/>
    <x v="6"/>
    <x v="3"/>
    <n v="0"/>
  </r>
  <r>
    <x v="10"/>
    <s v="ETH"/>
    <x v="0"/>
    <x v="3"/>
    <x v="9"/>
    <x v="3"/>
    <x v="1"/>
    <n v="712.37"/>
  </r>
  <r>
    <x v="10"/>
    <s v="ETH"/>
    <x v="0"/>
    <x v="3"/>
    <x v="10"/>
    <x v="0"/>
    <x v="3"/>
    <n v="0"/>
  </r>
  <r>
    <x v="10"/>
    <s v="ETH"/>
    <x v="0"/>
    <x v="3"/>
    <x v="10"/>
    <x v="4"/>
    <x v="1"/>
    <n v="167.43"/>
  </r>
  <r>
    <x v="10"/>
    <s v="ETH"/>
    <x v="0"/>
    <x v="3"/>
    <x v="10"/>
    <x v="5"/>
    <x v="1"/>
    <n v="748.04"/>
  </r>
  <r>
    <x v="10"/>
    <s v="ETH"/>
    <x v="0"/>
    <x v="3"/>
    <x v="11"/>
    <x v="4"/>
    <x v="1"/>
    <n v="161.99"/>
  </r>
  <r>
    <x v="10"/>
    <s v="ETH"/>
    <x v="0"/>
    <x v="3"/>
    <x v="11"/>
    <x v="4"/>
    <x v="2"/>
    <n v="164.27"/>
  </r>
  <r>
    <x v="10"/>
    <s v="ETH"/>
    <x v="0"/>
    <x v="3"/>
    <x v="11"/>
    <x v="5"/>
    <x v="1"/>
    <n v="714.05"/>
  </r>
  <r>
    <x v="10"/>
    <s v="ETH"/>
    <x v="0"/>
    <x v="3"/>
    <x v="11"/>
    <x v="5"/>
    <x v="3"/>
    <n v="0"/>
  </r>
  <r>
    <x v="10"/>
    <s v="ETH"/>
    <x v="0"/>
    <x v="3"/>
    <x v="11"/>
    <x v="2"/>
    <x v="0"/>
    <n v="2633.56"/>
  </r>
  <r>
    <x v="10"/>
    <s v="ETH"/>
    <x v="0"/>
    <x v="3"/>
    <x v="12"/>
    <x v="6"/>
    <x v="1"/>
    <n v="32814.67"/>
  </r>
  <r>
    <x v="10"/>
    <s v="ETH"/>
    <x v="0"/>
    <x v="3"/>
    <x v="12"/>
    <x v="0"/>
    <x v="2"/>
    <n v="555.83000000000004"/>
  </r>
  <r>
    <x v="10"/>
    <s v="ETH"/>
    <x v="0"/>
    <x v="3"/>
    <x v="12"/>
    <x v="2"/>
    <x v="3"/>
    <n v="0"/>
  </r>
  <r>
    <x v="10"/>
    <s v="ETH"/>
    <x v="0"/>
    <x v="3"/>
    <x v="13"/>
    <x v="6"/>
    <x v="2"/>
    <n v="9363.52"/>
  </r>
  <r>
    <x v="10"/>
    <s v="ETH"/>
    <x v="0"/>
    <x v="3"/>
    <x v="13"/>
    <x v="0"/>
    <x v="0"/>
    <n v="16780.46"/>
  </r>
  <r>
    <x v="10"/>
    <s v="ETH"/>
    <x v="0"/>
    <x v="3"/>
    <x v="13"/>
    <x v="3"/>
    <x v="2"/>
    <n v="730.94"/>
  </r>
  <r>
    <x v="10"/>
    <s v="ETH"/>
    <x v="0"/>
    <x v="3"/>
    <x v="13"/>
    <x v="4"/>
    <x v="0"/>
    <n v="16654.919999999998"/>
  </r>
  <r>
    <x v="10"/>
    <s v="ETH"/>
    <x v="0"/>
    <x v="3"/>
    <x v="13"/>
    <x v="4"/>
    <x v="3"/>
    <n v="0"/>
  </r>
  <r>
    <x v="10"/>
    <s v="ETH"/>
    <x v="0"/>
    <x v="3"/>
    <x v="13"/>
    <x v="4"/>
    <x v="2"/>
    <n v="186.73"/>
  </r>
  <r>
    <x v="10"/>
    <s v="ETH"/>
    <x v="0"/>
    <x v="3"/>
    <x v="13"/>
    <x v="1"/>
    <x v="0"/>
    <n v="54126.9"/>
  </r>
  <r>
    <x v="10"/>
    <s v="ETH"/>
    <x v="0"/>
    <x v="3"/>
    <x v="13"/>
    <x v="1"/>
    <x v="3"/>
    <n v="0"/>
  </r>
  <r>
    <x v="10"/>
    <s v="ETH"/>
    <x v="0"/>
    <x v="3"/>
    <x v="14"/>
    <x v="6"/>
    <x v="2"/>
    <n v="8984.7099999999991"/>
  </r>
  <r>
    <x v="10"/>
    <s v="ETH"/>
    <x v="0"/>
    <x v="3"/>
    <x v="14"/>
    <x v="3"/>
    <x v="1"/>
    <n v="712.98"/>
  </r>
  <r>
    <x v="10"/>
    <s v="ETH"/>
    <x v="0"/>
    <x v="3"/>
    <x v="14"/>
    <x v="3"/>
    <x v="3"/>
    <n v="698.63"/>
  </r>
  <r>
    <x v="10"/>
    <s v="ETH"/>
    <x v="0"/>
    <x v="3"/>
    <x v="14"/>
    <x v="1"/>
    <x v="3"/>
    <n v="0"/>
  </r>
  <r>
    <x v="10"/>
    <s v="ETH"/>
    <x v="0"/>
    <x v="3"/>
    <x v="14"/>
    <x v="2"/>
    <x v="0"/>
    <n v="2328.98"/>
  </r>
  <r>
    <x v="10"/>
    <s v="ETH"/>
    <x v="0"/>
    <x v="3"/>
    <x v="15"/>
    <x v="5"/>
    <x v="3"/>
    <n v="0"/>
  </r>
  <r>
    <x v="10"/>
    <s v="ETH"/>
    <x v="0"/>
    <x v="3"/>
    <x v="16"/>
    <x v="0"/>
    <x v="1"/>
    <n v="1482.29"/>
  </r>
  <r>
    <x v="10"/>
    <s v="ETH"/>
    <x v="0"/>
    <x v="3"/>
    <x v="16"/>
    <x v="3"/>
    <x v="1"/>
    <n v="792.93"/>
  </r>
  <r>
    <x v="10"/>
    <s v="ETH"/>
    <x v="0"/>
    <x v="3"/>
    <x v="16"/>
    <x v="2"/>
    <x v="0"/>
    <n v="2803.96"/>
  </r>
  <r>
    <x v="10"/>
    <s v="ETH"/>
    <x v="0"/>
    <x v="3"/>
    <x v="17"/>
    <x v="6"/>
    <x v="3"/>
    <n v="0"/>
  </r>
  <r>
    <x v="10"/>
    <s v="ETH"/>
    <x v="0"/>
    <x v="3"/>
    <x v="17"/>
    <x v="1"/>
    <x v="1"/>
    <n v="1748.2"/>
  </r>
  <r>
    <x v="10"/>
    <s v="ETH"/>
    <x v="0"/>
    <x v="3"/>
    <x v="33"/>
    <x v="6"/>
    <x v="0"/>
    <n v="4297.6000000000004"/>
  </r>
  <r>
    <x v="10"/>
    <s v="ETH"/>
    <x v="0"/>
    <x v="3"/>
    <x v="33"/>
    <x v="2"/>
    <x v="2"/>
    <n v="911.88"/>
  </r>
  <r>
    <x v="10"/>
    <s v="ETH"/>
    <x v="0"/>
    <x v="3"/>
    <x v="18"/>
    <x v="6"/>
    <x v="3"/>
    <n v="0"/>
  </r>
  <r>
    <x v="10"/>
    <s v="ETH"/>
    <x v="0"/>
    <x v="3"/>
    <x v="18"/>
    <x v="4"/>
    <x v="3"/>
    <n v="0"/>
  </r>
  <r>
    <x v="10"/>
    <s v="ETH"/>
    <x v="0"/>
    <x v="3"/>
    <x v="18"/>
    <x v="5"/>
    <x v="2"/>
    <n v="414.96"/>
  </r>
  <r>
    <x v="10"/>
    <s v="ETH"/>
    <x v="0"/>
    <x v="3"/>
    <x v="19"/>
    <x v="6"/>
    <x v="0"/>
    <n v="5186.84"/>
  </r>
  <r>
    <x v="10"/>
    <s v="ETH"/>
    <x v="0"/>
    <x v="3"/>
    <x v="19"/>
    <x v="0"/>
    <x v="1"/>
    <n v="1624.76"/>
  </r>
  <r>
    <x v="10"/>
    <s v="ETH"/>
    <x v="0"/>
    <x v="3"/>
    <x v="19"/>
    <x v="1"/>
    <x v="1"/>
    <n v="1943.16"/>
  </r>
  <r>
    <x v="10"/>
    <s v="ETH"/>
    <x v="0"/>
    <x v="3"/>
    <x v="19"/>
    <x v="2"/>
    <x v="1"/>
    <n v="13765.7"/>
  </r>
  <r>
    <x v="10"/>
    <s v="ETH"/>
    <x v="0"/>
    <x v="3"/>
    <x v="19"/>
    <x v="2"/>
    <x v="2"/>
    <n v="978.26"/>
  </r>
  <r>
    <x v="10"/>
    <s v="ETH"/>
    <x v="0"/>
    <x v="3"/>
    <x v="20"/>
    <x v="0"/>
    <x v="1"/>
    <n v="1621.59"/>
  </r>
  <r>
    <x v="10"/>
    <s v="ETH"/>
    <x v="0"/>
    <x v="3"/>
    <x v="20"/>
    <x v="4"/>
    <x v="0"/>
    <n v="20949.23"/>
  </r>
  <r>
    <x v="10"/>
    <s v="ETH"/>
    <x v="0"/>
    <x v="3"/>
    <x v="20"/>
    <x v="5"/>
    <x v="1"/>
    <n v="870.33"/>
  </r>
  <r>
    <x v="10"/>
    <s v="ETH"/>
    <x v="0"/>
    <x v="3"/>
    <x v="21"/>
    <x v="2"/>
    <x v="3"/>
    <n v="0"/>
  </r>
  <r>
    <x v="10"/>
    <s v="ETH"/>
    <x v="0"/>
    <x v="3"/>
    <x v="22"/>
    <x v="3"/>
    <x v="3"/>
    <n v="739.61"/>
  </r>
  <r>
    <x v="10"/>
    <s v="ETH"/>
    <x v="0"/>
    <x v="3"/>
    <x v="22"/>
    <x v="5"/>
    <x v="0"/>
    <n v="41443.879999999997"/>
  </r>
  <r>
    <x v="10"/>
    <s v="ETH"/>
    <x v="0"/>
    <x v="3"/>
    <x v="22"/>
    <x v="5"/>
    <x v="2"/>
    <n v="372.6"/>
  </r>
  <r>
    <x v="10"/>
    <s v="ETH"/>
    <x v="0"/>
    <x v="3"/>
    <x v="22"/>
    <x v="2"/>
    <x v="3"/>
    <n v="0"/>
  </r>
  <r>
    <x v="10"/>
    <s v="ETH"/>
    <x v="0"/>
    <x v="3"/>
    <x v="23"/>
    <x v="6"/>
    <x v="0"/>
    <n v="5029.13"/>
  </r>
  <r>
    <x v="10"/>
    <s v="ETH"/>
    <x v="0"/>
    <x v="3"/>
    <x v="23"/>
    <x v="0"/>
    <x v="1"/>
    <n v="1568.71"/>
  </r>
  <r>
    <x v="10"/>
    <s v="ETH"/>
    <x v="0"/>
    <x v="3"/>
    <x v="23"/>
    <x v="0"/>
    <x v="3"/>
    <n v="0"/>
  </r>
  <r>
    <x v="10"/>
    <s v="ETH"/>
    <x v="0"/>
    <x v="3"/>
    <x v="23"/>
    <x v="3"/>
    <x v="2"/>
    <n v="851.24"/>
  </r>
  <r>
    <x v="10"/>
    <s v="ETH"/>
    <x v="0"/>
    <x v="3"/>
    <x v="23"/>
    <x v="4"/>
    <x v="1"/>
    <n v="184.91"/>
  </r>
  <r>
    <x v="10"/>
    <s v="ETH"/>
    <x v="0"/>
    <x v="3"/>
    <x v="23"/>
    <x v="1"/>
    <x v="1"/>
    <n v="1911.43"/>
  </r>
  <r>
    <x v="10"/>
    <s v="ETH"/>
    <x v="0"/>
    <x v="3"/>
    <x v="24"/>
    <x v="6"/>
    <x v="1"/>
    <n v="34874.51"/>
  </r>
  <r>
    <x v="10"/>
    <s v="ETH"/>
    <x v="0"/>
    <x v="3"/>
    <x v="24"/>
    <x v="3"/>
    <x v="0"/>
    <n v="10652.2"/>
  </r>
  <r>
    <x v="10"/>
    <s v="ETH"/>
    <x v="0"/>
    <x v="3"/>
    <x v="24"/>
    <x v="2"/>
    <x v="1"/>
    <n v="13797.41"/>
  </r>
  <r>
    <x v="10"/>
    <s v="ETH"/>
    <x v="0"/>
    <x v="3"/>
    <x v="25"/>
    <x v="6"/>
    <x v="0"/>
    <n v="4726.8500000000004"/>
  </r>
  <r>
    <x v="10"/>
    <s v="ETH"/>
    <x v="0"/>
    <x v="3"/>
    <x v="25"/>
    <x v="0"/>
    <x v="1"/>
    <n v="1409.15"/>
  </r>
  <r>
    <x v="10"/>
    <s v="ETH"/>
    <x v="0"/>
    <x v="3"/>
    <x v="25"/>
    <x v="4"/>
    <x v="1"/>
    <n v="192.87"/>
  </r>
  <r>
    <x v="10"/>
    <s v="ETH"/>
    <x v="0"/>
    <x v="3"/>
    <x v="25"/>
    <x v="1"/>
    <x v="3"/>
    <n v="0"/>
  </r>
  <r>
    <x v="10"/>
    <s v="ETH"/>
    <x v="0"/>
    <x v="3"/>
    <x v="25"/>
    <x v="5"/>
    <x v="3"/>
    <n v="0"/>
  </r>
  <r>
    <x v="10"/>
    <s v="ETH"/>
    <x v="0"/>
    <x v="3"/>
    <x v="26"/>
    <x v="6"/>
    <x v="2"/>
    <n v="10650.52"/>
  </r>
  <r>
    <x v="10"/>
    <s v="ETH"/>
    <x v="0"/>
    <x v="3"/>
    <x v="26"/>
    <x v="0"/>
    <x v="0"/>
    <n v="20232.86"/>
  </r>
  <r>
    <x v="10"/>
    <s v="ETH"/>
    <x v="0"/>
    <x v="3"/>
    <x v="26"/>
    <x v="5"/>
    <x v="3"/>
    <n v="0"/>
  </r>
  <r>
    <x v="10"/>
    <s v="ETH"/>
    <x v="0"/>
    <x v="3"/>
    <x v="26"/>
    <x v="5"/>
    <x v="2"/>
    <n v="414.11"/>
  </r>
  <r>
    <x v="10"/>
    <s v="ETH"/>
    <x v="0"/>
    <x v="3"/>
    <x v="26"/>
    <x v="2"/>
    <x v="2"/>
    <n v="1032.3399999999999"/>
  </r>
  <r>
    <x v="10"/>
    <s v="ETH"/>
    <x v="0"/>
    <x v="3"/>
    <x v="34"/>
    <x v="0"/>
    <x v="1"/>
    <n v="1522.32"/>
  </r>
  <r>
    <x v="10"/>
    <s v="ETH"/>
    <x v="0"/>
    <x v="3"/>
    <x v="34"/>
    <x v="4"/>
    <x v="0"/>
    <n v="20012.150000000001"/>
  </r>
  <r>
    <x v="10"/>
    <s v="ETH"/>
    <x v="0"/>
    <x v="3"/>
    <x v="34"/>
    <x v="1"/>
    <x v="1"/>
    <n v="1726.24"/>
  </r>
  <r>
    <x v="10"/>
    <s v="ETH"/>
    <x v="0"/>
    <x v="3"/>
    <x v="27"/>
    <x v="6"/>
    <x v="1"/>
    <n v="36707.300000000003"/>
  </r>
  <r>
    <x v="10"/>
    <s v="ETH"/>
    <x v="0"/>
    <x v="3"/>
    <x v="27"/>
    <x v="6"/>
    <x v="3"/>
    <n v="0"/>
  </r>
  <r>
    <x v="10"/>
    <s v="ETH"/>
    <x v="0"/>
    <x v="3"/>
    <x v="27"/>
    <x v="1"/>
    <x v="0"/>
    <n v="63438.93"/>
  </r>
  <r>
    <x v="10"/>
    <s v="ETH"/>
    <x v="0"/>
    <x v="3"/>
    <x v="27"/>
    <x v="1"/>
    <x v="2"/>
    <n v="1232.7"/>
  </r>
  <r>
    <x v="10"/>
    <s v="ETH"/>
    <x v="0"/>
    <x v="3"/>
    <x v="27"/>
    <x v="5"/>
    <x v="0"/>
    <n v="39506.74"/>
  </r>
  <r>
    <x v="10"/>
    <s v="ETH"/>
    <x v="0"/>
    <x v="3"/>
    <x v="27"/>
    <x v="5"/>
    <x v="3"/>
    <n v="0"/>
  </r>
  <r>
    <x v="10"/>
    <s v="ETH"/>
    <x v="0"/>
    <x v="3"/>
    <x v="29"/>
    <x v="0"/>
    <x v="0"/>
    <n v="22332.81"/>
  </r>
  <r>
    <x v="10"/>
    <s v="ETH"/>
    <x v="0"/>
    <x v="3"/>
    <x v="29"/>
    <x v="3"/>
    <x v="0"/>
    <n v="13786.2"/>
  </r>
  <r>
    <x v="10"/>
    <s v="ETH"/>
    <x v="0"/>
    <x v="3"/>
    <x v="29"/>
    <x v="5"/>
    <x v="0"/>
    <n v="47041.29"/>
  </r>
  <r>
    <x v="10"/>
    <s v="ETH"/>
    <x v="0"/>
    <x v="3"/>
    <x v="30"/>
    <x v="4"/>
    <x v="2"/>
    <n v="200"/>
  </r>
  <r>
    <x v="10"/>
    <s v="ETH"/>
    <x v="0"/>
    <x v="3"/>
    <x v="32"/>
    <x v="0"/>
    <x v="2"/>
    <n v="666.77"/>
  </r>
  <r>
    <x v="10"/>
    <s v="ETH"/>
    <x v="0"/>
    <x v="3"/>
    <x v="32"/>
    <x v="3"/>
    <x v="2"/>
    <n v="863.73"/>
  </r>
  <r>
    <x v="11"/>
    <s v="FRA"/>
    <x v="4"/>
    <x v="1"/>
    <x v="0"/>
    <x v="3"/>
    <x v="0"/>
    <n v="479423.91"/>
  </r>
  <r>
    <x v="11"/>
    <s v="FRA"/>
    <x v="4"/>
    <x v="1"/>
    <x v="0"/>
    <x v="1"/>
    <x v="1"/>
    <n v="23175.4"/>
  </r>
  <r>
    <x v="11"/>
    <s v="FRA"/>
    <x v="4"/>
    <x v="1"/>
    <x v="0"/>
    <x v="5"/>
    <x v="1"/>
    <n v="4651.42"/>
  </r>
  <r>
    <x v="11"/>
    <s v="FRA"/>
    <x v="4"/>
    <x v="1"/>
    <x v="0"/>
    <x v="5"/>
    <x v="0"/>
    <n v="256121.14"/>
  </r>
  <r>
    <x v="11"/>
    <s v="FRA"/>
    <x v="4"/>
    <x v="1"/>
    <x v="0"/>
    <x v="2"/>
    <x v="3"/>
    <n v="0"/>
  </r>
  <r>
    <x v="11"/>
    <s v="FRA"/>
    <x v="4"/>
    <x v="1"/>
    <x v="1"/>
    <x v="3"/>
    <x v="2"/>
    <n v="25155.8"/>
  </r>
  <r>
    <x v="11"/>
    <s v="FRA"/>
    <x v="4"/>
    <x v="1"/>
    <x v="1"/>
    <x v="4"/>
    <x v="3"/>
    <n v="0"/>
  </r>
  <r>
    <x v="11"/>
    <s v="FRA"/>
    <x v="4"/>
    <x v="1"/>
    <x v="2"/>
    <x v="0"/>
    <x v="2"/>
    <n v="911.92"/>
  </r>
  <r>
    <x v="11"/>
    <s v="FRA"/>
    <x v="4"/>
    <x v="1"/>
    <x v="2"/>
    <x v="4"/>
    <x v="3"/>
    <n v="0"/>
  </r>
  <r>
    <x v="11"/>
    <s v="FRA"/>
    <x v="4"/>
    <x v="1"/>
    <x v="3"/>
    <x v="6"/>
    <x v="1"/>
    <n v="42554.14"/>
  </r>
  <r>
    <x v="11"/>
    <s v="FRA"/>
    <x v="4"/>
    <x v="1"/>
    <x v="3"/>
    <x v="6"/>
    <x v="3"/>
    <n v="0"/>
  </r>
  <r>
    <x v="11"/>
    <s v="FRA"/>
    <x v="4"/>
    <x v="1"/>
    <x v="3"/>
    <x v="6"/>
    <x v="2"/>
    <n v="13299.29"/>
  </r>
  <r>
    <x v="11"/>
    <s v="FRA"/>
    <x v="4"/>
    <x v="1"/>
    <x v="3"/>
    <x v="0"/>
    <x v="3"/>
    <n v="0"/>
  </r>
  <r>
    <x v="11"/>
    <s v="FRA"/>
    <x v="4"/>
    <x v="1"/>
    <x v="3"/>
    <x v="3"/>
    <x v="3"/>
    <n v="28413.65"/>
  </r>
  <r>
    <x v="11"/>
    <s v="FRA"/>
    <x v="4"/>
    <x v="1"/>
    <x v="3"/>
    <x v="4"/>
    <x v="3"/>
    <n v="0"/>
  </r>
  <r>
    <x v="11"/>
    <s v="FRA"/>
    <x v="4"/>
    <x v="1"/>
    <x v="3"/>
    <x v="5"/>
    <x v="1"/>
    <n v="4654.79"/>
  </r>
  <r>
    <x v="11"/>
    <s v="FRA"/>
    <x v="4"/>
    <x v="1"/>
    <x v="4"/>
    <x v="1"/>
    <x v="0"/>
    <n v="739749.85"/>
  </r>
  <r>
    <x v="11"/>
    <s v="FRA"/>
    <x v="4"/>
    <x v="1"/>
    <x v="4"/>
    <x v="5"/>
    <x v="3"/>
    <n v="0"/>
  </r>
  <r>
    <x v="11"/>
    <s v="FRA"/>
    <x v="4"/>
    <x v="1"/>
    <x v="5"/>
    <x v="4"/>
    <x v="1"/>
    <n v="684.92"/>
  </r>
  <r>
    <x v="11"/>
    <s v="FRA"/>
    <x v="4"/>
    <x v="1"/>
    <x v="5"/>
    <x v="2"/>
    <x v="1"/>
    <n v="65125.5"/>
  </r>
  <r>
    <x v="11"/>
    <s v="FRA"/>
    <x v="4"/>
    <x v="1"/>
    <x v="6"/>
    <x v="1"/>
    <x v="0"/>
    <n v="675901.77"/>
  </r>
  <r>
    <x v="11"/>
    <s v="FRA"/>
    <x v="4"/>
    <x v="1"/>
    <x v="6"/>
    <x v="1"/>
    <x v="2"/>
    <n v="14366.01"/>
  </r>
  <r>
    <x v="11"/>
    <s v="FRA"/>
    <x v="4"/>
    <x v="1"/>
    <x v="6"/>
    <x v="5"/>
    <x v="1"/>
    <n v="4581.43"/>
  </r>
  <r>
    <x v="11"/>
    <s v="FRA"/>
    <x v="4"/>
    <x v="1"/>
    <x v="6"/>
    <x v="5"/>
    <x v="0"/>
    <n v="235497.82"/>
  </r>
  <r>
    <x v="11"/>
    <s v="FRA"/>
    <x v="4"/>
    <x v="1"/>
    <x v="7"/>
    <x v="0"/>
    <x v="3"/>
    <n v="0"/>
  </r>
  <r>
    <x v="11"/>
    <s v="FRA"/>
    <x v="4"/>
    <x v="1"/>
    <x v="7"/>
    <x v="3"/>
    <x v="0"/>
    <n v="499716.99"/>
  </r>
  <r>
    <x v="11"/>
    <s v="FRA"/>
    <x v="4"/>
    <x v="1"/>
    <x v="7"/>
    <x v="1"/>
    <x v="0"/>
    <n v="713691.36"/>
  </r>
  <r>
    <x v="11"/>
    <s v="FRA"/>
    <x v="4"/>
    <x v="1"/>
    <x v="8"/>
    <x v="6"/>
    <x v="3"/>
    <n v="0"/>
  </r>
  <r>
    <x v="11"/>
    <s v="FRA"/>
    <x v="4"/>
    <x v="1"/>
    <x v="8"/>
    <x v="4"/>
    <x v="0"/>
    <n v="64701.73"/>
  </r>
  <r>
    <x v="11"/>
    <s v="FRA"/>
    <x v="4"/>
    <x v="1"/>
    <x v="8"/>
    <x v="1"/>
    <x v="0"/>
    <n v="633664.31999999995"/>
  </r>
  <r>
    <x v="11"/>
    <s v="FRA"/>
    <x v="4"/>
    <x v="1"/>
    <x v="9"/>
    <x v="1"/>
    <x v="2"/>
    <n v="17036.080000000002"/>
  </r>
  <r>
    <x v="11"/>
    <s v="FRA"/>
    <x v="4"/>
    <x v="1"/>
    <x v="10"/>
    <x v="2"/>
    <x v="3"/>
    <n v="0"/>
  </r>
  <r>
    <x v="11"/>
    <s v="FRA"/>
    <x v="4"/>
    <x v="1"/>
    <x v="11"/>
    <x v="0"/>
    <x v="1"/>
    <n v="2204.1799999999998"/>
  </r>
  <r>
    <x v="11"/>
    <s v="FRA"/>
    <x v="4"/>
    <x v="1"/>
    <x v="11"/>
    <x v="3"/>
    <x v="0"/>
    <n v="515127.9"/>
  </r>
  <r>
    <x v="11"/>
    <s v="FRA"/>
    <x v="4"/>
    <x v="1"/>
    <x v="11"/>
    <x v="3"/>
    <x v="3"/>
    <n v="28849.08"/>
  </r>
  <r>
    <x v="11"/>
    <s v="FRA"/>
    <x v="4"/>
    <x v="1"/>
    <x v="12"/>
    <x v="6"/>
    <x v="1"/>
    <n v="42533.11"/>
  </r>
  <r>
    <x v="11"/>
    <s v="FRA"/>
    <x v="4"/>
    <x v="1"/>
    <x v="13"/>
    <x v="3"/>
    <x v="0"/>
    <n v="474535.63"/>
  </r>
  <r>
    <x v="11"/>
    <s v="FRA"/>
    <x v="4"/>
    <x v="1"/>
    <x v="13"/>
    <x v="4"/>
    <x v="3"/>
    <n v="0"/>
  </r>
  <r>
    <x v="11"/>
    <s v="FRA"/>
    <x v="4"/>
    <x v="1"/>
    <x v="15"/>
    <x v="0"/>
    <x v="1"/>
    <n v="2204.4699999999998"/>
  </r>
  <r>
    <x v="11"/>
    <s v="FRA"/>
    <x v="4"/>
    <x v="1"/>
    <x v="15"/>
    <x v="3"/>
    <x v="1"/>
    <n v="30570.91"/>
  </r>
  <r>
    <x v="11"/>
    <s v="FRA"/>
    <x v="4"/>
    <x v="1"/>
    <x v="15"/>
    <x v="4"/>
    <x v="0"/>
    <n v="68580.7"/>
  </r>
  <r>
    <x v="11"/>
    <s v="FRA"/>
    <x v="4"/>
    <x v="1"/>
    <x v="15"/>
    <x v="1"/>
    <x v="1"/>
    <n v="22170.94"/>
  </r>
  <r>
    <x v="11"/>
    <s v="FRA"/>
    <x v="4"/>
    <x v="1"/>
    <x v="16"/>
    <x v="3"/>
    <x v="2"/>
    <n v="34670.17"/>
  </r>
  <r>
    <x v="11"/>
    <s v="FRA"/>
    <x v="4"/>
    <x v="1"/>
    <x v="16"/>
    <x v="4"/>
    <x v="3"/>
    <n v="0"/>
  </r>
  <r>
    <x v="11"/>
    <s v="FRA"/>
    <x v="4"/>
    <x v="1"/>
    <x v="16"/>
    <x v="2"/>
    <x v="0"/>
    <n v="14092.34"/>
  </r>
  <r>
    <x v="11"/>
    <s v="FRA"/>
    <x v="4"/>
    <x v="1"/>
    <x v="16"/>
    <x v="2"/>
    <x v="3"/>
    <n v="0"/>
  </r>
  <r>
    <x v="11"/>
    <s v="FRA"/>
    <x v="4"/>
    <x v="1"/>
    <x v="17"/>
    <x v="0"/>
    <x v="1"/>
    <n v="2311.4499999999998"/>
  </r>
  <r>
    <x v="11"/>
    <s v="FRA"/>
    <x v="4"/>
    <x v="1"/>
    <x v="17"/>
    <x v="0"/>
    <x v="0"/>
    <n v="30855.99"/>
  </r>
  <r>
    <x v="11"/>
    <s v="FRA"/>
    <x v="4"/>
    <x v="1"/>
    <x v="17"/>
    <x v="0"/>
    <x v="3"/>
    <n v="0"/>
  </r>
  <r>
    <x v="11"/>
    <s v="FRA"/>
    <x v="4"/>
    <x v="1"/>
    <x v="33"/>
    <x v="6"/>
    <x v="1"/>
    <n v="51904.52"/>
  </r>
  <r>
    <x v="11"/>
    <s v="FRA"/>
    <x v="4"/>
    <x v="1"/>
    <x v="33"/>
    <x v="6"/>
    <x v="3"/>
    <n v="0"/>
  </r>
  <r>
    <x v="11"/>
    <s v="FRA"/>
    <x v="4"/>
    <x v="1"/>
    <x v="33"/>
    <x v="3"/>
    <x v="1"/>
    <n v="33869.64"/>
  </r>
  <r>
    <x v="11"/>
    <s v="FRA"/>
    <x v="4"/>
    <x v="1"/>
    <x v="33"/>
    <x v="3"/>
    <x v="2"/>
    <n v="33041.35"/>
  </r>
  <r>
    <x v="11"/>
    <s v="FRA"/>
    <x v="4"/>
    <x v="1"/>
    <x v="33"/>
    <x v="4"/>
    <x v="1"/>
    <n v="761.22"/>
  </r>
  <r>
    <x v="11"/>
    <s v="FRA"/>
    <x v="4"/>
    <x v="1"/>
    <x v="33"/>
    <x v="5"/>
    <x v="0"/>
    <n v="258685.07"/>
  </r>
  <r>
    <x v="11"/>
    <s v="FRA"/>
    <x v="4"/>
    <x v="1"/>
    <x v="33"/>
    <x v="2"/>
    <x v="1"/>
    <n v="72380.960000000006"/>
  </r>
  <r>
    <x v="11"/>
    <s v="FRA"/>
    <x v="4"/>
    <x v="1"/>
    <x v="33"/>
    <x v="2"/>
    <x v="0"/>
    <n v="14604.25"/>
  </r>
  <r>
    <x v="11"/>
    <s v="FRA"/>
    <x v="4"/>
    <x v="1"/>
    <x v="18"/>
    <x v="0"/>
    <x v="1"/>
    <n v="2145.96"/>
  </r>
  <r>
    <x v="11"/>
    <s v="FRA"/>
    <x v="4"/>
    <x v="1"/>
    <x v="18"/>
    <x v="1"/>
    <x v="1"/>
    <n v="20327.71"/>
  </r>
  <r>
    <x v="11"/>
    <s v="FRA"/>
    <x v="4"/>
    <x v="1"/>
    <x v="18"/>
    <x v="1"/>
    <x v="0"/>
    <n v="691206.77"/>
  </r>
  <r>
    <x v="11"/>
    <s v="FRA"/>
    <x v="4"/>
    <x v="1"/>
    <x v="18"/>
    <x v="5"/>
    <x v="0"/>
    <n v="250375.3"/>
  </r>
  <r>
    <x v="11"/>
    <s v="FRA"/>
    <x v="4"/>
    <x v="1"/>
    <x v="18"/>
    <x v="5"/>
    <x v="2"/>
    <n v="2534.9899999999998"/>
  </r>
  <r>
    <x v="11"/>
    <s v="FRA"/>
    <x v="4"/>
    <x v="1"/>
    <x v="19"/>
    <x v="0"/>
    <x v="0"/>
    <n v="28071.4"/>
  </r>
  <r>
    <x v="11"/>
    <s v="FRA"/>
    <x v="4"/>
    <x v="1"/>
    <x v="19"/>
    <x v="0"/>
    <x v="3"/>
    <n v="0"/>
  </r>
  <r>
    <x v="11"/>
    <s v="FRA"/>
    <x v="4"/>
    <x v="1"/>
    <x v="19"/>
    <x v="2"/>
    <x v="2"/>
    <n v="4190.7"/>
  </r>
  <r>
    <x v="11"/>
    <s v="FRA"/>
    <x v="4"/>
    <x v="1"/>
    <x v="20"/>
    <x v="6"/>
    <x v="1"/>
    <n v="54915.74"/>
  </r>
  <r>
    <x v="11"/>
    <s v="FRA"/>
    <x v="4"/>
    <x v="1"/>
    <x v="20"/>
    <x v="6"/>
    <x v="0"/>
    <n v="7274.5"/>
  </r>
  <r>
    <x v="11"/>
    <s v="FRA"/>
    <x v="4"/>
    <x v="1"/>
    <x v="20"/>
    <x v="5"/>
    <x v="3"/>
    <n v="0"/>
  </r>
  <r>
    <x v="11"/>
    <s v="FRA"/>
    <x v="4"/>
    <x v="1"/>
    <x v="21"/>
    <x v="6"/>
    <x v="0"/>
    <n v="7218.54"/>
  </r>
  <r>
    <x v="11"/>
    <s v="FRA"/>
    <x v="4"/>
    <x v="1"/>
    <x v="21"/>
    <x v="4"/>
    <x v="3"/>
    <n v="0"/>
  </r>
  <r>
    <x v="11"/>
    <s v="FRA"/>
    <x v="4"/>
    <x v="1"/>
    <x v="22"/>
    <x v="0"/>
    <x v="3"/>
    <n v="0"/>
  </r>
  <r>
    <x v="11"/>
    <s v="FRA"/>
    <x v="4"/>
    <x v="1"/>
    <x v="22"/>
    <x v="4"/>
    <x v="3"/>
    <n v="0"/>
  </r>
  <r>
    <x v="11"/>
    <s v="FRA"/>
    <x v="4"/>
    <x v="1"/>
    <x v="22"/>
    <x v="5"/>
    <x v="2"/>
    <n v="2399.8200000000002"/>
  </r>
  <r>
    <x v="11"/>
    <s v="FRA"/>
    <x v="4"/>
    <x v="1"/>
    <x v="23"/>
    <x v="4"/>
    <x v="0"/>
    <n v="76319.69"/>
  </r>
  <r>
    <x v="11"/>
    <s v="FRA"/>
    <x v="4"/>
    <x v="1"/>
    <x v="23"/>
    <x v="1"/>
    <x v="2"/>
    <n v="14670.45"/>
  </r>
  <r>
    <x v="11"/>
    <s v="FRA"/>
    <x v="4"/>
    <x v="1"/>
    <x v="24"/>
    <x v="6"/>
    <x v="0"/>
    <n v="6416.79"/>
  </r>
  <r>
    <x v="11"/>
    <s v="FRA"/>
    <x v="4"/>
    <x v="1"/>
    <x v="24"/>
    <x v="0"/>
    <x v="1"/>
    <n v="2347.62"/>
  </r>
  <r>
    <x v="11"/>
    <s v="FRA"/>
    <x v="4"/>
    <x v="1"/>
    <x v="24"/>
    <x v="5"/>
    <x v="0"/>
    <n v="233796.38"/>
  </r>
  <r>
    <x v="11"/>
    <s v="FRA"/>
    <x v="4"/>
    <x v="1"/>
    <x v="24"/>
    <x v="2"/>
    <x v="3"/>
    <n v="0"/>
  </r>
  <r>
    <x v="11"/>
    <s v="FRA"/>
    <x v="4"/>
    <x v="1"/>
    <x v="25"/>
    <x v="0"/>
    <x v="2"/>
    <n v="996.4"/>
  </r>
  <r>
    <x v="11"/>
    <s v="FRA"/>
    <x v="4"/>
    <x v="1"/>
    <x v="25"/>
    <x v="3"/>
    <x v="0"/>
    <n v="463230.39"/>
  </r>
  <r>
    <x v="11"/>
    <s v="FRA"/>
    <x v="4"/>
    <x v="1"/>
    <x v="25"/>
    <x v="4"/>
    <x v="2"/>
    <n v="661.69"/>
  </r>
  <r>
    <x v="11"/>
    <s v="FRA"/>
    <x v="4"/>
    <x v="1"/>
    <x v="26"/>
    <x v="3"/>
    <x v="0"/>
    <n v="510996.5"/>
  </r>
  <r>
    <x v="11"/>
    <s v="FRA"/>
    <x v="4"/>
    <x v="1"/>
    <x v="26"/>
    <x v="4"/>
    <x v="2"/>
    <n v="700.61"/>
  </r>
  <r>
    <x v="11"/>
    <s v="FRA"/>
    <x v="4"/>
    <x v="1"/>
    <x v="26"/>
    <x v="2"/>
    <x v="1"/>
    <n v="68229.259999999995"/>
  </r>
  <r>
    <x v="11"/>
    <s v="FRA"/>
    <x v="4"/>
    <x v="1"/>
    <x v="34"/>
    <x v="0"/>
    <x v="3"/>
    <n v="0"/>
  </r>
  <r>
    <x v="11"/>
    <s v="FRA"/>
    <x v="4"/>
    <x v="1"/>
    <x v="34"/>
    <x v="3"/>
    <x v="2"/>
    <n v="27172.16"/>
  </r>
  <r>
    <x v="11"/>
    <s v="FRA"/>
    <x v="4"/>
    <x v="1"/>
    <x v="34"/>
    <x v="4"/>
    <x v="3"/>
    <n v="0"/>
  </r>
  <r>
    <x v="11"/>
    <s v="FRA"/>
    <x v="4"/>
    <x v="1"/>
    <x v="34"/>
    <x v="4"/>
    <x v="2"/>
    <n v="642.4"/>
  </r>
  <r>
    <x v="11"/>
    <s v="FRA"/>
    <x v="4"/>
    <x v="1"/>
    <x v="27"/>
    <x v="0"/>
    <x v="2"/>
    <n v="955.96"/>
  </r>
  <r>
    <x v="11"/>
    <s v="FRA"/>
    <x v="4"/>
    <x v="1"/>
    <x v="27"/>
    <x v="5"/>
    <x v="2"/>
    <n v="2251.6799999999998"/>
  </r>
  <r>
    <x v="11"/>
    <s v="FRA"/>
    <x v="4"/>
    <x v="1"/>
    <x v="27"/>
    <x v="2"/>
    <x v="2"/>
    <n v="4056.04"/>
  </r>
  <r>
    <x v="11"/>
    <s v="FRA"/>
    <x v="4"/>
    <x v="1"/>
    <x v="28"/>
    <x v="3"/>
    <x v="1"/>
    <n v="29620.82"/>
  </r>
  <r>
    <x v="11"/>
    <s v="FRA"/>
    <x v="4"/>
    <x v="1"/>
    <x v="28"/>
    <x v="3"/>
    <x v="3"/>
    <n v="31400.74"/>
  </r>
  <r>
    <x v="11"/>
    <s v="FRA"/>
    <x v="4"/>
    <x v="1"/>
    <x v="29"/>
    <x v="4"/>
    <x v="2"/>
    <n v="719.17"/>
  </r>
  <r>
    <x v="11"/>
    <s v="FRA"/>
    <x v="4"/>
    <x v="1"/>
    <x v="29"/>
    <x v="1"/>
    <x v="1"/>
    <n v="23278.7"/>
  </r>
  <r>
    <x v="11"/>
    <s v="FRA"/>
    <x v="4"/>
    <x v="1"/>
    <x v="29"/>
    <x v="1"/>
    <x v="2"/>
    <n v="14312.11"/>
  </r>
  <r>
    <x v="11"/>
    <s v="FRA"/>
    <x v="4"/>
    <x v="1"/>
    <x v="29"/>
    <x v="5"/>
    <x v="3"/>
    <n v="0"/>
  </r>
  <r>
    <x v="11"/>
    <s v="FRA"/>
    <x v="4"/>
    <x v="1"/>
    <x v="30"/>
    <x v="0"/>
    <x v="1"/>
    <n v="2037.51"/>
  </r>
  <r>
    <x v="11"/>
    <s v="FRA"/>
    <x v="4"/>
    <x v="1"/>
    <x v="30"/>
    <x v="3"/>
    <x v="1"/>
    <n v="26965.73"/>
  </r>
  <r>
    <x v="11"/>
    <s v="FRA"/>
    <x v="4"/>
    <x v="1"/>
    <x v="30"/>
    <x v="4"/>
    <x v="1"/>
    <n v="582.94000000000005"/>
  </r>
  <r>
    <x v="11"/>
    <s v="FRA"/>
    <x v="4"/>
    <x v="1"/>
    <x v="30"/>
    <x v="2"/>
    <x v="0"/>
    <n v="11105.87"/>
  </r>
  <r>
    <x v="11"/>
    <s v="FRA"/>
    <x v="4"/>
    <x v="1"/>
    <x v="31"/>
    <x v="6"/>
    <x v="0"/>
    <n v="6603.72"/>
  </r>
  <r>
    <x v="11"/>
    <s v="FRA"/>
    <x v="4"/>
    <x v="1"/>
    <x v="31"/>
    <x v="0"/>
    <x v="3"/>
    <n v="0"/>
  </r>
  <r>
    <x v="11"/>
    <s v="FRA"/>
    <x v="4"/>
    <x v="1"/>
    <x v="31"/>
    <x v="2"/>
    <x v="3"/>
    <n v="0"/>
  </r>
  <r>
    <x v="11"/>
    <s v="FRA"/>
    <x v="4"/>
    <x v="1"/>
    <x v="32"/>
    <x v="0"/>
    <x v="3"/>
    <n v="0"/>
  </r>
  <r>
    <x v="12"/>
    <s v="DEU"/>
    <x v="4"/>
    <x v="1"/>
    <x v="0"/>
    <x v="0"/>
    <x v="3"/>
    <n v="0"/>
  </r>
  <r>
    <x v="12"/>
    <s v="DEU"/>
    <x v="4"/>
    <x v="1"/>
    <x v="0"/>
    <x v="3"/>
    <x v="3"/>
    <n v="14202.18"/>
  </r>
  <r>
    <x v="12"/>
    <s v="DEU"/>
    <x v="4"/>
    <x v="1"/>
    <x v="0"/>
    <x v="1"/>
    <x v="1"/>
    <n v="10133.11"/>
  </r>
  <r>
    <x v="12"/>
    <s v="DEU"/>
    <x v="4"/>
    <x v="1"/>
    <x v="1"/>
    <x v="0"/>
    <x v="2"/>
    <n v="2159.85"/>
  </r>
  <r>
    <x v="12"/>
    <s v="DEU"/>
    <x v="4"/>
    <x v="1"/>
    <x v="1"/>
    <x v="2"/>
    <x v="3"/>
    <n v="0"/>
  </r>
  <r>
    <x v="12"/>
    <s v="DEU"/>
    <x v="4"/>
    <x v="1"/>
    <x v="2"/>
    <x v="6"/>
    <x v="0"/>
    <n v="9977.15"/>
  </r>
  <r>
    <x v="12"/>
    <s v="DEU"/>
    <x v="4"/>
    <x v="1"/>
    <x v="2"/>
    <x v="3"/>
    <x v="3"/>
    <n v="12796.43"/>
  </r>
  <r>
    <x v="12"/>
    <s v="DEU"/>
    <x v="4"/>
    <x v="1"/>
    <x v="2"/>
    <x v="2"/>
    <x v="2"/>
    <n v="4316.82"/>
  </r>
  <r>
    <x v="12"/>
    <s v="DEU"/>
    <x v="4"/>
    <x v="1"/>
    <x v="3"/>
    <x v="3"/>
    <x v="1"/>
    <n v="14802.74"/>
  </r>
  <r>
    <x v="12"/>
    <s v="DEU"/>
    <x v="4"/>
    <x v="1"/>
    <x v="3"/>
    <x v="4"/>
    <x v="3"/>
    <n v="0"/>
  </r>
  <r>
    <x v="12"/>
    <s v="DEU"/>
    <x v="4"/>
    <x v="1"/>
    <x v="4"/>
    <x v="3"/>
    <x v="0"/>
    <n v="239170.79"/>
  </r>
  <r>
    <x v="12"/>
    <s v="DEU"/>
    <x v="4"/>
    <x v="1"/>
    <x v="4"/>
    <x v="1"/>
    <x v="1"/>
    <n v="9774.2199999999993"/>
  </r>
  <r>
    <x v="12"/>
    <s v="DEU"/>
    <x v="4"/>
    <x v="1"/>
    <x v="5"/>
    <x v="6"/>
    <x v="0"/>
    <n v="10002.1"/>
  </r>
  <r>
    <x v="12"/>
    <s v="DEU"/>
    <x v="4"/>
    <x v="1"/>
    <x v="5"/>
    <x v="5"/>
    <x v="3"/>
    <n v="0"/>
  </r>
  <r>
    <x v="12"/>
    <s v="DEU"/>
    <x v="4"/>
    <x v="1"/>
    <x v="5"/>
    <x v="2"/>
    <x v="1"/>
    <n v="71516.27"/>
  </r>
  <r>
    <x v="12"/>
    <s v="DEU"/>
    <x v="4"/>
    <x v="1"/>
    <x v="6"/>
    <x v="5"/>
    <x v="3"/>
    <n v="0"/>
  </r>
  <r>
    <x v="12"/>
    <s v="DEU"/>
    <x v="4"/>
    <x v="1"/>
    <x v="6"/>
    <x v="2"/>
    <x v="1"/>
    <n v="70163.5"/>
  </r>
  <r>
    <x v="12"/>
    <s v="DEU"/>
    <x v="4"/>
    <x v="1"/>
    <x v="7"/>
    <x v="0"/>
    <x v="0"/>
    <n v="69482.080000000002"/>
  </r>
  <r>
    <x v="12"/>
    <s v="DEU"/>
    <x v="4"/>
    <x v="1"/>
    <x v="7"/>
    <x v="1"/>
    <x v="3"/>
    <n v="0"/>
  </r>
  <r>
    <x v="12"/>
    <s v="DEU"/>
    <x v="4"/>
    <x v="1"/>
    <x v="8"/>
    <x v="3"/>
    <x v="3"/>
    <n v="15403.27"/>
  </r>
  <r>
    <x v="12"/>
    <s v="DEU"/>
    <x v="4"/>
    <x v="1"/>
    <x v="8"/>
    <x v="1"/>
    <x v="0"/>
    <n v="326749.38"/>
  </r>
  <r>
    <x v="12"/>
    <s v="DEU"/>
    <x v="4"/>
    <x v="1"/>
    <x v="8"/>
    <x v="1"/>
    <x v="3"/>
    <n v="0"/>
  </r>
  <r>
    <x v="12"/>
    <s v="DEU"/>
    <x v="4"/>
    <x v="1"/>
    <x v="9"/>
    <x v="4"/>
    <x v="1"/>
    <n v="-341.4"/>
  </r>
  <r>
    <x v="12"/>
    <s v="DEU"/>
    <x v="4"/>
    <x v="1"/>
    <x v="9"/>
    <x v="2"/>
    <x v="0"/>
    <n v="12527.79"/>
  </r>
  <r>
    <x v="12"/>
    <s v="DEU"/>
    <x v="4"/>
    <x v="1"/>
    <x v="10"/>
    <x v="3"/>
    <x v="2"/>
    <n v="14179.36"/>
  </r>
  <r>
    <x v="12"/>
    <s v="DEU"/>
    <x v="4"/>
    <x v="1"/>
    <x v="10"/>
    <x v="4"/>
    <x v="3"/>
    <n v="0"/>
  </r>
  <r>
    <x v="12"/>
    <s v="DEU"/>
    <x v="4"/>
    <x v="1"/>
    <x v="11"/>
    <x v="0"/>
    <x v="1"/>
    <n v="5726.69"/>
  </r>
  <r>
    <x v="12"/>
    <s v="DEU"/>
    <x v="4"/>
    <x v="1"/>
    <x v="11"/>
    <x v="5"/>
    <x v="3"/>
    <n v="0"/>
  </r>
  <r>
    <x v="12"/>
    <s v="DEU"/>
    <x v="4"/>
    <x v="1"/>
    <x v="12"/>
    <x v="6"/>
    <x v="0"/>
    <n v="11841.5"/>
  </r>
  <r>
    <x v="12"/>
    <s v="DEU"/>
    <x v="4"/>
    <x v="1"/>
    <x v="13"/>
    <x v="6"/>
    <x v="2"/>
    <n v="23298.31"/>
  </r>
  <r>
    <x v="12"/>
    <s v="DEU"/>
    <x v="4"/>
    <x v="1"/>
    <x v="13"/>
    <x v="0"/>
    <x v="0"/>
    <n v="75540.55"/>
  </r>
  <r>
    <x v="12"/>
    <s v="DEU"/>
    <x v="4"/>
    <x v="1"/>
    <x v="14"/>
    <x v="6"/>
    <x v="1"/>
    <n v="78584.160000000003"/>
  </r>
  <r>
    <x v="12"/>
    <s v="DEU"/>
    <x v="4"/>
    <x v="1"/>
    <x v="14"/>
    <x v="0"/>
    <x v="1"/>
    <n v="5299.59"/>
  </r>
  <r>
    <x v="12"/>
    <s v="DEU"/>
    <x v="4"/>
    <x v="1"/>
    <x v="14"/>
    <x v="3"/>
    <x v="3"/>
    <n v="13751.78"/>
  </r>
  <r>
    <x v="12"/>
    <s v="DEU"/>
    <x v="4"/>
    <x v="1"/>
    <x v="14"/>
    <x v="1"/>
    <x v="0"/>
    <n v="321902.02"/>
  </r>
  <r>
    <x v="12"/>
    <s v="DEU"/>
    <x v="4"/>
    <x v="1"/>
    <x v="14"/>
    <x v="2"/>
    <x v="2"/>
    <n v="4674.12"/>
  </r>
  <r>
    <x v="12"/>
    <s v="DEU"/>
    <x v="4"/>
    <x v="1"/>
    <x v="15"/>
    <x v="6"/>
    <x v="2"/>
    <n v="17908.63"/>
  </r>
  <r>
    <x v="12"/>
    <s v="DEU"/>
    <x v="4"/>
    <x v="1"/>
    <x v="15"/>
    <x v="4"/>
    <x v="2"/>
    <n v="-353.31"/>
  </r>
  <r>
    <x v="12"/>
    <s v="DEU"/>
    <x v="4"/>
    <x v="1"/>
    <x v="15"/>
    <x v="1"/>
    <x v="1"/>
    <n v="10367.620000000001"/>
  </r>
  <r>
    <x v="12"/>
    <s v="DEU"/>
    <x v="4"/>
    <x v="1"/>
    <x v="15"/>
    <x v="1"/>
    <x v="3"/>
    <n v="0"/>
  </r>
  <r>
    <x v="12"/>
    <s v="DEU"/>
    <x v="4"/>
    <x v="1"/>
    <x v="15"/>
    <x v="1"/>
    <x v="2"/>
    <n v="6862.96"/>
  </r>
  <r>
    <x v="12"/>
    <s v="DEU"/>
    <x v="4"/>
    <x v="1"/>
    <x v="16"/>
    <x v="0"/>
    <x v="0"/>
    <n v="61843.29"/>
  </r>
  <r>
    <x v="12"/>
    <s v="DEU"/>
    <x v="4"/>
    <x v="1"/>
    <x v="16"/>
    <x v="4"/>
    <x v="0"/>
    <n v="-31232.35"/>
  </r>
  <r>
    <x v="12"/>
    <s v="DEU"/>
    <x v="4"/>
    <x v="1"/>
    <x v="33"/>
    <x v="6"/>
    <x v="2"/>
    <n v="19652.91"/>
  </r>
  <r>
    <x v="12"/>
    <s v="DEU"/>
    <x v="4"/>
    <x v="1"/>
    <x v="18"/>
    <x v="6"/>
    <x v="3"/>
    <n v="0"/>
  </r>
  <r>
    <x v="12"/>
    <s v="DEU"/>
    <x v="4"/>
    <x v="1"/>
    <x v="18"/>
    <x v="1"/>
    <x v="2"/>
    <n v="7600.1"/>
  </r>
  <r>
    <x v="12"/>
    <s v="DEU"/>
    <x v="4"/>
    <x v="1"/>
    <x v="19"/>
    <x v="0"/>
    <x v="1"/>
    <n v="6140.05"/>
  </r>
  <r>
    <x v="12"/>
    <s v="DEU"/>
    <x v="4"/>
    <x v="1"/>
    <x v="20"/>
    <x v="3"/>
    <x v="1"/>
    <n v="15674.52"/>
  </r>
  <r>
    <x v="12"/>
    <s v="DEU"/>
    <x v="4"/>
    <x v="1"/>
    <x v="20"/>
    <x v="4"/>
    <x v="3"/>
    <n v="0"/>
  </r>
  <r>
    <x v="12"/>
    <s v="DEU"/>
    <x v="4"/>
    <x v="1"/>
    <x v="20"/>
    <x v="1"/>
    <x v="2"/>
    <n v="8079.46"/>
  </r>
  <r>
    <x v="12"/>
    <s v="DEU"/>
    <x v="4"/>
    <x v="1"/>
    <x v="20"/>
    <x v="5"/>
    <x v="1"/>
    <n v="7220.07"/>
  </r>
  <r>
    <x v="12"/>
    <s v="DEU"/>
    <x v="4"/>
    <x v="1"/>
    <x v="21"/>
    <x v="6"/>
    <x v="0"/>
    <n v="12357.45"/>
  </r>
  <r>
    <x v="12"/>
    <s v="DEU"/>
    <x v="4"/>
    <x v="1"/>
    <x v="21"/>
    <x v="1"/>
    <x v="1"/>
    <n v="11608.65"/>
  </r>
  <r>
    <x v="12"/>
    <s v="DEU"/>
    <x v="4"/>
    <x v="1"/>
    <x v="21"/>
    <x v="2"/>
    <x v="2"/>
    <n v="4889.8100000000004"/>
  </r>
  <r>
    <x v="12"/>
    <s v="DEU"/>
    <x v="4"/>
    <x v="1"/>
    <x v="22"/>
    <x v="6"/>
    <x v="2"/>
    <n v="23781.97"/>
  </r>
  <r>
    <x v="12"/>
    <s v="DEU"/>
    <x v="4"/>
    <x v="1"/>
    <x v="22"/>
    <x v="0"/>
    <x v="1"/>
    <n v="6071.92"/>
  </r>
  <r>
    <x v="12"/>
    <s v="DEU"/>
    <x v="4"/>
    <x v="1"/>
    <x v="22"/>
    <x v="4"/>
    <x v="0"/>
    <n v="-35248.51"/>
  </r>
  <r>
    <x v="12"/>
    <s v="DEU"/>
    <x v="4"/>
    <x v="1"/>
    <x v="23"/>
    <x v="1"/>
    <x v="2"/>
    <n v="6933.38"/>
  </r>
  <r>
    <x v="12"/>
    <s v="DEU"/>
    <x v="4"/>
    <x v="1"/>
    <x v="23"/>
    <x v="5"/>
    <x v="1"/>
    <n v="7131.59"/>
  </r>
  <r>
    <x v="12"/>
    <s v="DEU"/>
    <x v="4"/>
    <x v="1"/>
    <x v="23"/>
    <x v="2"/>
    <x v="0"/>
    <n v="13900.99"/>
  </r>
  <r>
    <x v="12"/>
    <s v="DEU"/>
    <x v="4"/>
    <x v="1"/>
    <x v="24"/>
    <x v="1"/>
    <x v="2"/>
    <n v="7157.37"/>
  </r>
  <r>
    <x v="12"/>
    <s v="DEU"/>
    <x v="4"/>
    <x v="1"/>
    <x v="24"/>
    <x v="2"/>
    <x v="0"/>
    <n v="13501.13"/>
  </r>
  <r>
    <x v="12"/>
    <s v="DEU"/>
    <x v="4"/>
    <x v="1"/>
    <x v="25"/>
    <x v="0"/>
    <x v="3"/>
    <n v="0"/>
  </r>
  <r>
    <x v="12"/>
    <s v="DEU"/>
    <x v="4"/>
    <x v="1"/>
    <x v="25"/>
    <x v="5"/>
    <x v="1"/>
    <n v="5635.25"/>
  </r>
  <r>
    <x v="12"/>
    <s v="DEU"/>
    <x v="4"/>
    <x v="1"/>
    <x v="25"/>
    <x v="2"/>
    <x v="0"/>
    <n v="11745.97"/>
  </r>
  <r>
    <x v="12"/>
    <s v="DEU"/>
    <x v="4"/>
    <x v="1"/>
    <x v="25"/>
    <x v="2"/>
    <x v="3"/>
    <n v="0"/>
  </r>
  <r>
    <x v="12"/>
    <s v="DEU"/>
    <x v="4"/>
    <x v="1"/>
    <x v="26"/>
    <x v="4"/>
    <x v="1"/>
    <n v="-331.24"/>
  </r>
  <r>
    <x v="12"/>
    <s v="DEU"/>
    <x v="4"/>
    <x v="1"/>
    <x v="26"/>
    <x v="1"/>
    <x v="3"/>
    <n v="0"/>
  </r>
  <r>
    <x v="12"/>
    <s v="DEU"/>
    <x v="4"/>
    <x v="1"/>
    <x v="34"/>
    <x v="6"/>
    <x v="2"/>
    <n v="20700.439999999999"/>
  </r>
  <r>
    <x v="12"/>
    <s v="DEU"/>
    <x v="4"/>
    <x v="1"/>
    <x v="34"/>
    <x v="2"/>
    <x v="0"/>
    <n v="12927.29"/>
  </r>
  <r>
    <x v="12"/>
    <s v="DEU"/>
    <x v="4"/>
    <x v="1"/>
    <x v="27"/>
    <x v="6"/>
    <x v="2"/>
    <n v="22997.49"/>
  </r>
  <r>
    <x v="12"/>
    <s v="DEU"/>
    <x v="4"/>
    <x v="1"/>
    <x v="27"/>
    <x v="3"/>
    <x v="1"/>
    <n v="14525.24"/>
  </r>
  <r>
    <x v="12"/>
    <s v="DEU"/>
    <x v="4"/>
    <x v="1"/>
    <x v="27"/>
    <x v="4"/>
    <x v="2"/>
    <n v="-365.18"/>
  </r>
  <r>
    <x v="12"/>
    <s v="DEU"/>
    <x v="4"/>
    <x v="1"/>
    <x v="27"/>
    <x v="5"/>
    <x v="0"/>
    <n v="333469.13"/>
  </r>
  <r>
    <x v="12"/>
    <s v="DEU"/>
    <x v="4"/>
    <x v="1"/>
    <x v="28"/>
    <x v="4"/>
    <x v="0"/>
    <n v="-33058.68"/>
  </r>
  <r>
    <x v="12"/>
    <s v="DEU"/>
    <x v="4"/>
    <x v="1"/>
    <x v="28"/>
    <x v="2"/>
    <x v="1"/>
    <n v="71513.440000000002"/>
  </r>
  <r>
    <x v="12"/>
    <s v="DEU"/>
    <x v="4"/>
    <x v="1"/>
    <x v="28"/>
    <x v="2"/>
    <x v="3"/>
    <n v="0"/>
  </r>
  <r>
    <x v="12"/>
    <s v="DEU"/>
    <x v="4"/>
    <x v="1"/>
    <x v="28"/>
    <x v="2"/>
    <x v="2"/>
    <n v="4358.54"/>
  </r>
  <r>
    <x v="12"/>
    <s v="DEU"/>
    <x v="4"/>
    <x v="1"/>
    <x v="29"/>
    <x v="5"/>
    <x v="1"/>
    <n v="6846.17"/>
  </r>
  <r>
    <x v="12"/>
    <s v="DEU"/>
    <x v="4"/>
    <x v="1"/>
    <x v="29"/>
    <x v="2"/>
    <x v="0"/>
    <n v="13310.04"/>
  </r>
  <r>
    <x v="12"/>
    <s v="DEU"/>
    <x v="4"/>
    <x v="1"/>
    <x v="30"/>
    <x v="6"/>
    <x v="1"/>
    <n v="63648.29"/>
  </r>
  <r>
    <x v="12"/>
    <s v="DEU"/>
    <x v="4"/>
    <x v="1"/>
    <x v="30"/>
    <x v="2"/>
    <x v="0"/>
    <n v="11390.83"/>
  </r>
  <r>
    <x v="12"/>
    <s v="DEU"/>
    <x v="4"/>
    <x v="1"/>
    <x v="31"/>
    <x v="3"/>
    <x v="3"/>
    <n v="12889.55"/>
  </r>
  <r>
    <x v="12"/>
    <s v="DEU"/>
    <x v="4"/>
    <x v="1"/>
    <x v="31"/>
    <x v="1"/>
    <x v="1"/>
    <n v="9462.5499999999993"/>
  </r>
  <r>
    <x v="12"/>
    <s v="DEU"/>
    <x v="4"/>
    <x v="1"/>
    <x v="31"/>
    <x v="1"/>
    <x v="0"/>
    <n v="292461.33"/>
  </r>
  <r>
    <x v="12"/>
    <s v="DEU"/>
    <x v="4"/>
    <x v="1"/>
    <x v="31"/>
    <x v="5"/>
    <x v="1"/>
    <n v="6177.05"/>
  </r>
  <r>
    <x v="12"/>
    <s v="DEU"/>
    <x v="4"/>
    <x v="1"/>
    <x v="32"/>
    <x v="4"/>
    <x v="3"/>
    <n v="0"/>
  </r>
  <r>
    <x v="12"/>
    <s v="DEU"/>
    <x v="4"/>
    <x v="1"/>
    <x v="32"/>
    <x v="5"/>
    <x v="1"/>
    <n v="5297.24"/>
  </r>
  <r>
    <x v="13"/>
    <s v="IND"/>
    <x v="3"/>
    <x v="2"/>
    <x v="0"/>
    <x v="4"/>
    <x v="0"/>
    <n v="-180937.67"/>
  </r>
  <r>
    <x v="13"/>
    <s v="IND"/>
    <x v="3"/>
    <x v="2"/>
    <x v="0"/>
    <x v="4"/>
    <x v="2"/>
    <n v="-1748.29"/>
  </r>
  <r>
    <x v="13"/>
    <s v="IND"/>
    <x v="3"/>
    <x v="2"/>
    <x v="0"/>
    <x v="5"/>
    <x v="1"/>
    <n v="8852.6"/>
  </r>
  <r>
    <x v="13"/>
    <s v="IND"/>
    <x v="3"/>
    <x v="2"/>
    <x v="0"/>
    <x v="2"/>
    <x v="3"/>
    <n v="0"/>
  </r>
  <r>
    <x v="13"/>
    <s v="IND"/>
    <x v="3"/>
    <x v="2"/>
    <x v="1"/>
    <x v="0"/>
    <x v="1"/>
    <n v="7708.13"/>
  </r>
  <r>
    <x v="13"/>
    <s v="IND"/>
    <x v="3"/>
    <x v="2"/>
    <x v="2"/>
    <x v="6"/>
    <x v="0"/>
    <n v="28380.65"/>
  </r>
  <r>
    <x v="13"/>
    <s v="IND"/>
    <x v="3"/>
    <x v="2"/>
    <x v="2"/>
    <x v="4"/>
    <x v="0"/>
    <n v="-195249.66"/>
  </r>
  <r>
    <x v="13"/>
    <s v="IND"/>
    <x v="3"/>
    <x v="2"/>
    <x v="3"/>
    <x v="6"/>
    <x v="0"/>
    <n v="28246.35"/>
  </r>
  <r>
    <x v="13"/>
    <s v="IND"/>
    <x v="3"/>
    <x v="2"/>
    <x v="4"/>
    <x v="6"/>
    <x v="1"/>
    <n v="190957.95"/>
  </r>
  <r>
    <x v="13"/>
    <s v="IND"/>
    <x v="3"/>
    <x v="2"/>
    <x v="4"/>
    <x v="0"/>
    <x v="3"/>
    <n v="0"/>
  </r>
  <r>
    <x v="13"/>
    <s v="IND"/>
    <x v="3"/>
    <x v="2"/>
    <x v="4"/>
    <x v="5"/>
    <x v="1"/>
    <n v="10267.120000000001"/>
  </r>
  <r>
    <x v="13"/>
    <s v="IND"/>
    <x v="3"/>
    <x v="2"/>
    <x v="5"/>
    <x v="3"/>
    <x v="1"/>
    <n v="3059.9"/>
  </r>
  <r>
    <x v="13"/>
    <s v="IND"/>
    <x v="3"/>
    <x v="2"/>
    <x v="5"/>
    <x v="4"/>
    <x v="0"/>
    <n v="-201182.45"/>
  </r>
  <r>
    <x v="13"/>
    <s v="IND"/>
    <x v="3"/>
    <x v="2"/>
    <x v="5"/>
    <x v="5"/>
    <x v="2"/>
    <n v="5012.99"/>
  </r>
  <r>
    <x v="13"/>
    <s v="IND"/>
    <x v="3"/>
    <x v="2"/>
    <x v="7"/>
    <x v="6"/>
    <x v="0"/>
    <n v="27268.65"/>
  </r>
  <r>
    <x v="13"/>
    <s v="IND"/>
    <x v="3"/>
    <x v="2"/>
    <x v="7"/>
    <x v="3"/>
    <x v="0"/>
    <n v="50777.73"/>
  </r>
  <r>
    <x v="13"/>
    <s v="IND"/>
    <x v="3"/>
    <x v="2"/>
    <x v="7"/>
    <x v="5"/>
    <x v="2"/>
    <n v="4870.13"/>
  </r>
  <r>
    <x v="13"/>
    <s v="IND"/>
    <x v="3"/>
    <x v="2"/>
    <x v="7"/>
    <x v="2"/>
    <x v="1"/>
    <n v="179634.36"/>
  </r>
  <r>
    <x v="13"/>
    <s v="IND"/>
    <x v="3"/>
    <x v="2"/>
    <x v="8"/>
    <x v="0"/>
    <x v="0"/>
    <n v="126036.41"/>
  </r>
  <r>
    <x v="13"/>
    <s v="IND"/>
    <x v="3"/>
    <x v="2"/>
    <x v="8"/>
    <x v="0"/>
    <x v="3"/>
    <n v="0"/>
  </r>
  <r>
    <x v="13"/>
    <s v="IND"/>
    <x v="3"/>
    <x v="2"/>
    <x v="9"/>
    <x v="3"/>
    <x v="3"/>
    <n v="3155.63"/>
  </r>
  <r>
    <x v="13"/>
    <s v="IND"/>
    <x v="3"/>
    <x v="2"/>
    <x v="9"/>
    <x v="2"/>
    <x v="3"/>
    <n v="0"/>
  </r>
  <r>
    <x v="13"/>
    <s v="IND"/>
    <x v="3"/>
    <x v="2"/>
    <x v="10"/>
    <x v="6"/>
    <x v="1"/>
    <n v="230757.78"/>
  </r>
  <r>
    <x v="13"/>
    <s v="IND"/>
    <x v="3"/>
    <x v="2"/>
    <x v="10"/>
    <x v="0"/>
    <x v="2"/>
    <n v="4664.45"/>
  </r>
  <r>
    <x v="13"/>
    <s v="IND"/>
    <x v="3"/>
    <x v="2"/>
    <x v="10"/>
    <x v="5"/>
    <x v="0"/>
    <n v="579177.27"/>
  </r>
  <r>
    <x v="13"/>
    <s v="IND"/>
    <x v="3"/>
    <x v="2"/>
    <x v="10"/>
    <x v="2"/>
    <x v="1"/>
    <n v="237448.26"/>
  </r>
  <r>
    <x v="13"/>
    <s v="IND"/>
    <x v="3"/>
    <x v="2"/>
    <x v="11"/>
    <x v="6"/>
    <x v="3"/>
    <n v="0"/>
  </r>
  <r>
    <x v="13"/>
    <s v="IND"/>
    <x v="3"/>
    <x v="2"/>
    <x v="11"/>
    <x v="5"/>
    <x v="0"/>
    <n v="514651.82"/>
  </r>
  <r>
    <x v="13"/>
    <s v="IND"/>
    <x v="3"/>
    <x v="2"/>
    <x v="11"/>
    <x v="2"/>
    <x v="1"/>
    <n v="195977.92"/>
  </r>
  <r>
    <x v="13"/>
    <s v="IND"/>
    <x v="3"/>
    <x v="2"/>
    <x v="12"/>
    <x v="4"/>
    <x v="1"/>
    <n v="-2665.3"/>
  </r>
  <r>
    <x v="13"/>
    <s v="IND"/>
    <x v="3"/>
    <x v="2"/>
    <x v="12"/>
    <x v="4"/>
    <x v="2"/>
    <n v="-2558.52"/>
  </r>
  <r>
    <x v="13"/>
    <s v="IND"/>
    <x v="3"/>
    <x v="2"/>
    <x v="14"/>
    <x v="0"/>
    <x v="0"/>
    <n v="150622.85999999999"/>
  </r>
  <r>
    <x v="13"/>
    <s v="IND"/>
    <x v="3"/>
    <x v="2"/>
    <x v="14"/>
    <x v="0"/>
    <x v="3"/>
    <n v="0"/>
  </r>
  <r>
    <x v="13"/>
    <s v="IND"/>
    <x v="3"/>
    <x v="2"/>
    <x v="14"/>
    <x v="4"/>
    <x v="3"/>
    <n v="0"/>
  </r>
  <r>
    <x v="13"/>
    <s v="IND"/>
    <x v="3"/>
    <x v="2"/>
    <x v="15"/>
    <x v="0"/>
    <x v="2"/>
    <n v="4355.3599999999997"/>
  </r>
  <r>
    <x v="13"/>
    <s v="IND"/>
    <x v="3"/>
    <x v="2"/>
    <x v="15"/>
    <x v="1"/>
    <x v="2"/>
    <n v="8030"/>
  </r>
  <r>
    <x v="13"/>
    <s v="IND"/>
    <x v="3"/>
    <x v="2"/>
    <x v="15"/>
    <x v="5"/>
    <x v="3"/>
    <n v="0"/>
  </r>
  <r>
    <x v="13"/>
    <s v="IND"/>
    <x v="3"/>
    <x v="2"/>
    <x v="15"/>
    <x v="2"/>
    <x v="2"/>
    <n v="11671.76"/>
  </r>
  <r>
    <x v="13"/>
    <s v="IND"/>
    <x v="3"/>
    <x v="2"/>
    <x v="16"/>
    <x v="1"/>
    <x v="0"/>
    <n v="403807.02"/>
  </r>
  <r>
    <x v="13"/>
    <s v="IND"/>
    <x v="3"/>
    <x v="2"/>
    <x v="17"/>
    <x v="1"/>
    <x v="0"/>
    <n v="415313.98"/>
  </r>
  <r>
    <x v="13"/>
    <s v="IND"/>
    <x v="3"/>
    <x v="2"/>
    <x v="33"/>
    <x v="6"/>
    <x v="1"/>
    <n v="267655.83"/>
  </r>
  <r>
    <x v="13"/>
    <s v="IND"/>
    <x v="3"/>
    <x v="2"/>
    <x v="33"/>
    <x v="3"/>
    <x v="2"/>
    <n v="3869.7"/>
  </r>
  <r>
    <x v="13"/>
    <s v="IND"/>
    <x v="3"/>
    <x v="2"/>
    <x v="33"/>
    <x v="4"/>
    <x v="2"/>
    <n v="-2684.06"/>
  </r>
  <r>
    <x v="13"/>
    <s v="IND"/>
    <x v="3"/>
    <x v="2"/>
    <x v="33"/>
    <x v="2"/>
    <x v="1"/>
    <n v="251050.7"/>
  </r>
  <r>
    <x v="13"/>
    <s v="IND"/>
    <x v="3"/>
    <x v="2"/>
    <x v="18"/>
    <x v="1"/>
    <x v="2"/>
    <n v="9366.09"/>
  </r>
  <r>
    <x v="13"/>
    <s v="IND"/>
    <x v="3"/>
    <x v="2"/>
    <x v="18"/>
    <x v="5"/>
    <x v="0"/>
    <n v="567101.41"/>
  </r>
  <r>
    <x v="13"/>
    <s v="IND"/>
    <x v="3"/>
    <x v="2"/>
    <x v="20"/>
    <x v="6"/>
    <x v="2"/>
    <n v="75326.289999999994"/>
  </r>
  <r>
    <x v="13"/>
    <s v="IND"/>
    <x v="3"/>
    <x v="2"/>
    <x v="20"/>
    <x v="1"/>
    <x v="0"/>
    <n v="471906.26"/>
  </r>
  <r>
    <x v="13"/>
    <s v="IND"/>
    <x v="3"/>
    <x v="2"/>
    <x v="20"/>
    <x v="5"/>
    <x v="3"/>
    <n v="0"/>
  </r>
  <r>
    <x v="13"/>
    <s v="IND"/>
    <x v="3"/>
    <x v="2"/>
    <x v="20"/>
    <x v="2"/>
    <x v="1"/>
    <n v="250992.01"/>
  </r>
  <r>
    <x v="13"/>
    <s v="IND"/>
    <x v="3"/>
    <x v="2"/>
    <x v="21"/>
    <x v="3"/>
    <x v="3"/>
    <n v="3520.1"/>
  </r>
  <r>
    <x v="13"/>
    <s v="IND"/>
    <x v="3"/>
    <x v="2"/>
    <x v="21"/>
    <x v="4"/>
    <x v="1"/>
    <n v="-2493.7399999999998"/>
  </r>
  <r>
    <x v="13"/>
    <s v="IND"/>
    <x v="3"/>
    <x v="2"/>
    <x v="22"/>
    <x v="6"/>
    <x v="2"/>
    <n v="70589.45"/>
  </r>
  <r>
    <x v="13"/>
    <s v="IND"/>
    <x v="3"/>
    <x v="2"/>
    <x v="22"/>
    <x v="3"/>
    <x v="1"/>
    <n v="3874.54"/>
  </r>
  <r>
    <x v="13"/>
    <s v="IND"/>
    <x v="3"/>
    <x v="2"/>
    <x v="22"/>
    <x v="4"/>
    <x v="3"/>
    <n v="0"/>
  </r>
  <r>
    <x v="13"/>
    <s v="IND"/>
    <x v="3"/>
    <x v="2"/>
    <x v="22"/>
    <x v="2"/>
    <x v="3"/>
    <n v="0"/>
  </r>
  <r>
    <x v="13"/>
    <s v="IND"/>
    <x v="3"/>
    <x v="2"/>
    <x v="23"/>
    <x v="0"/>
    <x v="3"/>
    <n v="0"/>
  </r>
  <r>
    <x v="13"/>
    <s v="IND"/>
    <x v="3"/>
    <x v="2"/>
    <x v="23"/>
    <x v="3"/>
    <x v="0"/>
    <n v="64710.81"/>
  </r>
  <r>
    <x v="13"/>
    <s v="IND"/>
    <x v="3"/>
    <x v="2"/>
    <x v="23"/>
    <x v="4"/>
    <x v="1"/>
    <n v="-2878.48"/>
  </r>
  <r>
    <x v="13"/>
    <s v="IND"/>
    <x v="3"/>
    <x v="2"/>
    <x v="23"/>
    <x v="4"/>
    <x v="0"/>
    <n v="-286864.06"/>
  </r>
  <r>
    <x v="13"/>
    <s v="IND"/>
    <x v="3"/>
    <x v="2"/>
    <x v="24"/>
    <x v="0"/>
    <x v="3"/>
    <n v="0"/>
  </r>
  <r>
    <x v="13"/>
    <s v="IND"/>
    <x v="3"/>
    <x v="2"/>
    <x v="25"/>
    <x v="3"/>
    <x v="3"/>
    <n v="4488.53"/>
  </r>
  <r>
    <x v="13"/>
    <s v="IND"/>
    <x v="3"/>
    <x v="2"/>
    <x v="25"/>
    <x v="2"/>
    <x v="1"/>
    <n v="269797.55"/>
  </r>
  <r>
    <x v="13"/>
    <s v="IND"/>
    <x v="3"/>
    <x v="2"/>
    <x v="26"/>
    <x v="0"/>
    <x v="2"/>
    <n v="5464.7"/>
  </r>
  <r>
    <x v="13"/>
    <s v="IND"/>
    <x v="3"/>
    <x v="2"/>
    <x v="26"/>
    <x v="1"/>
    <x v="1"/>
    <n v="14953.32"/>
  </r>
  <r>
    <x v="13"/>
    <s v="IND"/>
    <x v="3"/>
    <x v="2"/>
    <x v="26"/>
    <x v="2"/>
    <x v="3"/>
    <n v="0"/>
  </r>
  <r>
    <x v="13"/>
    <s v="IND"/>
    <x v="3"/>
    <x v="2"/>
    <x v="27"/>
    <x v="6"/>
    <x v="1"/>
    <n v="326287.73"/>
  </r>
  <r>
    <x v="13"/>
    <s v="IND"/>
    <x v="3"/>
    <x v="2"/>
    <x v="27"/>
    <x v="5"/>
    <x v="1"/>
    <n v="14593.07"/>
  </r>
  <r>
    <x v="13"/>
    <s v="IND"/>
    <x v="3"/>
    <x v="2"/>
    <x v="27"/>
    <x v="5"/>
    <x v="0"/>
    <n v="772214.14"/>
  </r>
  <r>
    <x v="13"/>
    <s v="IND"/>
    <x v="3"/>
    <x v="2"/>
    <x v="27"/>
    <x v="5"/>
    <x v="2"/>
    <n v="8221.24"/>
  </r>
  <r>
    <x v="13"/>
    <s v="IND"/>
    <x v="3"/>
    <x v="2"/>
    <x v="28"/>
    <x v="0"/>
    <x v="2"/>
    <n v="5286.02"/>
  </r>
  <r>
    <x v="13"/>
    <s v="IND"/>
    <x v="3"/>
    <x v="2"/>
    <x v="28"/>
    <x v="5"/>
    <x v="2"/>
    <n v="7403.01"/>
  </r>
  <r>
    <x v="13"/>
    <s v="IND"/>
    <x v="3"/>
    <x v="2"/>
    <x v="28"/>
    <x v="2"/>
    <x v="3"/>
    <n v="0"/>
  </r>
  <r>
    <x v="13"/>
    <s v="IND"/>
    <x v="3"/>
    <x v="2"/>
    <x v="29"/>
    <x v="0"/>
    <x v="3"/>
    <n v="0"/>
  </r>
  <r>
    <x v="13"/>
    <s v="IND"/>
    <x v="3"/>
    <x v="2"/>
    <x v="29"/>
    <x v="1"/>
    <x v="3"/>
    <n v="0"/>
  </r>
  <r>
    <x v="13"/>
    <s v="IND"/>
    <x v="3"/>
    <x v="2"/>
    <x v="29"/>
    <x v="2"/>
    <x v="3"/>
    <n v="0"/>
  </r>
  <r>
    <x v="13"/>
    <s v="IND"/>
    <x v="3"/>
    <x v="2"/>
    <x v="30"/>
    <x v="6"/>
    <x v="0"/>
    <n v="37886.629999999997"/>
  </r>
  <r>
    <x v="13"/>
    <s v="IND"/>
    <x v="3"/>
    <x v="2"/>
    <x v="30"/>
    <x v="6"/>
    <x v="2"/>
    <n v="79636.12"/>
  </r>
  <r>
    <x v="13"/>
    <s v="IND"/>
    <x v="3"/>
    <x v="2"/>
    <x v="30"/>
    <x v="3"/>
    <x v="1"/>
    <n v="4430.3"/>
  </r>
  <r>
    <x v="13"/>
    <s v="IND"/>
    <x v="3"/>
    <x v="2"/>
    <x v="30"/>
    <x v="1"/>
    <x v="3"/>
    <n v="0"/>
  </r>
  <r>
    <x v="13"/>
    <s v="IND"/>
    <x v="3"/>
    <x v="2"/>
    <x v="30"/>
    <x v="5"/>
    <x v="3"/>
    <n v="0"/>
  </r>
  <r>
    <x v="13"/>
    <s v="IND"/>
    <x v="3"/>
    <x v="2"/>
    <x v="31"/>
    <x v="1"/>
    <x v="2"/>
    <n v="10171.56"/>
  </r>
  <r>
    <x v="13"/>
    <s v="IND"/>
    <x v="3"/>
    <x v="2"/>
    <x v="32"/>
    <x v="3"/>
    <x v="3"/>
    <n v="5040.08"/>
  </r>
  <r>
    <x v="13"/>
    <s v="IND"/>
    <x v="3"/>
    <x v="2"/>
    <x v="32"/>
    <x v="5"/>
    <x v="2"/>
    <n v="7680.64"/>
  </r>
  <r>
    <x v="14"/>
    <s v="IDN"/>
    <x v="3"/>
    <x v="2"/>
    <x v="0"/>
    <x v="6"/>
    <x v="3"/>
    <n v="0"/>
  </r>
  <r>
    <x v="14"/>
    <s v="IDN"/>
    <x v="3"/>
    <x v="2"/>
    <x v="0"/>
    <x v="1"/>
    <x v="2"/>
    <n v="3004.53"/>
  </r>
  <r>
    <x v="14"/>
    <s v="IDN"/>
    <x v="3"/>
    <x v="2"/>
    <x v="0"/>
    <x v="5"/>
    <x v="1"/>
    <n v="803.67"/>
  </r>
  <r>
    <x v="14"/>
    <s v="IDN"/>
    <x v="3"/>
    <x v="2"/>
    <x v="0"/>
    <x v="2"/>
    <x v="0"/>
    <n v="9285.7199999999993"/>
  </r>
  <r>
    <x v="14"/>
    <s v="IDN"/>
    <x v="3"/>
    <x v="2"/>
    <x v="1"/>
    <x v="3"/>
    <x v="2"/>
    <n v="4436.09"/>
  </r>
  <r>
    <x v="14"/>
    <s v="IDN"/>
    <x v="3"/>
    <x v="2"/>
    <x v="1"/>
    <x v="1"/>
    <x v="2"/>
    <n v="2847.71"/>
  </r>
  <r>
    <x v="14"/>
    <s v="IDN"/>
    <x v="3"/>
    <x v="2"/>
    <x v="2"/>
    <x v="6"/>
    <x v="3"/>
    <n v="0"/>
  </r>
  <r>
    <x v="14"/>
    <s v="IDN"/>
    <x v="3"/>
    <x v="2"/>
    <x v="2"/>
    <x v="0"/>
    <x v="2"/>
    <n v="461.68"/>
  </r>
  <r>
    <x v="14"/>
    <s v="IDN"/>
    <x v="3"/>
    <x v="2"/>
    <x v="2"/>
    <x v="3"/>
    <x v="1"/>
    <n v="4559.92"/>
  </r>
  <r>
    <x v="14"/>
    <s v="IDN"/>
    <x v="3"/>
    <x v="2"/>
    <x v="2"/>
    <x v="5"/>
    <x v="1"/>
    <n v="864.7"/>
  </r>
  <r>
    <x v="14"/>
    <s v="IDN"/>
    <x v="3"/>
    <x v="2"/>
    <x v="3"/>
    <x v="6"/>
    <x v="2"/>
    <n v="10319.31"/>
  </r>
  <r>
    <x v="14"/>
    <s v="IDN"/>
    <x v="3"/>
    <x v="2"/>
    <x v="3"/>
    <x v="3"/>
    <x v="1"/>
    <n v="4674.99"/>
  </r>
  <r>
    <x v="14"/>
    <s v="IDN"/>
    <x v="3"/>
    <x v="2"/>
    <x v="3"/>
    <x v="3"/>
    <x v="0"/>
    <n v="88016.1"/>
  </r>
  <r>
    <x v="14"/>
    <s v="IDN"/>
    <x v="3"/>
    <x v="2"/>
    <x v="3"/>
    <x v="3"/>
    <x v="3"/>
    <n v="5083.8100000000004"/>
  </r>
  <r>
    <x v="14"/>
    <s v="IDN"/>
    <x v="3"/>
    <x v="2"/>
    <x v="3"/>
    <x v="4"/>
    <x v="0"/>
    <n v="37226.959999999999"/>
  </r>
  <r>
    <x v="14"/>
    <s v="IDN"/>
    <x v="3"/>
    <x v="2"/>
    <x v="3"/>
    <x v="1"/>
    <x v="1"/>
    <n v="5381.85"/>
  </r>
  <r>
    <x v="14"/>
    <s v="IDN"/>
    <x v="3"/>
    <x v="2"/>
    <x v="5"/>
    <x v="6"/>
    <x v="2"/>
    <n v="9772.8799999999992"/>
  </r>
  <r>
    <x v="14"/>
    <s v="IDN"/>
    <x v="3"/>
    <x v="2"/>
    <x v="5"/>
    <x v="3"/>
    <x v="3"/>
    <n v="4700.57"/>
  </r>
  <r>
    <x v="14"/>
    <s v="IDN"/>
    <x v="3"/>
    <x v="2"/>
    <x v="5"/>
    <x v="1"/>
    <x v="0"/>
    <n v="175533.58"/>
  </r>
  <r>
    <x v="14"/>
    <s v="IDN"/>
    <x v="3"/>
    <x v="2"/>
    <x v="5"/>
    <x v="5"/>
    <x v="1"/>
    <n v="976.18"/>
  </r>
  <r>
    <x v="14"/>
    <s v="IDN"/>
    <x v="3"/>
    <x v="2"/>
    <x v="5"/>
    <x v="5"/>
    <x v="0"/>
    <n v="44507.98"/>
  </r>
  <r>
    <x v="14"/>
    <s v="IDN"/>
    <x v="3"/>
    <x v="2"/>
    <x v="5"/>
    <x v="2"/>
    <x v="3"/>
    <n v="0"/>
  </r>
  <r>
    <x v="14"/>
    <s v="IDN"/>
    <x v="3"/>
    <x v="2"/>
    <x v="6"/>
    <x v="0"/>
    <x v="1"/>
    <n v="1112.1199999999999"/>
  </r>
  <r>
    <x v="14"/>
    <s v="IDN"/>
    <x v="3"/>
    <x v="2"/>
    <x v="6"/>
    <x v="0"/>
    <x v="0"/>
    <n v="14917.8"/>
  </r>
  <r>
    <x v="14"/>
    <s v="IDN"/>
    <x v="3"/>
    <x v="2"/>
    <x v="7"/>
    <x v="6"/>
    <x v="0"/>
    <n v="4947.67"/>
  </r>
  <r>
    <x v="14"/>
    <s v="IDN"/>
    <x v="3"/>
    <x v="2"/>
    <x v="7"/>
    <x v="5"/>
    <x v="1"/>
    <n v="929.66"/>
  </r>
  <r>
    <x v="14"/>
    <s v="IDN"/>
    <x v="3"/>
    <x v="2"/>
    <x v="7"/>
    <x v="2"/>
    <x v="3"/>
    <n v="0"/>
  </r>
  <r>
    <x v="14"/>
    <s v="IDN"/>
    <x v="3"/>
    <x v="2"/>
    <x v="8"/>
    <x v="0"/>
    <x v="3"/>
    <n v="0"/>
  </r>
  <r>
    <x v="14"/>
    <s v="IDN"/>
    <x v="3"/>
    <x v="2"/>
    <x v="8"/>
    <x v="4"/>
    <x v="1"/>
    <n v="425.18"/>
  </r>
  <r>
    <x v="14"/>
    <s v="IDN"/>
    <x v="3"/>
    <x v="2"/>
    <x v="8"/>
    <x v="5"/>
    <x v="2"/>
    <n v="455.44"/>
  </r>
  <r>
    <x v="14"/>
    <s v="IDN"/>
    <x v="3"/>
    <x v="2"/>
    <x v="9"/>
    <x v="6"/>
    <x v="2"/>
    <n v="11222.92"/>
  </r>
  <r>
    <x v="14"/>
    <s v="IDN"/>
    <x v="3"/>
    <x v="2"/>
    <x v="9"/>
    <x v="4"/>
    <x v="2"/>
    <n v="378.44"/>
  </r>
  <r>
    <x v="14"/>
    <s v="IDN"/>
    <x v="3"/>
    <x v="2"/>
    <x v="11"/>
    <x v="1"/>
    <x v="0"/>
    <n v="188661.61"/>
  </r>
  <r>
    <x v="14"/>
    <s v="IDN"/>
    <x v="3"/>
    <x v="2"/>
    <x v="11"/>
    <x v="5"/>
    <x v="0"/>
    <n v="49134.66"/>
  </r>
  <r>
    <x v="14"/>
    <s v="IDN"/>
    <x v="3"/>
    <x v="2"/>
    <x v="12"/>
    <x v="6"/>
    <x v="0"/>
    <n v="6108.3"/>
  </r>
  <r>
    <x v="14"/>
    <s v="IDN"/>
    <x v="3"/>
    <x v="2"/>
    <x v="13"/>
    <x v="1"/>
    <x v="3"/>
    <n v="0"/>
  </r>
  <r>
    <x v="14"/>
    <s v="IDN"/>
    <x v="3"/>
    <x v="2"/>
    <x v="13"/>
    <x v="1"/>
    <x v="2"/>
    <n v="4290.13"/>
  </r>
  <r>
    <x v="14"/>
    <s v="IDN"/>
    <x v="3"/>
    <x v="2"/>
    <x v="13"/>
    <x v="2"/>
    <x v="3"/>
    <n v="0"/>
  </r>
  <r>
    <x v="14"/>
    <s v="IDN"/>
    <x v="3"/>
    <x v="2"/>
    <x v="14"/>
    <x v="3"/>
    <x v="0"/>
    <n v="98180.33"/>
  </r>
  <r>
    <x v="14"/>
    <s v="IDN"/>
    <x v="3"/>
    <x v="2"/>
    <x v="14"/>
    <x v="1"/>
    <x v="0"/>
    <n v="230261.43"/>
  </r>
  <r>
    <x v="14"/>
    <s v="IDN"/>
    <x v="3"/>
    <x v="2"/>
    <x v="14"/>
    <x v="5"/>
    <x v="3"/>
    <n v="0"/>
  </r>
  <r>
    <x v="14"/>
    <s v="IDN"/>
    <x v="3"/>
    <x v="2"/>
    <x v="15"/>
    <x v="4"/>
    <x v="3"/>
    <n v="0"/>
  </r>
  <r>
    <x v="14"/>
    <s v="IDN"/>
    <x v="3"/>
    <x v="2"/>
    <x v="15"/>
    <x v="1"/>
    <x v="2"/>
    <n v="3861.37"/>
  </r>
  <r>
    <x v="14"/>
    <s v="IDN"/>
    <x v="3"/>
    <x v="2"/>
    <x v="15"/>
    <x v="5"/>
    <x v="0"/>
    <n v="56607.28"/>
  </r>
  <r>
    <x v="14"/>
    <s v="IDN"/>
    <x v="3"/>
    <x v="2"/>
    <x v="16"/>
    <x v="2"/>
    <x v="1"/>
    <n v="74145.429999999993"/>
  </r>
  <r>
    <x v="14"/>
    <s v="IDN"/>
    <x v="3"/>
    <x v="2"/>
    <x v="17"/>
    <x v="0"/>
    <x v="3"/>
    <n v="0"/>
  </r>
  <r>
    <x v="14"/>
    <s v="IDN"/>
    <x v="3"/>
    <x v="2"/>
    <x v="17"/>
    <x v="4"/>
    <x v="2"/>
    <n v="511.65"/>
  </r>
  <r>
    <x v="14"/>
    <s v="IDN"/>
    <x v="3"/>
    <x v="2"/>
    <x v="17"/>
    <x v="5"/>
    <x v="3"/>
    <n v="0"/>
  </r>
  <r>
    <x v="14"/>
    <s v="IDN"/>
    <x v="3"/>
    <x v="2"/>
    <x v="33"/>
    <x v="4"/>
    <x v="0"/>
    <n v="58710.46"/>
  </r>
  <r>
    <x v="14"/>
    <s v="IDN"/>
    <x v="3"/>
    <x v="2"/>
    <x v="33"/>
    <x v="4"/>
    <x v="2"/>
    <n v="619.24"/>
  </r>
  <r>
    <x v="14"/>
    <s v="IDN"/>
    <x v="3"/>
    <x v="2"/>
    <x v="33"/>
    <x v="5"/>
    <x v="3"/>
    <n v="0"/>
  </r>
  <r>
    <x v="14"/>
    <s v="IDN"/>
    <x v="3"/>
    <x v="2"/>
    <x v="18"/>
    <x v="3"/>
    <x v="2"/>
    <n v="7445.16"/>
  </r>
  <r>
    <x v="14"/>
    <s v="IDN"/>
    <x v="3"/>
    <x v="2"/>
    <x v="18"/>
    <x v="4"/>
    <x v="2"/>
    <n v="610.08000000000004"/>
  </r>
  <r>
    <x v="14"/>
    <s v="IDN"/>
    <x v="3"/>
    <x v="2"/>
    <x v="18"/>
    <x v="5"/>
    <x v="1"/>
    <n v="1333.95"/>
  </r>
  <r>
    <x v="14"/>
    <s v="IDN"/>
    <x v="3"/>
    <x v="2"/>
    <x v="18"/>
    <x v="5"/>
    <x v="3"/>
    <n v="0"/>
  </r>
  <r>
    <x v="14"/>
    <s v="IDN"/>
    <x v="3"/>
    <x v="2"/>
    <x v="18"/>
    <x v="2"/>
    <x v="2"/>
    <n v="5042.96"/>
  </r>
  <r>
    <x v="14"/>
    <s v="IDN"/>
    <x v="3"/>
    <x v="2"/>
    <x v="19"/>
    <x v="0"/>
    <x v="3"/>
    <n v="0"/>
  </r>
  <r>
    <x v="14"/>
    <s v="IDN"/>
    <x v="3"/>
    <x v="2"/>
    <x v="19"/>
    <x v="3"/>
    <x v="1"/>
    <n v="6746.19"/>
  </r>
  <r>
    <x v="14"/>
    <s v="IDN"/>
    <x v="3"/>
    <x v="2"/>
    <x v="19"/>
    <x v="5"/>
    <x v="0"/>
    <n v="65056.26"/>
  </r>
  <r>
    <x v="14"/>
    <s v="IDN"/>
    <x v="3"/>
    <x v="2"/>
    <x v="19"/>
    <x v="5"/>
    <x v="2"/>
    <n v="727.83"/>
  </r>
  <r>
    <x v="14"/>
    <s v="IDN"/>
    <x v="3"/>
    <x v="2"/>
    <x v="20"/>
    <x v="6"/>
    <x v="2"/>
    <n v="13558.27"/>
  </r>
  <r>
    <x v="14"/>
    <s v="IDN"/>
    <x v="3"/>
    <x v="2"/>
    <x v="21"/>
    <x v="4"/>
    <x v="1"/>
    <n v="597.52"/>
  </r>
  <r>
    <x v="14"/>
    <s v="IDN"/>
    <x v="3"/>
    <x v="2"/>
    <x v="21"/>
    <x v="4"/>
    <x v="3"/>
    <n v="0"/>
  </r>
  <r>
    <x v="14"/>
    <s v="IDN"/>
    <x v="3"/>
    <x v="2"/>
    <x v="21"/>
    <x v="2"/>
    <x v="1"/>
    <n v="78823.679999999993"/>
  </r>
  <r>
    <x v="14"/>
    <s v="IDN"/>
    <x v="3"/>
    <x v="2"/>
    <x v="22"/>
    <x v="5"/>
    <x v="0"/>
    <n v="62173.53"/>
  </r>
  <r>
    <x v="14"/>
    <s v="IDN"/>
    <x v="3"/>
    <x v="2"/>
    <x v="23"/>
    <x v="0"/>
    <x v="1"/>
    <n v="1658.87"/>
  </r>
  <r>
    <x v="14"/>
    <s v="IDN"/>
    <x v="3"/>
    <x v="2"/>
    <x v="23"/>
    <x v="1"/>
    <x v="2"/>
    <n v="5033.7"/>
  </r>
  <r>
    <x v="14"/>
    <s v="IDN"/>
    <x v="3"/>
    <x v="2"/>
    <x v="24"/>
    <x v="6"/>
    <x v="1"/>
    <n v="48881.29"/>
  </r>
  <r>
    <x v="14"/>
    <s v="IDN"/>
    <x v="3"/>
    <x v="2"/>
    <x v="24"/>
    <x v="4"/>
    <x v="0"/>
    <n v="51002.37"/>
  </r>
  <r>
    <x v="14"/>
    <s v="IDN"/>
    <x v="3"/>
    <x v="2"/>
    <x v="24"/>
    <x v="2"/>
    <x v="1"/>
    <n v="70884.62"/>
  </r>
  <r>
    <x v="14"/>
    <s v="IDN"/>
    <x v="3"/>
    <x v="2"/>
    <x v="25"/>
    <x v="6"/>
    <x v="0"/>
    <n v="6894.24"/>
  </r>
  <r>
    <x v="14"/>
    <s v="IDN"/>
    <x v="3"/>
    <x v="2"/>
    <x v="25"/>
    <x v="0"/>
    <x v="1"/>
    <n v="1963.54"/>
  </r>
  <r>
    <x v="14"/>
    <s v="IDN"/>
    <x v="3"/>
    <x v="2"/>
    <x v="26"/>
    <x v="0"/>
    <x v="3"/>
    <n v="0"/>
  </r>
  <r>
    <x v="14"/>
    <s v="IDN"/>
    <x v="3"/>
    <x v="2"/>
    <x v="26"/>
    <x v="3"/>
    <x v="2"/>
    <n v="7819.43"/>
  </r>
  <r>
    <x v="14"/>
    <s v="IDN"/>
    <x v="3"/>
    <x v="2"/>
    <x v="26"/>
    <x v="4"/>
    <x v="2"/>
    <n v="598.24"/>
  </r>
  <r>
    <x v="14"/>
    <s v="IDN"/>
    <x v="3"/>
    <x v="2"/>
    <x v="26"/>
    <x v="1"/>
    <x v="3"/>
    <n v="0"/>
  </r>
  <r>
    <x v="14"/>
    <s v="IDN"/>
    <x v="3"/>
    <x v="2"/>
    <x v="34"/>
    <x v="3"/>
    <x v="3"/>
    <n v="7641.36"/>
  </r>
  <r>
    <x v="14"/>
    <s v="IDN"/>
    <x v="3"/>
    <x v="2"/>
    <x v="34"/>
    <x v="1"/>
    <x v="1"/>
    <n v="8142.33"/>
  </r>
  <r>
    <x v="14"/>
    <s v="IDN"/>
    <x v="3"/>
    <x v="2"/>
    <x v="34"/>
    <x v="1"/>
    <x v="2"/>
    <n v="5378.04"/>
  </r>
  <r>
    <x v="14"/>
    <s v="IDN"/>
    <x v="3"/>
    <x v="2"/>
    <x v="34"/>
    <x v="5"/>
    <x v="1"/>
    <n v="1425.57"/>
  </r>
  <r>
    <x v="14"/>
    <s v="IDN"/>
    <x v="3"/>
    <x v="2"/>
    <x v="34"/>
    <x v="2"/>
    <x v="1"/>
    <n v="80471.649999999994"/>
  </r>
  <r>
    <x v="14"/>
    <s v="IDN"/>
    <x v="3"/>
    <x v="2"/>
    <x v="27"/>
    <x v="6"/>
    <x v="0"/>
    <n v="7081.32"/>
  </r>
  <r>
    <x v="14"/>
    <s v="IDN"/>
    <x v="3"/>
    <x v="2"/>
    <x v="27"/>
    <x v="6"/>
    <x v="3"/>
    <n v="0"/>
  </r>
  <r>
    <x v="14"/>
    <s v="IDN"/>
    <x v="3"/>
    <x v="2"/>
    <x v="28"/>
    <x v="1"/>
    <x v="0"/>
    <n v="256251.7"/>
  </r>
  <r>
    <x v="14"/>
    <s v="IDN"/>
    <x v="3"/>
    <x v="2"/>
    <x v="29"/>
    <x v="0"/>
    <x v="3"/>
    <n v="0"/>
  </r>
  <r>
    <x v="14"/>
    <s v="IDN"/>
    <x v="3"/>
    <x v="2"/>
    <x v="29"/>
    <x v="5"/>
    <x v="2"/>
    <n v="573.24"/>
  </r>
  <r>
    <x v="14"/>
    <s v="IDN"/>
    <x v="3"/>
    <x v="2"/>
    <x v="30"/>
    <x v="6"/>
    <x v="1"/>
    <n v="54554.879999999997"/>
  </r>
  <r>
    <x v="14"/>
    <s v="IDN"/>
    <x v="3"/>
    <x v="2"/>
    <x v="30"/>
    <x v="0"/>
    <x v="2"/>
    <n v="866.32"/>
  </r>
  <r>
    <x v="14"/>
    <s v="IDN"/>
    <x v="3"/>
    <x v="2"/>
    <x v="30"/>
    <x v="2"/>
    <x v="0"/>
    <n v="16230.07"/>
  </r>
  <r>
    <x v="14"/>
    <s v="IDN"/>
    <x v="3"/>
    <x v="2"/>
    <x v="31"/>
    <x v="3"/>
    <x v="1"/>
    <n v="7636.67"/>
  </r>
  <r>
    <x v="14"/>
    <s v="IDN"/>
    <x v="3"/>
    <x v="2"/>
    <x v="31"/>
    <x v="5"/>
    <x v="0"/>
    <n v="58674.07"/>
  </r>
  <r>
    <x v="14"/>
    <s v="IDN"/>
    <x v="3"/>
    <x v="2"/>
    <x v="32"/>
    <x v="6"/>
    <x v="3"/>
    <n v="0"/>
  </r>
  <r>
    <x v="14"/>
    <s v="IDN"/>
    <x v="3"/>
    <x v="2"/>
    <x v="32"/>
    <x v="4"/>
    <x v="3"/>
    <n v="0"/>
  </r>
  <r>
    <x v="14"/>
    <s v="IDN"/>
    <x v="3"/>
    <x v="2"/>
    <x v="32"/>
    <x v="2"/>
    <x v="2"/>
    <n v="4593.9399999999996"/>
  </r>
  <r>
    <x v="15"/>
    <s v="IRN"/>
    <x v="3"/>
    <x v="0"/>
    <x v="0"/>
    <x v="6"/>
    <x v="1"/>
    <n v="132204.38"/>
  </r>
  <r>
    <x v="15"/>
    <s v="IRN"/>
    <x v="3"/>
    <x v="0"/>
    <x v="0"/>
    <x v="6"/>
    <x v="3"/>
    <n v="0"/>
  </r>
  <r>
    <x v="15"/>
    <s v="IRN"/>
    <x v="3"/>
    <x v="0"/>
    <x v="0"/>
    <x v="6"/>
    <x v="2"/>
    <n v="36014.68"/>
  </r>
  <r>
    <x v="15"/>
    <s v="IRN"/>
    <x v="3"/>
    <x v="0"/>
    <x v="0"/>
    <x v="0"/>
    <x v="1"/>
    <n v="11173.51"/>
  </r>
  <r>
    <x v="15"/>
    <s v="IRN"/>
    <x v="3"/>
    <x v="0"/>
    <x v="0"/>
    <x v="0"/>
    <x v="0"/>
    <n v="144558.15"/>
  </r>
  <r>
    <x v="15"/>
    <s v="IRN"/>
    <x v="3"/>
    <x v="0"/>
    <x v="0"/>
    <x v="3"/>
    <x v="2"/>
    <n v="189.94"/>
  </r>
  <r>
    <x v="15"/>
    <s v="IRN"/>
    <x v="3"/>
    <x v="0"/>
    <x v="0"/>
    <x v="5"/>
    <x v="2"/>
    <n v="712.64"/>
  </r>
  <r>
    <x v="15"/>
    <s v="IRN"/>
    <x v="3"/>
    <x v="0"/>
    <x v="1"/>
    <x v="0"/>
    <x v="1"/>
    <n v="10063.76"/>
  </r>
  <r>
    <x v="15"/>
    <s v="IRN"/>
    <x v="3"/>
    <x v="0"/>
    <x v="1"/>
    <x v="4"/>
    <x v="1"/>
    <n v="118.75"/>
  </r>
  <r>
    <x v="15"/>
    <s v="IRN"/>
    <x v="3"/>
    <x v="0"/>
    <x v="1"/>
    <x v="1"/>
    <x v="1"/>
    <n v="4294.25"/>
  </r>
  <r>
    <x v="15"/>
    <s v="IRN"/>
    <x v="3"/>
    <x v="0"/>
    <x v="1"/>
    <x v="1"/>
    <x v="2"/>
    <n v="2659.91"/>
  </r>
  <r>
    <x v="15"/>
    <s v="IRN"/>
    <x v="3"/>
    <x v="0"/>
    <x v="2"/>
    <x v="6"/>
    <x v="0"/>
    <n v="17859.41"/>
  </r>
  <r>
    <x v="15"/>
    <s v="IRN"/>
    <x v="3"/>
    <x v="0"/>
    <x v="2"/>
    <x v="0"/>
    <x v="0"/>
    <n v="122000.24"/>
  </r>
  <r>
    <x v="15"/>
    <s v="IRN"/>
    <x v="3"/>
    <x v="0"/>
    <x v="2"/>
    <x v="3"/>
    <x v="2"/>
    <n v="206.55"/>
  </r>
  <r>
    <x v="15"/>
    <s v="IRN"/>
    <x v="3"/>
    <x v="0"/>
    <x v="2"/>
    <x v="1"/>
    <x v="3"/>
    <n v="0"/>
  </r>
  <r>
    <x v="15"/>
    <s v="IRN"/>
    <x v="3"/>
    <x v="0"/>
    <x v="3"/>
    <x v="3"/>
    <x v="2"/>
    <n v="231.09"/>
  </r>
  <r>
    <x v="15"/>
    <s v="IRN"/>
    <x v="3"/>
    <x v="0"/>
    <x v="4"/>
    <x v="6"/>
    <x v="3"/>
    <n v="0"/>
  </r>
  <r>
    <x v="15"/>
    <s v="IRN"/>
    <x v="3"/>
    <x v="0"/>
    <x v="4"/>
    <x v="0"/>
    <x v="3"/>
    <n v="0"/>
  </r>
  <r>
    <x v="15"/>
    <s v="IRN"/>
    <x v="3"/>
    <x v="0"/>
    <x v="4"/>
    <x v="3"/>
    <x v="3"/>
    <n v="224.11"/>
  </r>
  <r>
    <x v="15"/>
    <s v="IRN"/>
    <x v="3"/>
    <x v="0"/>
    <x v="4"/>
    <x v="1"/>
    <x v="1"/>
    <n v="4282.2700000000004"/>
  </r>
  <r>
    <x v="15"/>
    <s v="IRN"/>
    <x v="3"/>
    <x v="0"/>
    <x v="4"/>
    <x v="5"/>
    <x v="3"/>
    <n v="0"/>
  </r>
  <r>
    <x v="15"/>
    <s v="IRN"/>
    <x v="3"/>
    <x v="0"/>
    <x v="5"/>
    <x v="6"/>
    <x v="3"/>
    <n v="0"/>
  </r>
  <r>
    <x v="15"/>
    <s v="IRN"/>
    <x v="3"/>
    <x v="0"/>
    <x v="5"/>
    <x v="5"/>
    <x v="3"/>
    <n v="0"/>
  </r>
  <r>
    <x v="15"/>
    <s v="IRN"/>
    <x v="3"/>
    <x v="0"/>
    <x v="6"/>
    <x v="0"/>
    <x v="2"/>
    <n v="4361.49"/>
  </r>
  <r>
    <x v="15"/>
    <s v="IRN"/>
    <x v="3"/>
    <x v="0"/>
    <x v="6"/>
    <x v="1"/>
    <x v="2"/>
    <n v="2832.07"/>
  </r>
  <r>
    <x v="15"/>
    <s v="IRN"/>
    <x v="3"/>
    <x v="0"/>
    <x v="6"/>
    <x v="2"/>
    <x v="3"/>
    <n v="0"/>
  </r>
  <r>
    <x v="15"/>
    <s v="IRN"/>
    <x v="3"/>
    <x v="0"/>
    <x v="7"/>
    <x v="4"/>
    <x v="3"/>
    <n v="0"/>
  </r>
  <r>
    <x v="15"/>
    <s v="IRN"/>
    <x v="3"/>
    <x v="0"/>
    <x v="7"/>
    <x v="1"/>
    <x v="1"/>
    <n v="4951.4399999999996"/>
  </r>
  <r>
    <x v="15"/>
    <s v="IRN"/>
    <x v="3"/>
    <x v="0"/>
    <x v="8"/>
    <x v="0"/>
    <x v="3"/>
    <n v="0"/>
  </r>
  <r>
    <x v="15"/>
    <s v="IRN"/>
    <x v="3"/>
    <x v="0"/>
    <x v="8"/>
    <x v="3"/>
    <x v="0"/>
    <n v="3649.41"/>
  </r>
  <r>
    <x v="15"/>
    <s v="IRN"/>
    <x v="3"/>
    <x v="0"/>
    <x v="8"/>
    <x v="4"/>
    <x v="2"/>
    <n v="141.4"/>
  </r>
  <r>
    <x v="15"/>
    <s v="IRN"/>
    <x v="3"/>
    <x v="0"/>
    <x v="8"/>
    <x v="5"/>
    <x v="2"/>
    <n v="602.36"/>
  </r>
  <r>
    <x v="15"/>
    <s v="IRN"/>
    <x v="3"/>
    <x v="0"/>
    <x v="9"/>
    <x v="3"/>
    <x v="3"/>
    <n v="202.1"/>
  </r>
  <r>
    <x v="15"/>
    <s v="IRN"/>
    <x v="3"/>
    <x v="0"/>
    <x v="9"/>
    <x v="1"/>
    <x v="2"/>
    <n v="2711.84"/>
  </r>
  <r>
    <x v="15"/>
    <s v="IRN"/>
    <x v="3"/>
    <x v="0"/>
    <x v="11"/>
    <x v="6"/>
    <x v="1"/>
    <n v="139973.81"/>
  </r>
  <r>
    <x v="15"/>
    <s v="IRN"/>
    <x v="3"/>
    <x v="0"/>
    <x v="11"/>
    <x v="2"/>
    <x v="1"/>
    <n v="44664.93"/>
  </r>
  <r>
    <x v="15"/>
    <s v="IRN"/>
    <x v="3"/>
    <x v="0"/>
    <x v="12"/>
    <x v="6"/>
    <x v="0"/>
    <n v="22210.28"/>
  </r>
  <r>
    <x v="15"/>
    <s v="IRN"/>
    <x v="3"/>
    <x v="0"/>
    <x v="12"/>
    <x v="6"/>
    <x v="3"/>
    <n v="0"/>
  </r>
  <r>
    <x v="15"/>
    <s v="IRN"/>
    <x v="3"/>
    <x v="0"/>
    <x v="12"/>
    <x v="2"/>
    <x v="2"/>
    <n v="3131.78"/>
  </r>
  <r>
    <x v="15"/>
    <s v="IRN"/>
    <x v="3"/>
    <x v="0"/>
    <x v="13"/>
    <x v="3"/>
    <x v="0"/>
    <n v="4056.7"/>
  </r>
  <r>
    <x v="15"/>
    <s v="IRN"/>
    <x v="3"/>
    <x v="0"/>
    <x v="13"/>
    <x v="4"/>
    <x v="1"/>
    <n v="148.44999999999999"/>
  </r>
  <r>
    <x v="15"/>
    <s v="IRN"/>
    <x v="3"/>
    <x v="0"/>
    <x v="13"/>
    <x v="4"/>
    <x v="2"/>
    <n v="138.9"/>
  </r>
  <r>
    <x v="15"/>
    <s v="IRN"/>
    <x v="3"/>
    <x v="0"/>
    <x v="13"/>
    <x v="1"/>
    <x v="2"/>
    <n v="3337.44"/>
  </r>
  <r>
    <x v="15"/>
    <s v="IRN"/>
    <x v="3"/>
    <x v="0"/>
    <x v="14"/>
    <x v="3"/>
    <x v="1"/>
    <n v="284.88"/>
  </r>
  <r>
    <x v="15"/>
    <s v="IRN"/>
    <x v="3"/>
    <x v="0"/>
    <x v="14"/>
    <x v="3"/>
    <x v="2"/>
    <n v="262.63"/>
  </r>
  <r>
    <x v="15"/>
    <s v="IRN"/>
    <x v="3"/>
    <x v="0"/>
    <x v="14"/>
    <x v="4"/>
    <x v="3"/>
    <n v="0"/>
  </r>
  <r>
    <x v="15"/>
    <s v="IRN"/>
    <x v="3"/>
    <x v="0"/>
    <x v="14"/>
    <x v="1"/>
    <x v="3"/>
    <n v="0"/>
  </r>
  <r>
    <x v="15"/>
    <s v="IRN"/>
    <x v="3"/>
    <x v="0"/>
    <x v="15"/>
    <x v="4"/>
    <x v="3"/>
    <n v="0"/>
  </r>
  <r>
    <x v="15"/>
    <s v="IRN"/>
    <x v="3"/>
    <x v="0"/>
    <x v="15"/>
    <x v="1"/>
    <x v="1"/>
    <n v="4795.32"/>
  </r>
  <r>
    <x v="15"/>
    <s v="IRN"/>
    <x v="3"/>
    <x v="0"/>
    <x v="15"/>
    <x v="1"/>
    <x v="0"/>
    <n v="151579.20000000001"/>
  </r>
  <r>
    <x v="15"/>
    <s v="IRN"/>
    <x v="3"/>
    <x v="0"/>
    <x v="15"/>
    <x v="1"/>
    <x v="2"/>
    <n v="3209.09"/>
  </r>
  <r>
    <x v="15"/>
    <s v="IRN"/>
    <x v="3"/>
    <x v="0"/>
    <x v="16"/>
    <x v="6"/>
    <x v="2"/>
    <n v="45841.97"/>
  </r>
  <r>
    <x v="15"/>
    <s v="IRN"/>
    <x v="3"/>
    <x v="0"/>
    <x v="16"/>
    <x v="0"/>
    <x v="1"/>
    <n v="12487.17"/>
  </r>
  <r>
    <x v="15"/>
    <s v="IRN"/>
    <x v="3"/>
    <x v="0"/>
    <x v="16"/>
    <x v="4"/>
    <x v="2"/>
    <n v="174.62"/>
  </r>
  <r>
    <x v="15"/>
    <s v="IRN"/>
    <x v="3"/>
    <x v="0"/>
    <x v="17"/>
    <x v="6"/>
    <x v="0"/>
    <n v="21910.49"/>
  </r>
  <r>
    <x v="15"/>
    <s v="IRN"/>
    <x v="3"/>
    <x v="0"/>
    <x v="17"/>
    <x v="6"/>
    <x v="2"/>
    <n v="40394.85"/>
  </r>
  <r>
    <x v="15"/>
    <s v="IRN"/>
    <x v="3"/>
    <x v="0"/>
    <x v="17"/>
    <x v="0"/>
    <x v="3"/>
    <n v="0"/>
  </r>
  <r>
    <x v="15"/>
    <s v="IRN"/>
    <x v="3"/>
    <x v="0"/>
    <x v="33"/>
    <x v="4"/>
    <x v="1"/>
    <n v="162.24"/>
  </r>
  <r>
    <x v="15"/>
    <s v="IRN"/>
    <x v="3"/>
    <x v="0"/>
    <x v="33"/>
    <x v="4"/>
    <x v="2"/>
    <n v="183.04"/>
  </r>
  <r>
    <x v="15"/>
    <s v="IRN"/>
    <x v="3"/>
    <x v="0"/>
    <x v="33"/>
    <x v="1"/>
    <x v="3"/>
    <n v="0"/>
  </r>
  <r>
    <x v="15"/>
    <s v="IRN"/>
    <x v="3"/>
    <x v="0"/>
    <x v="33"/>
    <x v="5"/>
    <x v="1"/>
    <n v="1529.92"/>
  </r>
  <r>
    <x v="15"/>
    <s v="IRN"/>
    <x v="3"/>
    <x v="0"/>
    <x v="33"/>
    <x v="2"/>
    <x v="0"/>
    <n v="9856.9599999999991"/>
  </r>
  <r>
    <x v="15"/>
    <s v="IRN"/>
    <x v="3"/>
    <x v="0"/>
    <x v="18"/>
    <x v="6"/>
    <x v="1"/>
    <n v="152303.23000000001"/>
  </r>
  <r>
    <x v="15"/>
    <s v="IRN"/>
    <x v="3"/>
    <x v="0"/>
    <x v="18"/>
    <x v="1"/>
    <x v="2"/>
    <n v="3298.81"/>
  </r>
  <r>
    <x v="15"/>
    <s v="IRN"/>
    <x v="3"/>
    <x v="0"/>
    <x v="18"/>
    <x v="2"/>
    <x v="3"/>
    <n v="0"/>
  </r>
  <r>
    <x v="15"/>
    <s v="IRN"/>
    <x v="3"/>
    <x v="0"/>
    <x v="19"/>
    <x v="0"/>
    <x v="1"/>
    <n v="13359.1"/>
  </r>
  <r>
    <x v="15"/>
    <s v="IRN"/>
    <x v="3"/>
    <x v="0"/>
    <x v="19"/>
    <x v="3"/>
    <x v="1"/>
    <n v="274.17"/>
  </r>
  <r>
    <x v="15"/>
    <s v="IRN"/>
    <x v="3"/>
    <x v="0"/>
    <x v="19"/>
    <x v="4"/>
    <x v="1"/>
    <n v="200.38"/>
  </r>
  <r>
    <x v="15"/>
    <s v="IRN"/>
    <x v="3"/>
    <x v="0"/>
    <x v="20"/>
    <x v="1"/>
    <x v="2"/>
    <n v="3788.75"/>
  </r>
  <r>
    <x v="15"/>
    <s v="IRN"/>
    <x v="3"/>
    <x v="0"/>
    <x v="20"/>
    <x v="2"/>
    <x v="2"/>
    <n v="3791.28"/>
  </r>
  <r>
    <x v="15"/>
    <s v="IRN"/>
    <x v="3"/>
    <x v="0"/>
    <x v="21"/>
    <x v="2"/>
    <x v="3"/>
    <n v="0"/>
  </r>
  <r>
    <x v="15"/>
    <s v="IRN"/>
    <x v="3"/>
    <x v="0"/>
    <x v="22"/>
    <x v="3"/>
    <x v="0"/>
    <n v="4839.5600000000004"/>
  </r>
  <r>
    <x v="15"/>
    <s v="IRN"/>
    <x v="3"/>
    <x v="0"/>
    <x v="22"/>
    <x v="5"/>
    <x v="0"/>
    <n v="74308.23"/>
  </r>
  <r>
    <x v="15"/>
    <s v="IRN"/>
    <x v="3"/>
    <x v="0"/>
    <x v="23"/>
    <x v="0"/>
    <x v="2"/>
    <n v="5016.51"/>
  </r>
  <r>
    <x v="15"/>
    <s v="IRN"/>
    <x v="3"/>
    <x v="0"/>
    <x v="23"/>
    <x v="4"/>
    <x v="3"/>
    <n v="0"/>
  </r>
  <r>
    <x v="15"/>
    <s v="IRN"/>
    <x v="3"/>
    <x v="0"/>
    <x v="25"/>
    <x v="0"/>
    <x v="1"/>
    <n v="13307.34"/>
  </r>
  <r>
    <x v="15"/>
    <s v="IRN"/>
    <x v="3"/>
    <x v="0"/>
    <x v="25"/>
    <x v="3"/>
    <x v="1"/>
    <n v="253.15"/>
  </r>
  <r>
    <x v="15"/>
    <s v="IRN"/>
    <x v="3"/>
    <x v="0"/>
    <x v="25"/>
    <x v="4"/>
    <x v="0"/>
    <n v="16348.79"/>
  </r>
  <r>
    <x v="15"/>
    <s v="IRN"/>
    <x v="3"/>
    <x v="0"/>
    <x v="25"/>
    <x v="4"/>
    <x v="3"/>
    <n v="0"/>
  </r>
  <r>
    <x v="15"/>
    <s v="IRN"/>
    <x v="3"/>
    <x v="0"/>
    <x v="25"/>
    <x v="2"/>
    <x v="3"/>
    <n v="0"/>
  </r>
  <r>
    <x v="15"/>
    <s v="IRN"/>
    <x v="3"/>
    <x v="0"/>
    <x v="26"/>
    <x v="6"/>
    <x v="3"/>
    <n v="0"/>
  </r>
  <r>
    <x v="15"/>
    <s v="IRN"/>
    <x v="3"/>
    <x v="0"/>
    <x v="26"/>
    <x v="6"/>
    <x v="2"/>
    <n v="45197"/>
  </r>
  <r>
    <x v="15"/>
    <s v="IRN"/>
    <x v="3"/>
    <x v="0"/>
    <x v="34"/>
    <x v="4"/>
    <x v="1"/>
    <n v="184.83"/>
  </r>
  <r>
    <x v="15"/>
    <s v="IRN"/>
    <x v="3"/>
    <x v="0"/>
    <x v="34"/>
    <x v="1"/>
    <x v="3"/>
    <n v="0"/>
  </r>
  <r>
    <x v="15"/>
    <s v="IRN"/>
    <x v="3"/>
    <x v="0"/>
    <x v="34"/>
    <x v="5"/>
    <x v="0"/>
    <n v="80543.3"/>
  </r>
  <r>
    <x v="15"/>
    <s v="IRN"/>
    <x v="3"/>
    <x v="0"/>
    <x v="27"/>
    <x v="4"/>
    <x v="2"/>
    <n v="199.36"/>
  </r>
  <r>
    <x v="15"/>
    <s v="IRN"/>
    <x v="3"/>
    <x v="0"/>
    <x v="29"/>
    <x v="5"/>
    <x v="1"/>
    <n v="1601.24"/>
  </r>
  <r>
    <x v="15"/>
    <s v="IRN"/>
    <x v="3"/>
    <x v="0"/>
    <x v="29"/>
    <x v="2"/>
    <x v="1"/>
    <n v="54210.11"/>
  </r>
  <r>
    <x v="15"/>
    <s v="IRN"/>
    <x v="3"/>
    <x v="0"/>
    <x v="30"/>
    <x v="6"/>
    <x v="1"/>
    <n v="161016.5"/>
  </r>
  <r>
    <x v="15"/>
    <s v="IRN"/>
    <x v="3"/>
    <x v="0"/>
    <x v="30"/>
    <x v="6"/>
    <x v="2"/>
    <n v="46103.16"/>
  </r>
  <r>
    <x v="15"/>
    <s v="IRN"/>
    <x v="3"/>
    <x v="0"/>
    <x v="30"/>
    <x v="0"/>
    <x v="3"/>
    <n v="0"/>
  </r>
  <r>
    <x v="15"/>
    <s v="IRN"/>
    <x v="3"/>
    <x v="0"/>
    <x v="30"/>
    <x v="3"/>
    <x v="3"/>
    <n v="241.2"/>
  </r>
  <r>
    <x v="15"/>
    <s v="IRN"/>
    <x v="3"/>
    <x v="0"/>
    <x v="30"/>
    <x v="1"/>
    <x v="3"/>
    <n v="0"/>
  </r>
  <r>
    <x v="15"/>
    <s v="IRN"/>
    <x v="3"/>
    <x v="0"/>
    <x v="32"/>
    <x v="4"/>
    <x v="2"/>
    <n v="184.2"/>
  </r>
  <r>
    <x v="16"/>
    <s v="IRQ"/>
    <x v="3"/>
    <x v="0"/>
    <x v="0"/>
    <x v="3"/>
    <x v="0"/>
    <n v="26748.880000000001"/>
  </r>
  <r>
    <x v="16"/>
    <s v="IRQ"/>
    <x v="3"/>
    <x v="0"/>
    <x v="0"/>
    <x v="4"/>
    <x v="1"/>
    <n v="38.409999999999997"/>
  </r>
  <r>
    <x v="16"/>
    <s v="IRQ"/>
    <x v="3"/>
    <x v="0"/>
    <x v="1"/>
    <x v="6"/>
    <x v="2"/>
    <n v="2443.1"/>
  </r>
  <r>
    <x v="16"/>
    <s v="IRQ"/>
    <x v="3"/>
    <x v="0"/>
    <x v="1"/>
    <x v="4"/>
    <x v="2"/>
    <n v="33.9"/>
  </r>
  <r>
    <x v="16"/>
    <s v="IRQ"/>
    <x v="3"/>
    <x v="0"/>
    <x v="1"/>
    <x v="1"/>
    <x v="0"/>
    <n v="25739.52"/>
  </r>
  <r>
    <x v="16"/>
    <s v="IRQ"/>
    <x v="3"/>
    <x v="0"/>
    <x v="1"/>
    <x v="2"/>
    <x v="1"/>
    <n v="3011.39"/>
  </r>
  <r>
    <x v="16"/>
    <s v="IRQ"/>
    <x v="3"/>
    <x v="0"/>
    <x v="2"/>
    <x v="6"/>
    <x v="3"/>
    <n v="0"/>
  </r>
  <r>
    <x v="16"/>
    <s v="IRQ"/>
    <x v="3"/>
    <x v="0"/>
    <x v="2"/>
    <x v="5"/>
    <x v="3"/>
    <n v="0"/>
  </r>
  <r>
    <x v="16"/>
    <s v="IRQ"/>
    <x v="3"/>
    <x v="0"/>
    <x v="2"/>
    <x v="2"/>
    <x v="1"/>
    <n v="3827.98"/>
  </r>
  <r>
    <x v="16"/>
    <s v="IRQ"/>
    <x v="3"/>
    <x v="0"/>
    <x v="4"/>
    <x v="6"/>
    <x v="3"/>
    <n v="0"/>
  </r>
  <r>
    <x v="16"/>
    <s v="IRQ"/>
    <x v="3"/>
    <x v="0"/>
    <x v="4"/>
    <x v="3"/>
    <x v="1"/>
    <n v="1800.87"/>
  </r>
  <r>
    <x v="16"/>
    <s v="IRQ"/>
    <x v="3"/>
    <x v="0"/>
    <x v="4"/>
    <x v="4"/>
    <x v="1"/>
    <n v="48.53"/>
  </r>
  <r>
    <x v="16"/>
    <s v="IRQ"/>
    <x v="3"/>
    <x v="0"/>
    <x v="4"/>
    <x v="4"/>
    <x v="2"/>
    <n v="45.07"/>
  </r>
  <r>
    <x v="16"/>
    <s v="IRQ"/>
    <x v="3"/>
    <x v="0"/>
    <x v="4"/>
    <x v="1"/>
    <x v="2"/>
    <n v="654.20000000000005"/>
  </r>
  <r>
    <x v="16"/>
    <s v="IRQ"/>
    <x v="3"/>
    <x v="0"/>
    <x v="4"/>
    <x v="5"/>
    <x v="0"/>
    <n v="10562.02"/>
  </r>
  <r>
    <x v="16"/>
    <s v="IRQ"/>
    <x v="3"/>
    <x v="0"/>
    <x v="4"/>
    <x v="2"/>
    <x v="1"/>
    <n v="4279.66"/>
  </r>
  <r>
    <x v="16"/>
    <s v="IRQ"/>
    <x v="3"/>
    <x v="0"/>
    <x v="5"/>
    <x v="6"/>
    <x v="1"/>
    <n v="9023.93"/>
  </r>
  <r>
    <x v="16"/>
    <s v="IRQ"/>
    <x v="3"/>
    <x v="0"/>
    <x v="5"/>
    <x v="2"/>
    <x v="1"/>
    <n v="3906.45"/>
  </r>
  <r>
    <x v="16"/>
    <s v="IRQ"/>
    <x v="3"/>
    <x v="0"/>
    <x v="5"/>
    <x v="2"/>
    <x v="2"/>
    <n v="246.79"/>
  </r>
  <r>
    <x v="16"/>
    <s v="IRQ"/>
    <x v="3"/>
    <x v="0"/>
    <x v="6"/>
    <x v="3"/>
    <x v="3"/>
    <n v="1877.96"/>
  </r>
  <r>
    <x v="16"/>
    <s v="IRQ"/>
    <x v="3"/>
    <x v="0"/>
    <x v="6"/>
    <x v="4"/>
    <x v="1"/>
    <n v="48.18"/>
  </r>
  <r>
    <x v="16"/>
    <s v="IRQ"/>
    <x v="3"/>
    <x v="0"/>
    <x v="6"/>
    <x v="1"/>
    <x v="2"/>
    <n v="711.14"/>
  </r>
  <r>
    <x v="16"/>
    <s v="IRQ"/>
    <x v="3"/>
    <x v="0"/>
    <x v="7"/>
    <x v="0"/>
    <x v="0"/>
    <n v="29578.240000000002"/>
  </r>
  <r>
    <x v="16"/>
    <s v="IRQ"/>
    <x v="3"/>
    <x v="0"/>
    <x v="7"/>
    <x v="1"/>
    <x v="1"/>
    <n v="968.03"/>
  </r>
  <r>
    <x v="16"/>
    <s v="IRQ"/>
    <x v="3"/>
    <x v="0"/>
    <x v="7"/>
    <x v="2"/>
    <x v="3"/>
    <n v="0"/>
  </r>
  <r>
    <x v="16"/>
    <s v="IRQ"/>
    <x v="3"/>
    <x v="0"/>
    <x v="8"/>
    <x v="6"/>
    <x v="3"/>
    <n v="0"/>
  </r>
  <r>
    <x v="16"/>
    <s v="IRQ"/>
    <x v="3"/>
    <x v="0"/>
    <x v="8"/>
    <x v="5"/>
    <x v="2"/>
    <n v="98.13"/>
  </r>
  <r>
    <x v="16"/>
    <s v="IRQ"/>
    <x v="3"/>
    <x v="0"/>
    <x v="10"/>
    <x v="4"/>
    <x v="0"/>
    <n v="4611.47"/>
  </r>
  <r>
    <x v="16"/>
    <s v="IRQ"/>
    <x v="3"/>
    <x v="0"/>
    <x v="10"/>
    <x v="4"/>
    <x v="3"/>
    <n v="0"/>
  </r>
  <r>
    <x v="16"/>
    <s v="IRQ"/>
    <x v="3"/>
    <x v="0"/>
    <x v="10"/>
    <x v="2"/>
    <x v="2"/>
    <n v="298.20999999999998"/>
  </r>
  <r>
    <x v="16"/>
    <s v="IRQ"/>
    <x v="3"/>
    <x v="0"/>
    <x v="11"/>
    <x v="6"/>
    <x v="3"/>
    <n v="0"/>
  </r>
  <r>
    <x v="16"/>
    <s v="IRQ"/>
    <x v="3"/>
    <x v="0"/>
    <x v="11"/>
    <x v="3"/>
    <x v="1"/>
    <n v="2164.69"/>
  </r>
  <r>
    <x v="16"/>
    <s v="IRQ"/>
    <x v="3"/>
    <x v="0"/>
    <x v="11"/>
    <x v="4"/>
    <x v="0"/>
    <n v="4801.95"/>
  </r>
  <r>
    <x v="16"/>
    <s v="IRQ"/>
    <x v="3"/>
    <x v="0"/>
    <x v="11"/>
    <x v="5"/>
    <x v="1"/>
    <n v="233.75"/>
  </r>
  <r>
    <x v="16"/>
    <s v="IRQ"/>
    <x v="3"/>
    <x v="0"/>
    <x v="11"/>
    <x v="5"/>
    <x v="3"/>
    <n v="0"/>
  </r>
  <r>
    <x v="16"/>
    <s v="IRQ"/>
    <x v="3"/>
    <x v="0"/>
    <x v="12"/>
    <x v="4"/>
    <x v="1"/>
    <n v="50.18"/>
  </r>
  <r>
    <x v="16"/>
    <s v="IRQ"/>
    <x v="3"/>
    <x v="0"/>
    <x v="12"/>
    <x v="4"/>
    <x v="0"/>
    <n v="5300.8"/>
  </r>
  <r>
    <x v="16"/>
    <s v="IRQ"/>
    <x v="3"/>
    <x v="0"/>
    <x v="12"/>
    <x v="2"/>
    <x v="2"/>
    <n v="286.02"/>
  </r>
  <r>
    <x v="16"/>
    <s v="IRQ"/>
    <x v="3"/>
    <x v="0"/>
    <x v="13"/>
    <x v="6"/>
    <x v="2"/>
    <n v="3311.51"/>
  </r>
  <r>
    <x v="16"/>
    <s v="IRQ"/>
    <x v="3"/>
    <x v="0"/>
    <x v="13"/>
    <x v="3"/>
    <x v="2"/>
    <n v="2251.34"/>
  </r>
  <r>
    <x v="16"/>
    <s v="IRQ"/>
    <x v="3"/>
    <x v="0"/>
    <x v="13"/>
    <x v="4"/>
    <x v="2"/>
    <n v="49.43"/>
  </r>
  <r>
    <x v="16"/>
    <s v="IRQ"/>
    <x v="3"/>
    <x v="0"/>
    <x v="13"/>
    <x v="2"/>
    <x v="2"/>
    <n v="312.18"/>
  </r>
  <r>
    <x v="16"/>
    <s v="IRQ"/>
    <x v="3"/>
    <x v="0"/>
    <x v="14"/>
    <x v="4"/>
    <x v="1"/>
    <n v="52.37"/>
  </r>
  <r>
    <x v="16"/>
    <s v="IRQ"/>
    <x v="3"/>
    <x v="0"/>
    <x v="14"/>
    <x v="1"/>
    <x v="1"/>
    <n v="1248.67"/>
  </r>
  <r>
    <x v="16"/>
    <s v="IRQ"/>
    <x v="3"/>
    <x v="0"/>
    <x v="15"/>
    <x v="5"/>
    <x v="3"/>
    <n v="0"/>
  </r>
  <r>
    <x v="16"/>
    <s v="IRQ"/>
    <x v="3"/>
    <x v="0"/>
    <x v="15"/>
    <x v="2"/>
    <x v="0"/>
    <n v="977.06"/>
  </r>
  <r>
    <x v="16"/>
    <s v="IRQ"/>
    <x v="3"/>
    <x v="0"/>
    <x v="15"/>
    <x v="2"/>
    <x v="2"/>
    <n v="322.27999999999997"/>
  </r>
  <r>
    <x v="16"/>
    <s v="IRQ"/>
    <x v="3"/>
    <x v="0"/>
    <x v="16"/>
    <x v="5"/>
    <x v="1"/>
    <n v="250.05"/>
  </r>
  <r>
    <x v="16"/>
    <s v="IRQ"/>
    <x v="3"/>
    <x v="0"/>
    <x v="16"/>
    <x v="5"/>
    <x v="3"/>
    <n v="0"/>
  </r>
  <r>
    <x v="16"/>
    <s v="IRQ"/>
    <x v="3"/>
    <x v="0"/>
    <x v="17"/>
    <x v="0"/>
    <x v="3"/>
    <n v="0"/>
  </r>
  <r>
    <x v="16"/>
    <s v="IRQ"/>
    <x v="3"/>
    <x v="0"/>
    <x v="17"/>
    <x v="1"/>
    <x v="0"/>
    <n v="40490.699999999997"/>
  </r>
  <r>
    <x v="16"/>
    <s v="IRQ"/>
    <x v="3"/>
    <x v="0"/>
    <x v="17"/>
    <x v="1"/>
    <x v="2"/>
    <n v="770.12"/>
  </r>
  <r>
    <x v="16"/>
    <s v="IRQ"/>
    <x v="3"/>
    <x v="0"/>
    <x v="17"/>
    <x v="2"/>
    <x v="2"/>
    <n v="329.07"/>
  </r>
  <r>
    <x v="16"/>
    <s v="IRQ"/>
    <x v="3"/>
    <x v="0"/>
    <x v="33"/>
    <x v="4"/>
    <x v="2"/>
    <n v="58.73"/>
  </r>
  <r>
    <x v="16"/>
    <s v="IRQ"/>
    <x v="3"/>
    <x v="0"/>
    <x v="33"/>
    <x v="5"/>
    <x v="1"/>
    <n v="264.60000000000002"/>
  </r>
  <r>
    <x v="16"/>
    <s v="IRQ"/>
    <x v="3"/>
    <x v="0"/>
    <x v="33"/>
    <x v="5"/>
    <x v="2"/>
    <n v="141.66999999999999"/>
  </r>
  <r>
    <x v="16"/>
    <s v="IRQ"/>
    <x v="3"/>
    <x v="0"/>
    <x v="33"/>
    <x v="2"/>
    <x v="0"/>
    <n v="1065.8800000000001"/>
  </r>
  <r>
    <x v="16"/>
    <s v="IRQ"/>
    <x v="3"/>
    <x v="0"/>
    <x v="19"/>
    <x v="4"/>
    <x v="1"/>
    <n v="66.349999999999994"/>
  </r>
  <r>
    <x v="16"/>
    <s v="IRQ"/>
    <x v="3"/>
    <x v="0"/>
    <x v="20"/>
    <x v="3"/>
    <x v="3"/>
    <n v="2303.85"/>
  </r>
  <r>
    <x v="16"/>
    <s v="IRQ"/>
    <x v="3"/>
    <x v="0"/>
    <x v="20"/>
    <x v="4"/>
    <x v="3"/>
    <n v="0"/>
  </r>
  <r>
    <x v="16"/>
    <s v="IRQ"/>
    <x v="3"/>
    <x v="0"/>
    <x v="21"/>
    <x v="6"/>
    <x v="3"/>
    <n v="0"/>
  </r>
  <r>
    <x v="16"/>
    <s v="IRQ"/>
    <x v="3"/>
    <x v="0"/>
    <x v="21"/>
    <x v="0"/>
    <x v="3"/>
    <n v="0"/>
  </r>
  <r>
    <x v="16"/>
    <s v="IRQ"/>
    <x v="3"/>
    <x v="0"/>
    <x v="22"/>
    <x v="6"/>
    <x v="1"/>
    <n v="12986.62"/>
  </r>
  <r>
    <x v="16"/>
    <s v="IRQ"/>
    <x v="3"/>
    <x v="0"/>
    <x v="22"/>
    <x v="0"/>
    <x v="3"/>
    <n v="0"/>
  </r>
  <r>
    <x v="16"/>
    <s v="IRQ"/>
    <x v="3"/>
    <x v="0"/>
    <x v="22"/>
    <x v="3"/>
    <x v="0"/>
    <n v="43589.84"/>
  </r>
  <r>
    <x v="16"/>
    <s v="IRQ"/>
    <x v="3"/>
    <x v="0"/>
    <x v="23"/>
    <x v="4"/>
    <x v="3"/>
    <n v="0"/>
  </r>
  <r>
    <x v="16"/>
    <s v="IRQ"/>
    <x v="3"/>
    <x v="0"/>
    <x v="23"/>
    <x v="5"/>
    <x v="1"/>
    <n v="253.37"/>
  </r>
  <r>
    <x v="16"/>
    <s v="IRQ"/>
    <x v="3"/>
    <x v="0"/>
    <x v="23"/>
    <x v="5"/>
    <x v="0"/>
    <n v="14598.17"/>
  </r>
  <r>
    <x v="16"/>
    <s v="IRQ"/>
    <x v="3"/>
    <x v="0"/>
    <x v="23"/>
    <x v="2"/>
    <x v="1"/>
    <n v="5256.96"/>
  </r>
  <r>
    <x v="16"/>
    <s v="IRQ"/>
    <x v="3"/>
    <x v="0"/>
    <x v="24"/>
    <x v="3"/>
    <x v="1"/>
    <n v="2503.69"/>
  </r>
  <r>
    <x v="16"/>
    <s v="IRQ"/>
    <x v="3"/>
    <x v="0"/>
    <x v="24"/>
    <x v="2"/>
    <x v="0"/>
    <n v="1105.8800000000001"/>
  </r>
  <r>
    <x v="16"/>
    <s v="IRQ"/>
    <x v="3"/>
    <x v="0"/>
    <x v="24"/>
    <x v="2"/>
    <x v="2"/>
    <n v="333.63"/>
  </r>
  <r>
    <x v="16"/>
    <s v="IRQ"/>
    <x v="3"/>
    <x v="0"/>
    <x v="25"/>
    <x v="6"/>
    <x v="3"/>
    <n v="0"/>
  </r>
  <r>
    <x v="16"/>
    <s v="IRQ"/>
    <x v="3"/>
    <x v="0"/>
    <x v="25"/>
    <x v="0"/>
    <x v="3"/>
    <n v="0"/>
  </r>
  <r>
    <x v="16"/>
    <s v="IRQ"/>
    <x v="3"/>
    <x v="0"/>
    <x v="25"/>
    <x v="3"/>
    <x v="2"/>
    <n v="2578.94"/>
  </r>
  <r>
    <x v="16"/>
    <s v="IRQ"/>
    <x v="3"/>
    <x v="0"/>
    <x v="25"/>
    <x v="1"/>
    <x v="2"/>
    <n v="975.75"/>
  </r>
  <r>
    <x v="16"/>
    <s v="IRQ"/>
    <x v="3"/>
    <x v="0"/>
    <x v="25"/>
    <x v="5"/>
    <x v="3"/>
    <n v="0"/>
  </r>
  <r>
    <x v="16"/>
    <s v="IRQ"/>
    <x v="3"/>
    <x v="0"/>
    <x v="26"/>
    <x v="5"/>
    <x v="2"/>
    <n v="127.3"/>
  </r>
  <r>
    <x v="16"/>
    <s v="IRQ"/>
    <x v="3"/>
    <x v="0"/>
    <x v="34"/>
    <x v="6"/>
    <x v="2"/>
    <n v="2975.08"/>
  </r>
  <r>
    <x v="16"/>
    <s v="IRQ"/>
    <x v="3"/>
    <x v="0"/>
    <x v="34"/>
    <x v="4"/>
    <x v="3"/>
    <n v="0"/>
  </r>
  <r>
    <x v="16"/>
    <s v="IRQ"/>
    <x v="3"/>
    <x v="0"/>
    <x v="34"/>
    <x v="5"/>
    <x v="1"/>
    <n v="230.46"/>
  </r>
  <r>
    <x v="16"/>
    <s v="IRQ"/>
    <x v="3"/>
    <x v="0"/>
    <x v="34"/>
    <x v="2"/>
    <x v="0"/>
    <n v="880.89"/>
  </r>
  <r>
    <x v="16"/>
    <s v="IRQ"/>
    <x v="3"/>
    <x v="0"/>
    <x v="27"/>
    <x v="5"/>
    <x v="0"/>
    <n v="12273.1"/>
  </r>
  <r>
    <x v="16"/>
    <s v="IRQ"/>
    <x v="3"/>
    <x v="0"/>
    <x v="28"/>
    <x v="6"/>
    <x v="2"/>
    <n v="3568.67"/>
  </r>
  <r>
    <x v="16"/>
    <s v="IRQ"/>
    <x v="3"/>
    <x v="0"/>
    <x v="28"/>
    <x v="5"/>
    <x v="1"/>
    <n v="275.44"/>
  </r>
  <r>
    <x v="16"/>
    <s v="IRQ"/>
    <x v="3"/>
    <x v="0"/>
    <x v="28"/>
    <x v="5"/>
    <x v="3"/>
    <n v="0"/>
  </r>
  <r>
    <x v="16"/>
    <s v="IRQ"/>
    <x v="3"/>
    <x v="0"/>
    <x v="29"/>
    <x v="0"/>
    <x v="0"/>
    <n v="37614.33"/>
  </r>
  <r>
    <x v="16"/>
    <s v="IRQ"/>
    <x v="3"/>
    <x v="0"/>
    <x v="29"/>
    <x v="1"/>
    <x v="2"/>
    <n v="958.21"/>
  </r>
  <r>
    <x v="16"/>
    <s v="IRQ"/>
    <x v="3"/>
    <x v="0"/>
    <x v="29"/>
    <x v="2"/>
    <x v="1"/>
    <n v="5364.93"/>
  </r>
  <r>
    <x v="16"/>
    <s v="IRQ"/>
    <x v="3"/>
    <x v="0"/>
    <x v="29"/>
    <x v="2"/>
    <x v="2"/>
    <n v="328.62"/>
  </r>
  <r>
    <x v="16"/>
    <s v="IRQ"/>
    <x v="3"/>
    <x v="0"/>
    <x v="30"/>
    <x v="6"/>
    <x v="0"/>
    <n v="1815.09"/>
  </r>
  <r>
    <x v="16"/>
    <s v="IRQ"/>
    <x v="3"/>
    <x v="0"/>
    <x v="30"/>
    <x v="4"/>
    <x v="1"/>
    <n v="64.91"/>
  </r>
  <r>
    <x v="16"/>
    <s v="IRQ"/>
    <x v="3"/>
    <x v="0"/>
    <x v="30"/>
    <x v="1"/>
    <x v="2"/>
    <n v="849.47"/>
  </r>
  <r>
    <x v="16"/>
    <s v="IRQ"/>
    <x v="3"/>
    <x v="0"/>
    <x v="31"/>
    <x v="6"/>
    <x v="2"/>
    <n v="3862.37"/>
  </r>
  <r>
    <x v="16"/>
    <s v="IRQ"/>
    <x v="3"/>
    <x v="0"/>
    <x v="31"/>
    <x v="3"/>
    <x v="0"/>
    <n v="45137.15"/>
  </r>
  <r>
    <x v="16"/>
    <s v="IRQ"/>
    <x v="3"/>
    <x v="0"/>
    <x v="31"/>
    <x v="4"/>
    <x v="2"/>
    <n v="62.96"/>
  </r>
  <r>
    <x v="16"/>
    <s v="IRQ"/>
    <x v="3"/>
    <x v="0"/>
    <x v="31"/>
    <x v="1"/>
    <x v="1"/>
    <n v="1482.95"/>
  </r>
  <r>
    <x v="16"/>
    <s v="IRQ"/>
    <x v="3"/>
    <x v="0"/>
    <x v="32"/>
    <x v="1"/>
    <x v="0"/>
    <n v="40564.82"/>
  </r>
  <r>
    <x v="17"/>
    <s v="ITA"/>
    <x v="4"/>
    <x v="1"/>
    <x v="0"/>
    <x v="6"/>
    <x v="1"/>
    <n v="58053.94"/>
  </r>
  <r>
    <x v="17"/>
    <s v="ITA"/>
    <x v="4"/>
    <x v="1"/>
    <x v="0"/>
    <x v="4"/>
    <x v="0"/>
    <n v="41702.120000000003"/>
  </r>
  <r>
    <x v="17"/>
    <s v="ITA"/>
    <x v="4"/>
    <x v="1"/>
    <x v="0"/>
    <x v="5"/>
    <x v="0"/>
    <n v="128777.3"/>
  </r>
  <r>
    <x v="17"/>
    <s v="ITA"/>
    <x v="4"/>
    <x v="1"/>
    <x v="0"/>
    <x v="5"/>
    <x v="2"/>
    <n v="1383.18"/>
  </r>
  <r>
    <x v="17"/>
    <s v="ITA"/>
    <x v="4"/>
    <x v="1"/>
    <x v="1"/>
    <x v="0"/>
    <x v="2"/>
    <n v="4325.25"/>
  </r>
  <r>
    <x v="17"/>
    <s v="ITA"/>
    <x v="4"/>
    <x v="1"/>
    <x v="1"/>
    <x v="5"/>
    <x v="1"/>
    <n v="2731.3"/>
  </r>
  <r>
    <x v="17"/>
    <s v="ITA"/>
    <x v="4"/>
    <x v="1"/>
    <x v="1"/>
    <x v="5"/>
    <x v="0"/>
    <n v="120139.96"/>
  </r>
  <r>
    <x v="17"/>
    <s v="ITA"/>
    <x v="4"/>
    <x v="1"/>
    <x v="1"/>
    <x v="2"/>
    <x v="1"/>
    <n v="30021.200000000001"/>
  </r>
  <r>
    <x v="17"/>
    <s v="ITA"/>
    <x v="4"/>
    <x v="1"/>
    <x v="2"/>
    <x v="6"/>
    <x v="3"/>
    <n v="0"/>
  </r>
  <r>
    <x v="17"/>
    <s v="ITA"/>
    <x v="4"/>
    <x v="1"/>
    <x v="2"/>
    <x v="0"/>
    <x v="0"/>
    <n v="115840.06"/>
  </r>
  <r>
    <x v="17"/>
    <s v="ITA"/>
    <x v="4"/>
    <x v="1"/>
    <x v="2"/>
    <x v="1"/>
    <x v="1"/>
    <n v="3324.17"/>
  </r>
  <r>
    <x v="17"/>
    <s v="ITA"/>
    <x v="4"/>
    <x v="1"/>
    <x v="3"/>
    <x v="0"/>
    <x v="1"/>
    <n v="9757.09"/>
  </r>
  <r>
    <x v="17"/>
    <s v="ITA"/>
    <x v="4"/>
    <x v="1"/>
    <x v="3"/>
    <x v="3"/>
    <x v="1"/>
    <n v="3062.1"/>
  </r>
  <r>
    <x v="17"/>
    <s v="ITA"/>
    <x v="4"/>
    <x v="1"/>
    <x v="3"/>
    <x v="1"/>
    <x v="0"/>
    <n v="115686.38"/>
  </r>
  <r>
    <x v="17"/>
    <s v="ITA"/>
    <x v="4"/>
    <x v="1"/>
    <x v="3"/>
    <x v="1"/>
    <x v="3"/>
    <n v="0"/>
  </r>
  <r>
    <x v="17"/>
    <s v="ITA"/>
    <x v="4"/>
    <x v="1"/>
    <x v="3"/>
    <x v="5"/>
    <x v="2"/>
    <n v="1462.48"/>
  </r>
  <r>
    <x v="17"/>
    <s v="ITA"/>
    <x v="4"/>
    <x v="1"/>
    <x v="4"/>
    <x v="4"/>
    <x v="1"/>
    <n v="515.73"/>
  </r>
  <r>
    <x v="17"/>
    <s v="ITA"/>
    <x v="4"/>
    <x v="1"/>
    <x v="4"/>
    <x v="5"/>
    <x v="2"/>
    <n v="1620.79"/>
  </r>
  <r>
    <x v="17"/>
    <s v="ITA"/>
    <x v="4"/>
    <x v="1"/>
    <x v="5"/>
    <x v="4"/>
    <x v="1"/>
    <n v="418"/>
  </r>
  <r>
    <x v="17"/>
    <s v="ITA"/>
    <x v="4"/>
    <x v="1"/>
    <x v="5"/>
    <x v="4"/>
    <x v="3"/>
    <n v="0"/>
  </r>
  <r>
    <x v="17"/>
    <s v="ITA"/>
    <x v="4"/>
    <x v="1"/>
    <x v="5"/>
    <x v="5"/>
    <x v="0"/>
    <n v="138666.63"/>
  </r>
  <r>
    <x v="17"/>
    <s v="ITA"/>
    <x v="4"/>
    <x v="1"/>
    <x v="5"/>
    <x v="2"/>
    <x v="0"/>
    <n v="5250.92"/>
  </r>
  <r>
    <x v="17"/>
    <s v="ITA"/>
    <x v="4"/>
    <x v="1"/>
    <x v="5"/>
    <x v="2"/>
    <x v="2"/>
    <n v="1754.23"/>
  </r>
  <r>
    <x v="17"/>
    <s v="ITA"/>
    <x v="4"/>
    <x v="1"/>
    <x v="6"/>
    <x v="1"/>
    <x v="2"/>
    <n v="2230.31"/>
  </r>
  <r>
    <x v="17"/>
    <s v="ITA"/>
    <x v="4"/>
    <x v="1"/>
    <x v="7"/>
    <x v="6"/>
    <x v="1"/>
    <n v="61973.87"/>
  </r>
  <r>
    <x v="17"/>
    <s v="ITA"/>
    <x v="4"/>
    <x v="1"/>
    <x v="7"/>
    <x v="3"/>
    <x v="0"/>
    <n v="51460.1"/>
  </r>
  <r>
    <x v="17"/>
    <s v="ITA"/>
    <x v="4"/>
    <x v="1"/>
    <x v="7"/>
    <x v="1"/>
    <x v="1"/>
    <n v="3481.42"/>
  </r>
  <r>
    <x v="17"/>
    <s v="ITA"/>
    <x v="4"/>
    <x v="1"/>
    <x v="7"/>
    <x v="5"/>
    <x v="2"/>
    <n v="1342.35"/>
  </r>
  <r>
    <x v="17"/>
    <s v="ITA"/>
    <x v="4"/>
    <x v="1"/>
    <x v="8"/>
    <x v="0"/>
    <x v="1"/>
    <n v="10000"/>
  </r>
  <r>
    <x v="17"/>
    <s v="ITA"/>
    <x v="4"/>
    <x v="1"/>
    <x v="8"/>
    <x v="0"/>
    <x v="3"/>
    <n v="0"/>
  </r>
  <r>
    <x v="17"/>
    <s v="ITA"/>
    <x v="4"/>
    <x v="1"/>
    <x v="8"/>
    <x v="5"/>
    <x v="0"/>
    <n v="130885.28"/>
  </r>
  <r>
    <x v="17"/>
    <s v="ITA"/>
    <x v="4"/>
    <x v="1"/>
    <x v="9"/>
    <x v="6"/>
    <x v="1"/>
    <n v="63741.440000000002"/>
  </r>
  <r>
    <x v="17"/>
    <s v="ITA"/>
    <x v="4"/>
    <x v="1"/>
    <x v="9"/>
    <x v="5"/>
    <x v="3"/>
    <n v="0"/>
  </r>
  <r>
    <x v="17"/>
    <s v="ITA"/>
    <x v="4"/>
    <x v="1"/>
    <x v="10"/>
    <x v="4"/>
    <x v="1"/>
    <n v="499.48"/>
  </r>
  <r>
    <x v="17"/>
    <s v="ITA"/>
    <x v="4"/>
    <x v="1"/>
    <x v="11"/>
    <x v="6"/>
    <x v="0"/>
    <n v="9146.7800000000007"/>
  </r>
  <r>
    <x v="17"/>
    <s v="ITA"/>
    <x v="4"/>
    <x v="1"/>
    <x v="11"/>
    <x v="0"/>
    <x v="1"/>
    <n v="9834.86"/>
  </r>
  <r>
    <x v="17"/>
    <s v="ITA"/>
    <x v="4"/>
    <x v="1"/>
    <x v="11"/>
    <x v="4"/>
    <x v="0"/>
    <n v="44228.36"/>
  </r>
  <r>
    <x v="17"/>
    <s v="ITA"/>
    <x v="4"/>
    <x v="1"/>
    <x v="11"/>
    <x v="5"/>
    <x v="1"/>
    <n v="2898.79"/>
  </r>
  <r>
    <x v="17"/>
    <s v="ITA"/>
    <x v="4"/>
    <x v="1"/>
    <x v="11"/>
    <x v="5"/>
    <x v="2"/>
    <n v="1508.69"/>
  </r>
  <r>
    <x v="17"/>
    <s v="ITA"/>
    <x v="4"/>
    <x v="1"/>
    <x v="11"/>
    <x v="2"/>
    <x v="1"/>
    <n v="26963"/>
  </r>
  <r>
    <x v="17"/>
    <s v="ITA"/>
    <x v="4"/>
    <x v="1"/>
    <x v="12"/>
    <x v="0"/>
    <x v="2"/>
    <n v="4167.41"/>
  </r>
  <r>
    <x v="17"/>
    <s v="ITA"/>
    <x v="4"/>
    <x v="1"/>
    <x v="12"/>
    <x v="3"/>
    <x v="1"/>
    <n v="3018.02"/>
  </r>
  <r>
    <x v="17"/>
    <s v="ITA"/>
    <x v="4"/>
    <x v="1"/>
    <x v="12"/>
    <x v="1"/>
    <x v="2"/>
    <n v="2207.44"/>
  </r>
  <r>
    <x v="17"/>
    <s v="ITA"/>
    <x v="4"/>
    <x v="1"/>
    <x v="12"/>
    <x v="2"/>
    <x v="1"/>
    <n v="29859.43"/>
  </r>
  <r>
    <x v="17"/>
    <s v="ITA"/>
    <x v="4"/>
    <x v="1"/>
    <x v="12"/>
    <x v="2"/>
    <x v="0"/>
    <n v="5654.31"/>
  </r>
  <r>
    <x v="17"/>
    <s v="ITA"/>
    <x v="4"/>
    <x v="1"/>
    <x v="13"/>
    <x v="0"/>
    <x v="0"/>
    <n v="145838.87"/>
  </r>
  <r>
    <x v="17"/>
    <s v="ITA"/>
    <x v="4"/>
    <x v="1"/>
    <x v="13"/>
    <x v="3"/>
    <x v="1"/>
    <n v="3607.9"/>
  </r>
  <r>
    <x v="17"/>
    <s v="ITA"/>
    <x v="4"/>
    <x v="1"/>
    <x v="13"/>
    <x v="4"/>
    <x v="0"/>
    <n v="52460.78"/>
  </r>
  <r>
    <x v="17"/>
    <s v="ITA"/>
    <x v="4"/>
    <x v="1"/>
    <x v="13"/>
    <x v="4"/>
    <x v="3"/>
    <n v="0"/>
  </r>
  <r>
    <x v="17"/>
    <s v="ITA"/>
    <x v="4"/>
    <x v="1"/>
    <x v="14"/>
    <x v="4"/>
    <x v="2"/>
    <n v="449.43"/>
  </r>
  <r>
    <x v="17"/>
    <s v="ITA"/>
    <x v="4"/>
    <x v="1"/>
    <x v="14"/>
    <x v="5"/>
    <x v="2"/>
    <n v="1335.72"/>
  </r>
  <r>
    <x v="17"/>
    <s v="ITA"/>
    <x v="4"/>
    <x v="1"/>
    <x v="15"/>
    <x v="6"/>
    <x v="1"/>
    <n v="58772.94"/>
  </r>
  <r>
    <x v="17"/>
    <s v="ITA"/>
    <x v="4"/>
    <x v="1"/>
    <x v="15"/>
    <x v="2"/>
    <x v="2"/>
    <n v="1829.95"/>
  </r>
  <r>
    <x v="17"/>
    <s v="ITA"/>
    <x v="4"/>
    <x v="1"/>
    <x v="16"/>
    <x v="3"/>
    <x v="1"/>
    <n v="3317.32"/>
  </r>
  <r>
    <x v="17"/>
    <s v="ITA"/>
    <x v="4"/>
    <x v="1"/>
    <x v="16"/>
    <x v="5"/>
    <x v="1"/>
    <n v="2917.22"/>
  </r>
  <r>
    <x v="17"/>
    <s v="ITA"/>
    <x v="4"/>
    <x v="1"/>
    <x v="17"/>
    <x v="6"/>
    <x v="1"/>
    <n v="61042.78"/>
  </r>
  <r>
    <x v="17"/>
    <s v="ITA"/>
    <x v="4"/>
    <x v="1"/>
    <x v="17"/>
    <x v="0"/>
    <x v="2"/>
    <n v="4652.8"/>
  </r>
  <r>
    <x v="17"/>
    <s v="ITA"/>
    <x v="4"/>
    <x v="1"/>
    <x v="17"/>
    <x v="3"/>
    <x v="1"/>
    <n v="3063.51"/>
  </r>
  <r>
    <x v="17"/>
    <s v="ITA"/>
    <x v="4"/>
    <x v="1"/>
    <x v="17"/>
    <x v="5"/>
    <x v="1"/>
    <n v="2951.73"/>
  </r>
  <r>
    <x v="17"/>
    <s v="ITA"/>
    <x v="4"/>
    <x v="1"/>
    <x v="17"/>
    <x v="5"/>
    <x v="3"/>
    <n v="0"/>
  </r>
  <r>
    <x v="17"/>
    <s v="ITA"/>
    <x v="4"/>
    <x v="1"/>
    <x v="33"/>
    <x v="5"/>
    <x v="2"/>
    <n v="1474.42"/>
  </r>
  <r>
    <x v="17"/>
    <s v="ITA"/>
    <x v="4"/>
    <x v="1"/>
    <x v="18"/>
    <x v="0"/>
    <x v="1"/>
    <n v="10277.09"/>
  </r>
  <r>
    <x v="17"/>
    <s v="ITA"/>
    <x v="4"/>
    <x v="1"/>
    <x v="18"/>
    <x v="0"/>
    <x v="0"/>
    <n v="134672.69"/>
  </r>
  <r>
    <x v="17"/>
    <s v="ITA"/>
    <x v="4"/>
    <x v="1"/>
    <x v="18"/>
    <x v="4"/>
    <x v="3"/>
    <n v="0"/>
  </r>
  <r>
    <x v="17"/>
    <s v="ITA"/>
    <x v="4"/>
    <x v="1"/>
    <x v="19"/>
    <x v="6"/>
    <x v="3"/>
    <n v="0"/>
  </r>
  <r>
    <x v="17"/>
    <s v="ITA"/>
    <x v="4"/>
    <x v="1"/>
    <x v="19"/>
    <x v="0"/>
    <x v="3"/>
    <n v="0"/>
  </r>
  <r>
    <x v="17"/>
    <s v="ITA"/>
    <x v="4"/>
    <x v="1"/>
    <x v="19"/>
    <x v="3"/>
    <x v="1"/>
    <n v="3350.29"/>
  </r>
  <r>
    <x v="17"/>
    <s v="ITA"/>
    <x v="4"/>
    <x v="1"/>
    <x v="19"/>
    <x v="2"/>
    <x v="3"/>
    <n v="0"/>
  </r>
  <r>
    <x v="17"/>
    <s v="ITA"/>
    <x v="4"/>
    <x v="1"/>
    <x v="20"/>
    <x v="5"/>
    <x v="1"/>
    <n v="2541.35"/>
  </r>
  <r>
    <x v="17"/>
    <s v="ITA"/>
    <x v="4"/>
    <x v="1"/>
    <x v="20"/>
    <x v="2"/>
    <x v="0"/>
    <n v="5456.7"/>
  </r>
  <r>
    <x v="17"/>
    <s v="ITA"/>
    <x v="4"/>
    <x v="1"/>
    <x v="21"/>
    <x v="4"/>
    <x v="3"/>
    <n v="0"/>
  </r>
  <r>
    <x v="17"/>
    <s v="ITA"/>
    <x v="4"/>
    <x v="1"/>
    <x v="21"/>
    <x v="1"/>
    <x v="3"/>
    <n v="0"/>
  </r>
  <r>
    <x v="17"/>
    <s v="ITA"/>
    <x v="4"/>
    <x v="1"/>
    <x v="22"/>
    <x v="5"/>
    <x v="3"/>
    <n v="0"/>
  </r>
  <r>
    <x v="17"/>
    <s v="ITA"/>
    <x v="4"/>
    <x v="1"/>
    <x v="23"/>
    <x v="6"/>
    <x v="1"/>
    <n v="51823.64"/>
  </r>
  <r>
    <x v="17"/>
    <s v="ITA"/>
    <x v="4"/>
    <x v="1"/>
    <x v="23"/>
    <x v="3"/>
    <x v="0"/>
    <n v="42930.09"/>
  </r>
  <r>
    <x v="17"/>
    <s v="ITA"/>
    <x v="4"/>
    <x v="1"/>
    <x v="23"/>
    <x v="1"/>
    <x v="1"/>
    <n v="3036.22"/>
  </r>
  <r>
    <x v="17"/>
    <s v="ITA"/>
    <x v="4"/>
    <x v="1"/>
    <x v="24"/>
    <x v="0"/>
    <x v="1"/>
    <n v="9354.94"/>
  </r>
  <r>
    <x v="17"/>
    <s v="ITA"/>
    <x v="4"/>
    <x v="1"/>
    <x v="24"/>
    <x v="0"/>
    <x v="0"/>
    <n v="117017.97"/>
  </r>
  <r>
    <x v="17"/>
    <s v="ITA"/>
    <x v="4"/>
    <x v="1"/>
    <x v="25"/>
    <x v="6"/>
    <x v="1"/>
    <n v="50421.45"/>
  </r>
  <r>
    <x v="17"/>
    <s v="ITA"/>
    <x v="4"/>
    <x v="1"/>
    <x v="25"/>
    <x v="6"/>
    <x v="2"/>
    <n v="13963.08"/>
  </r>
  <r>
    <x v="17"/>
    <s v="ITA"/>
    <x v="4"/>
    <x v="1"/>
    <x v="25"/>
    <x v="0"/>
    <x v="1"/>
    <n v="8690.32"/>
  </r>
  <r>
    <x v="17"/>
    <s v="ITA"/>
    <x v="4"/>
    <x v="1"/>
    <x v="25"/>
    <x v="0"/>
    <x v="0"/>
    <n v="118818.74"/>
  </r>
  <r>
    <x v="17"/>
    <s v="ITA"/>
    <x v="4"/>
    <x v="1"/>
    <x v="26"/>
    <x v="0"/>
    <x v="3"/>
    <n v="0"/>
  </r>
  <r>
    <x v="17"/>
    <s v="ITA"/>
    <x v="4"/>
    <x v="1"/>
    <x v="26"/>
    <x v="4"/>
    <x v="1"/>
    <n v="399.96"/>
  </r>
  <r>
    <x v="17"/>
    <s v="ITA"/>
    <x v="4"/>
    <x v="1"/>
    <x v="26"/>
    <x v="1"/>
    <x v="0"/>
    <n v="83926.92"/>
  </r>
  <r>
    <x v="17"/>
    <s v="ITA"/>
    <x v="4"/>
    <x v="1"/>
    <x v="26"/>
    <x v="5"/>
    <x v="2"/>
    <n v="1211.4000000000001"/>
  </r>
  <r>
    <x v="17"/>
    <s v="ITA"/>
    <x v="4"/>
    <x v="1"/>
    <x v="34"/>
    <x v="6"/>
    <x v="1"/>
    <n v="48812.43"/>
  </r>
  <r>
    <x v="17"/>
    <s v="ITA"/>
    <x v="4"/>
    <x v="1"/>
    <x v="34"/>
    <x v="5"/>
    <x v="2"/>
    <n v="1040.9100000000001"/>
  </r>
  <r>
    <x v="17"/>
    <s v="ITA"/>
    <x v="4"/>
    <x v="1"/>
    <x v="27"/>
    <x v="0"/>
    <x v="2"/>
    <n v="3155.23"/>
  </r>
  <r>
    <x v="17"/>
    <s v="ITA"/>
    <x v="4"/>
    <x v="1"/>
    <x v="27"/>
    <x v="3"/>
    <x v="2"/>
    <n v="2353.85"/>
  </r>
  <r>
    <x v="17"/>
    <s v="ITA"/>
    <x v="4"/>
    <x v="1"/>
    <x v="27"/>
    <x v="1"/>
    <x v="2"/>
    <n v="1693"/>
  </r>
  <r>
    <x v="17"/>
    <s v="ITA"/>
    <x v="4"/>
    <x v="1"/>
    <x v="28"/>
    <x v="4"/>
    <x v="1"/>
    <n v="399.97"/>
  </r>
  <r>
    <x v="17"/>
    <s v="ITA"/>
    <x v="4"/>
    <x v="1"/>
    <x v="28"/>
    <x v="1"/>
    <x v="2"/>
    <n v="1588.46"/>
  </r>
  <r>
    <x v="17"/>
    <s v="ITA"/>
    <x v="4"/>
    <x v="1"/>
    <x v="28"/>
    <x v="5"/>
    <x v="2"/>
    <n v="1046.95"/>
  </r>
  <r>
    <x v="17"/>
    <s v="ITA"/>
    <x v="4"/>
    <x v="1"/>
    <x v="29"/>
    <x v="5"/>
    <x v="0"/>
    <n v="107137.03"/>
  </r>
  <r>
    <x v="17"/>
    <s v="ITA"/>
    <x v="4"/>
    <x v="1"/>
    <x v="30"/>
    <x v="1"/>
    <x v="1"/>
    <n v="2276.11"/>
  </r>
  <r>
    <x v="17"/>
    <s v="ITA"/>
    <x v="4"/>
    <x v="1"/>
    <x v="30"/>
    <x v="5"/>
    <x v="3"/>
    <n v="0"/>
  </r>
  <r>
    <x v="17"/>
    <s v="ITA"/>
    <x v="4"/>
    <x v="1"/>
    <x v="30"/>
    <x v="2"/>
    <x v="2"/>
    <n v="1451.59"/>
  </r>
  <r>
    <x v="17"/>
    <s v="ITA"/>
    <x v="4"/>
    <x v="1"/>
    <x v="31"/>
    <x v="0"/>
    <x v="1"/>
    <n v="7053.42"/>
  </r>
  <r>
    <x v="17"/>
    <s v="ITA"/>
    <x v="4"/>
    <x v="1"/>
    <x v="31"/>
    <x v="0"/>
    <x v="3"/>
    <n v="0"/>
  </r>
  <r>
    <x v="17"/>
    <s v="ITA"/>
    <x v="4"/>
    <x v="1"/>
    <x v="31"/>
    <x v="0"/>
    <x v="2"/>
    <n v="3227.72"/>
  </r>
  <r>
    <x v="17"/>
    <s v="ITA"/>
    <x v="4"/>
    <x v="1"/>
    <x v="31"/>
    <x v="3"/>
    <x v="2"/>
    <n v="2223.8200000000002"/>
  </r>
  <r>
    <x v="17"/>
    <s v="ITA"/>
    <x v="4"/>
    <x v="1"/>
    <x v="31"/>
    <x v="1"/>
    <x v="0"/>
    <n v="79441.929999999993"/>
  </r>
  <r>
    <x v="17"/>
    <s v="ITA"/>
    <x v="4"/>
    <x v="1"/>
    <x v="31"/>
    <x v="5"/>
    <x v="1"/>
    <n v="2372.1799999999998"/>
  </r>
  <r>
    <x v="17"/>
    <s v="ITA"/>
    <x v="4"/>
    <x v="1"/>
    <x v="31"/>
    <x v="2"/>
    <x v="2"/>
    <n v="1450.85"/>
  </r>
  <r>
    <x v="17"/>
    <s v="ITA"/>
    <x v="4"/>
    <x v="1"/>
    <x v="32"/>
    <x v="0"/>
    <x v="2"/>
    <n v="3091.94"/>
  </r>
  <r>
    <x v="17"/>
    <s v="ITA"/>
    <x v="4"/>
    <x v="1"/>
    <x v="32"/>
    <x v="4"/>
    <x v="3"/>
    <n v="0"/>
  </r>
  <r>
    <x v="18"/>
    <s v="JPN"/>
    <x v="3"/>
    <x v="1"/>
    <x v="0"/>
    <x v="6"/>
    <x v="0"/>
    <n v="5991.37"/>
  </r>
  <r>
    <x v="18"/>
    <s v="JPN"/>
    <x v="3"/>
    <x v="1"/>
    <x v="1"/>
    <x v="6"/>
    <x v="0"/>
    <n v="6926.2"/>
  </r>
  <r>
    <x v="18"/>
    <s v="JPN"/>
    <x v="3"/>
    <x v="1"/>
    <x v="1"/>
    <x v="1"/>
    <x v="1"/>
    <n v="18298.41"/>
  </r>
  <r>
    <x v="18"/>
    <s v="JPN"/>
    <x v="3"/>
    <x v="1"/>
    <x v="2"/>
    <x v="6"/>
    <x v="1"/>
    <n v="46174.53"/>
  </r>
  <r>
    <x v="18"/>
    <s v="JPN"/>
    <x v="3"/>
    <x v="1"/>
    <x v="2"/>
    <x v="6"/>
    <x v="2"/>
    <n v="14329.81"/>
  </r>
  <r>
    <x v="18"/>
    <s v="JPN"/>
    <x v="3"/>
    <x v="1"/>
    <x v="2"/>
    <x v="0"/>
    <x v="1"/>
    <n v="22566.81"/>
  </r>
  <r>
    <x v="18"/>
    <s v="JPN"/>
    <x v="3"/>
    <x v="1"/>
    <x v="2"/>
    <x v="3"/>
    <x v="2"/>
    <n v="12340.65"/>
  </r>
  <r>
    <x v="18"/>
    <s v="JPN"/>
    <x v="3"/>
    <x v="1"/>
    <x v="2"/>
    <x v="4"/>
    <x v="2"/>
    <n v="-2364.5300000000002"/>
  </r>
  <r>
    <x v="18"/>
    <s v="JPN"/>
    <x v="3"/>
    <x v="1"/>
    <x v="2"/>
    <x v="5"/>
    <x v="0"/>
    <n v="108783.34"/>
  </r>
  <r>
    <x v="18"/>
    <s v="JPN"/>
    <x v="3"/>
    <x v="1"/>
    <x v="3"/>
    <x v="3"/>
    <x v="2"/>
    <n v="13973.54"/>
  </r>
  <r>
    <x v="18"/>
    <s v="JPN"/>
    <x v="3"/>
    <x v="1"/>
    <x v="3"/>
    <x v="4"/>
    <x v="2"/>
    <n v="-2856.21"/>
  </r>
  <r>
    <x v="18"/>
    <s v="JPN"/>
    <x v="3"/>
    <x v="1"/>
    <x v="3"/>
    <x v="5"/>
    <x v="0"/>
    <n v="106707.18"/>
  </r>
  <r>
    <x v="18"/>
    <s v="JPN"/>
    <x v="3"/>
    <x v="1"/>
    <x v="3"/>
    <x v="2"/>
    <x v="3"/>
    <n v="0"/>
  </r>
  <r>
    <x v="18"/>
    <s v="JPN"/>
    <x v="3"/>
    <x v="1"/>
    <x v="4"/>
    <x v="1"/>
    <x v="1"/>
    <n v="20660.62"/>
  </r>
  <r>
    <x v="18"/>
    <s v="JPN"/>
    <x v="3"/>
    <x v="1"/>
    <x v="4"/>
    <x v="5"/>
    <x v="0"/>
    <n v="102566.22"/>
  </r>
  <r>
    <x v="18"/>
    <s v="JPN"/>
    <x v="3"/>
    <x v="1"/>
    <x v="5"/>
    <x v="6"/>
    <x v="2"/>
    <n v="10939.45"/>
  </r>
  <r>
    <x v="18"/>
    <s v="JPN"/>
    <x v="3"/>
    <x v="1"/>
    <x v="5"/>
    <x v="3"/>
    <x v="3"/>
    <n v="11391.7"/>
  </r>
  <r>
    <x v="18"/>
    <s v="JPN"/>
    <x v="3"/>
    <x v="1"/>
    <x v="5"/>
    <x v="4"/>
    <x v="1"/>
    <n v="-2006.36"/>
  </r>
  <r>
    <x v="18"/>
    <s v="JPN"/>
    <x v="3"/>
    <x v="1"/>
    <x v="5"/>
    <x v="4"/>
    <x v="0"/>
    <n v="-207686.39999999999"/>
  </r>
  <r>
    <x v="18"/>
    <s v="JPN"/>
    <x v="3"/>
    <x v="1"/>
    <x v="5"/>
    <x v="5"/>
    <x v="0"/>
    <n v="88159.86"/>
  </r>
  <r>
    <x v="18"/>
    <s v="JPN"/>
    <x v="3"/>
    <x v="1"/>
    <x v="5"/>
    <x v="2"/>
    <x v="3"/>
    <n v="0"/>
  </r>
  <r>
    <x v="18"/>
    <s v="JPN"/>
    <x v="3"/>
    <x v="1"/>
    <x v="6"/>
    <x v="6"/>
    <x v="1"/>
    <n v="52397.440000000002"/>
  </r>
  <r>
    <x v="18"/>
    <s v="JPN"/>
    <x v="3"/>
    <x v="1"/>
    <x v="6"/>
    <x v="6"/>
    <x v="0"/>
    <n v="6883.35"/>
  </r>
  <r>
    <x v="18"/>
    <s v="JPN"/>
    <x v="3"/>
    <x v="1"/>
    <x v="6"/>
    <x v="0"/>
    <x v="0"/>
    <n v="320038.32"/>
  </r>
  <r>
    <x v="18"/>
    <s v="JPN"/>
    <x v="3"/>
    <x v="1"/>
    <x v="6"/>
    <x v="0"/>
    <x v="3"/>
    <n v="0"/>
  </r>
  <r>
    <x v="18"/>
    <s v="JPN"/>
    <x v="3"/>
    <x v="1"/>
    <x v="6"/>
    <x v="0"/>
    <x v="2"/>
    <n v="10121.77"/>
  </r>
  <r>
    <x v="18"/>
    <s v="JPN"/>
    <x v="3"/>
    <x v="1"/>
    <x v="6"/>
    <x v="4"/>
    <x v="3"/>
    <n v="0"/>
  </r>
  <r>
    <x v="18"/>
    <s v="JPN"/>
    <x v="3"/>
    <x v="1"/>
    <x v="6"/>
    <x v="5"/>
    <x v="3"/>
    <n v="0"/>
  </r>
  <r>
    <x v="18"/>
    <s v="JPN"/>
    <x v="3"/>
    <x v="1"/>
    <x v="6"/>
    <x v="2"/>
    <x v="3"/>
    <n v="0"/>
  </r>
  <r>
    <x v="18"/>
    <s v="JPN"/>
    <x v="3"/>
    <x v="1"/>
    <x v="7"/>
    <x v="6"/>
    <x v="0"/>
    <n v="6242.28"/>
  </r>
  <r>
    <x v="18"/>
    <s v="JPN"/>
    <x v="3"/>
    <x v="1"/>
    <x v="7"/>
    <x v="0"/>
    <x v="2"/>
    <n v="9813.43"/>
  </r>
  <r>
    <x v="18"/>
    <s v="JPN"/>
    <x v="3"/>
    <x v="1"/>
    <x v="7"/>
    <x v="4"/>
    <x v="0"/>
    <n v="-221946.07"/>
  </r>
  <r>
    <x v="18"/>
    <s v="JPN"/>
    <x v="3"/>
    <x v="1"/>
    <x v="8"/>
    <x v="6"/>
    <x v="1"/>
    <n v="48285.36"/>
  </r>
  <r>
    <x v="18"/>
    <s v="JPN"/>
    <x v="3"/>
    <x v="1"/>
    <x v="8"/>
    <x v="3"/>
    <x v="1"/>
    <n v="13135.13"/>
  </r>
  <r>
    <x v="18"/>
    <s v="JPN"/>
    <x v="3"/>
    <x v="1"/>
    <x v="8"/>
    <x v="2"/>
    <x v="1"/>
    <n v="399346.55"/>
  </r>
  <r>
    <x v="18"/>
    <s v="JPN"/>
    <x v="3"/>
    <x v="1"/>
    <x v="10"/>
    <x v="5"/>
    <x v="1"/>
    <n v="2070.75"/>
  </r>
  <r>
    <x v="18"/>
    <s v="JPN"/>
    <x v="3"/>
    <x v="1"/>
    <x v="11"/>
    <x v="3"/>
    <x v="1"/>
    <n v="13279.19"/>
  </r>
  <r>
    <x v="18"/>
    <s v="JPN"/>
    <x v="3"/>
    <x v="1"/>
    <x v="11"/>
    <x v="1"/>
    <x v="1"/>
    <n v="20420.75"/>
  </r>
  <r>
    <x v="18"/>
    <s v="JPN"/>
    <x v="3"/>
    <x v="1"/>
    <x v="11"/>
    <x v="1"/>
    <x v="3"/>
    <n v="0"/>
  </r>
  <r>
    <x v="18"/>
    <s v="JPN"/>
    <x v="3"/>
    <x v="1"/>
    <x v="12"/>
    <x v="5"/>
    <x v="0"/>
    <n v="94438.99"/>
  </r>
  <r>
    <x v="18"/>
    <s v="JPN"/>
    <x v="3"/>
    <x v="1"/>
    <x v="13"/>
    <x v="0"/>
    <x v="1"/>
    <n v="24351.5"/>
  </r>
  <r>
    <x v="18"/>
    <s v="JPN"/>
    <x v="3"/>
    <x v="1"/>
    <x v="13"/>
    <x v="5"/>
    <x v="0"/>
    <n v="105376.68"/>
  </r>
  <r>
    <x v="18"/>
    <s v="JPN"/>
    <x v="3"/>
    <x v="1"/>
    <x v="14"/>
    <x v="6"/>
    <x v="1"/>
    <n v="46506.2"/>
  </r>
  <r>
    <x v="18"/>
    <s v="JPN"/>
    <x v="3"/>
    <x v="1"/>
    <x v="14"/>
    <x v="0"/>
    <x v="1"/>
    <n v="25654.52"/>
  </r>
  <r>
    <x v="18"/>
    <s v="JPN"/>
    <x v="3"/>
    <x v="1"/>
    <x v="14"/>
    <x v="0"/>
    <x v="0"/>
    <n v="312381.2"/>
  </r>
  <r>
    <x v="18"/>
    <s v="JPN"/>
    <x v="3"/>
    <x v="1"/>
    <x v="14"/>
    <x v="5"/>
    <x v="1"/>
    <n v="2101.46"/>
  </r>
  <r>
    <x v="18"/>
    <s v="JPN"/>
    <x v="3"/>
    <x v="1"/>
    <x v="15"/>
    <x v="6"/>
    <x v="0"/>
    <n v="6099.71"/>
  </r>
  <r>
    <x v="18"/>
    <s v="JPN"/>
    <x v="3"/>
    <x v="1"/>
    <x v="15"/>
    <x v="4"/>
    <x v="3"/>
    <n v="0"/>
  </r>
  <r>
    <x v="18"/>
    <s v="JPN"/>
    <x v="3"/>
    <x v="1"/>
    <x v="15"/>
    <x v="1"/>
    <x v="1"/>
    <n v="17540.240000000002"/>
  </r>
  <r>
    <x v="18"/>
    <s v="JPN"/>
    <x v="3"/>
    <x v="1"/>
    <x v="15"/>
    <x v="2"/>
    <x v="0"/>
    <n v="65399.94"/>
  </r>
  <r>
    <x v="18"/>
    <s v="JPN"/>
    <x v="3"/>
    <x v="1"/>
    <x v="16"/>
    <x v="6"/>
    <x v="1"/>
    <n v="37722.74"/>
  </r>
  <r>
    <x v="18"/>
    <s v="JPN"/>
    <x v="3"/>
    <x v="1"/>
    <x v="16"/>
    <x v="3"/>
    <x v="0"/>
    <n v="182939.02"/>
  </r>
  <r>
    <x v="18"/>
    <s v="JPN"/>
    <x v="3"/>
    <x v="1"/>
    <x v="16"/>
    <x v="1"/>
    <x v="3"/>
    <n v="0"/>
  </r>
  <r>
    <x v="18"/>
    <s v="JPN"/>
    <x v="3"/>
    <x v="1"/>
    <x v="17"/>
    <x v="3"/>
    <x v="0"/>
    <n v="197919.06"/>
  </r>
  <r>
    <x v="18"/>
    <s v="JPN"/>
    <x v="3"/>
    <x v="1"/>
    <x v="17"/>
    <x v="3"/>
    <x v="2"/>
    <n v="11993.45"/>
  </r>
  <r>
    <x v="18"/>
    <s v="JPN"/>
    <x v="3"/>
    <x v="1"/>
    <x v="17"/>
    <x v="5"/>
    <x v="1"/>
    <n v="1973.99"/>
  </r>
  <r>
    <x v="18"/>
    <s v="JPN"/>
    <x v="3"/>
    <x v="1"/>
    <x v="17"/>
    <x v="5"/>
    <x v="2"/>
    <n v="952.17"/>
  </r>
  <r>
    <x v="18"/>
    <s v="JPN"/>
    <x v="3"/>
    <x v="1"/>
    <x v="17"/>
    <x v="2"/>
    <x v="0"/>
    <n v="69502.95"/>
  </r>
  <r>
    <x v="18"/>
    <s v="JPN"/>
    <x v="3"/>
    <x v="1"/>
    <x v="33"/>
    <x v="3"/>
    <x v="0"/>
    <n v="239755.18"/>
  </r>
  <r>
    <x v="18"/>
    <s v="JPN"/>
    <x v="3"/>
    <x v="1"/>
    <x v="33"/>
    <x v="2"/>
    <x v="2"/>
    <n v="25861.38"/>
  </r>
  <r>
    <x v="18"/>
    <s v="JPN"/>
    <x v="3"/>
    <x v="1"/>
    <x v="18"/>
    <x v="0"/>
    <x v="0"/>
    <n v="282229.84999999998"/>
  </r>
  <r>
    <x v="18"/>
    <s v="JPN"/>
    <x v="3"/>
    <x v="1"/>
    <x v="18"/>
    <x v="3"/>
    <x v="1"/>
    <n v="12905.36"/>
  </r>
  <r>
    <x v="18"/>
    <s v="JPN"/>
    <x v="3"/>
    <x v="1"/>
    <x v="18"/>
    <x v="5"/>
    <x v="1"/>
    <n v="1908.16"/>
  </r>
  <r>
    <x v="18"/>
    <s v="JPN"/>
    <x v="3"/>
    <x v="1"/>
    <x v="19"/>
    <x v="6"/>
    <x v="3"/>
    <n v="0"/>
  </r>
  <r>
    <x v="18"/>
    <s v="JPN"/>
    <x v="3"/>
    <x v="1"/>
    <x v="19"/>
    <x v="3"/>
    <x v="3"/>
    <n v="12663.63"/>
  </r>
  <r>
    <x v="18"/>
    <s v="JPN"/>
    <x v="3"/>
    <x v="1"/>
    <x v="20"/>
    <x v="3"/>
    <x v="3"/>
    <n v="11059.37"/>
  </r>
  <r>
    <x v="18"/>
    <s v="JPN"/>
    <x v="3"/>
    <x v="1"/>
    <x v="20"/>
    <x v="4"/>
    <x v="1"/>
    <n v="-2133.4499999999998"/>
  </r>
  <r>
    <x v="18"/>
    <s v="JPN"/>
    <x v="3"/>
    <x v="1"/>
    <x v="20"/>
    <x v="5"/>
    <x v="2"/>
    <n v="856.37"/>
  </r>
  <r>
    <x v="18"/>
    <s v="JPN"/>
    <x v="3"/>
    <x v="1"/>
    <x v="21"/>
    <x v="6"/>
    <x v="1"/>
    <n v="36450.519999999997"/>
  </r>
  <r>
    <x v="18"/>
    <s v="JPN"/>
    <x v="3"/>
    <x v="1"/>
    <x v="21"/>
    <x v="6"/>
    <x v="2"/>
    <n v="10152.549999999999"/>
  </r>
  <r>
    <x v="18"/>
    <s v="JPN"/>
    <x v="3"/>
    <x v="1"/>
    <x v="21"/>
    <x v="3"/>
    <x v="1"/>
    <n v="10093.69"/>
  </r>
  <r>
    <x v="18"/>
    <s v="JPN"/>
    <x v="3"/>
    <x v="1"/>
    <x v="21"/>
    <x v="3"/>
    <x v="3"/>
    <n v="10235.17"/>
  </r>
  <r>
    <x v="18"/>
    <s v="JPN"/>
    <x v="3"/>
    <x v="1"/>
    <x v="22"/>
    <x v="0"/>
    <x v="1"/>
    <n v="19838.77"/>
  </r>
  <r>
    <x v="18"/>
    <s v="JPN"/>
    <x v="3"/>
    <x v="1"/>
    <x v="22"/>
    <x v="1"/>
    <x v="1"/>
    <n v="19674.07"/>
  </r>
  <r>
    <x v="18"/>
    <s v="JPN"/>
    <x v="3"/>
    <x v="1"/>
    <x v="23"/>
    <x v="6"/>
    <x v="3"/>
    <n v="0"/>
  </r>
  <r>
    <x v="18"/>
    <s v="JPN"/>
    <x v="3"/>
    <x v="1"/>
    <x v="23"/>
    <x v="0"/>
    <x v="1"/>
    <n v="17590.03"/>
  </r>
  <r>
    <x v="18"/>
    <s v="JPN"/>
    <x v="3"/>
    <x v="1"/>
    <x v="23"/>
    <x v="1"/>
    <x v="0"/>
    <n v="529680.23"/>
  </r>
  <r>
    <x v="18"/>
    <s v="JPN"/>
    <x v="3"/>
    <x v="1"/>
    <x v="24"/>
    <x v="0"/>
    <x v="1"/>
    <n v="19094.77"/>
  </r>
  <r>
    <x v="18"/>
    <s v="JPN"/>
    <x v="3"/>
    <x v="1"/>
    <x v="24"/>
    <x v="4"/>
    <x v="3"/>
    <n v="0"/>
  </r>
  <r>
    <x v="18"/>
    <s v="JPN"/>
    <x v="3"/>
    <x v="1"/>
    <x v="24"/>
    <x v="1"/>
    <x v="3"/>
    <n v="0"/>
  </r>
  <r>
    <x v="18"/>
    <s v="JPN"/>
    <x v="3"/>
    <x v="1"/>
    <x v="25"/>
    <x v="6"/>
    <x v="0"/>
    <n v="5386.95"/>
  </r>
  <r>
    <x v="18"/>
    <s v="JPN"/>
    <x v="3"/>
    <x v="1"/>
    <x v="25"/>
    <x v="4"/>
    <x v="1"/>
    <n v="-1813.24"/>
  </r>
  <r>
    <x v="18"/>
    <s v="JPN"/>
    <x v="3"/>
    <x v="1"/>
    <x v="25"/>
    <x v="4"/>
    <x v="0"/>
    <n v="-195747.55"/>
  </r>
  <r>
    <x v="18"/>
    <s v="JPN"/>
    <x v="3"/>
    <x v="1"/>
    <x v="25"/>
    <x v="1"/>
    <x v="3"/>
    <n v="0"/>
  </r>
  <r>
    <x v="18"/>
    <s v="JPN"/>
    <x v="3"/>
    <x v="1"/>
    <x v="25"/>
    <x v="2"/>
    <x v="0"/>
    <n v="64629.41"/>
  </r>
  <r>
    <x v="18"/>
    <s v="JPN"/>
    <x v="3"/>
    <x v="1"/>
    <x v="26"/>
    <x v="6"/>
    <x v="2"/>
    <n v="9193.0300000000007"/>
  </r>
  <r>
    <x v="18"/>
    <s v="JPN"/>
    <x v="3"/>
    <x v="1"/>
    <x v="26"/>
    <x v="4"/>
    <x v="0"/>
    <n v="-170276.1"/>
  </r>
  <r>
    <x v="18"/>
    <s v="JPN"/>
    <x v="3"/>
    <x v="1"/>
    <x v="34"/>
    <x v="6"/>
    <x v="1"/>
    <n v="35342.339999999997"/>
  </r>
  <r>
    <x v="18"/>
    <s v="JPN"/>
    <x v="3"/>
    <x v="1"/>
    <x v="34"/>
    <x v="4"/>
    <x v="3"/>
    <n v="0"/>
  </r>
  <r>
    <x v="18"/>
    <s v="JPN"/>
    <x v="3"/>
    <x v="1"/>
    <x v="34"/>
    <x v="1"/>
    <x v="3"/>
    <n v="0"/>
  </r>
  <r>
    <x v="18"/>
    <s v="JPN"/>
    <x v="3"/>
    <x v="1"/>
    <x v="34"/>
    <x v="2"/>
    <x v="0"/>
    <n v="57716.75"/>
  </r>
  <r>
    <x v="18"/>
    <s v="JPN"/>
    <x v="3"/>
    <x v="1"/>
    <x v="27"/>
    <x v="4"/>
    <x v="2"/>
    <n v="-1826.51"/>
  </r>
  <r>
    <x v="18"/>
    <s v="JPN"/>
    <x v="3"/>
    <x v="1"/>
    <x v="28"/>
    <x v="6"/>
    <x v="1"/>
    <n v="37318.980000000003"/>
  </r>
  <r>
    <x v="18"/>
    <s v="JPN"/>
    <x v="3"/>
    <x v="1"/>
    <x v="28"/>
    <x v="0"/>
    <x v="0"/>
    <n v="213932.14"/>
  </r>
  <r>
    <x v="18"/>
    <s v="JPN"/>
    <x v="3"/>
    <x v="1"/>
    <x v="29"/>
    <x v="5"/>
    <x v="3"/>
    <n v="0"/>
  </r>
  <r>
    <x v="18"/>
    <s v="JPN"/>
    <x v="3"/>
    <x v="1"/>
    <x v="29"/>
    <x v="5"/>
    <x v="2"/>
    <n v="739.61"/>
  </r>
  <r>
    <x v="18"/>
    <s v="JPN"/>
    <x v="3"/>
    <x v="1"/>
    <x v="30"/>
    <x v="6"/>
    <x v="0"/>
    <n v="4545.43"/>
  </r>
  <r>
    <x v="18"/>
    <s v="JPN"/>
    <x v="3"/>
    <x v="1"/>
    <x v="30"/>
    <x v="2"/>
    <x v="2"/>
    <n v="18806.900000000001"/>
  </r>
  <r>
    <x v="18"/>
    <s v="JPN"/>
    <x v="3"/>
    <x v="1"/>
    <x v="31"/>
    <x v="6"/>
    <x v="0"/>
    <n v="4546.4399999999996"/>
  </r>
  <r>
    <x v="18"/>
    <s v="JPN"/>
    <x v="3"/>
    <x v="1"/>
    <x v="31"/>
    <x v="6"/>
    <x v="3"/>
    <n v="0"/>
  </r>
  <r>
    <x v="18"/>
    <s v="JPN"/>
    <x v="3"/>
    <x v="1"/>
    <x v="31"/>
    <x v="6"/>
    <x v="2"/>
    <n v="9040.4500000000007"/>
  </r>
  <r>
    <x v="18"/>
    <s v="JPN"/>
    <x v="3"/>
    <x v="1"/>
    <x v="31"/>
    <x v="3"/>
    <x v="1"/>
    <n v="8750.9"/>
  </r>
  <r>
    <x v="18"/>
    <s v="JPN"/>
    <x v="3"/>
    <x v="1"/>
    <x v="31"/>
    <x v="4"/>
    <x v="2"/>
    <n v="-1694.2"/>
  </r>
  <r>
    <x v="18"/>
    <s v="JPN"/>
    <x v="3"/>
    <x v="1"/>
    <x v="31"/>
    <x v="2"/>
    <x v="3"/>
    <n v="0"/>
  </r>
  <r>
    <x v="18"/>
    <s v="JPN"/>
    <x v="3"/>
    <x v="1"/>
    <x v="32"/>
    <x v="6"/>
    <x v="1"/>
    <n v="29907.58"/>
  </r>
  <r>
    <x v="18"/>
    <s v="JPN"/>
    <x v="3"/>
    <x v="1"/>
    <x v="32"/>
    <x v="6"/>
    <x v="0"/>
    <n v="3737.61"/>
  </r>
  <r>
    <x v="18"/>
    <s v="JPN"/>
    <x v="3"/>
    <x v="1"/>
    <x v="32"/>
    <x v="6"/>
    <x v="3"/>
    <n v="0"/>
  </r>
  <r>
    <x v="18"/>
    <s v="JPN"/>
    <x v="3"/>
    <x v="1"/>
    <x v="32"/>
    <x v="4"/>
    <x v="3"/>
    <n v="0"/>
  </r>
  <r>
    <x v="18"/>
    <s v="JPN"/>
    <x v="3"/>
    <x v="1"/>
    <x v="32"/>
    <x v="4"/>
    <x v="2"/>
    <n v="-1409.61"/>
  </r>
  <r>
    <x v="18"/>
    <s v="JPN"/>
    <x v="3"/>
    <x v="1"/>
    <x v="32"/>
    <x v="5"/>
    <x v="1"/>
    <n v="1318.16"/>
  </r>
  <r>
    <x v="19"/>
    <s v="KEN"/>
    <x v="0"/>
    <x v="2"/>
    <x v="0"/>
    <x v="0"/>
    <x v="3"/>
    <n v="0"/>
  </r>
  <r>
    <x v="19"/>
    <s v="KEN"/>
    <x v="0"/>
    <x v="2"/>
    <x v="0"/>
    <x v="3"/>
    <x v="1"/>
    <n v="243.37"/>
  </r>
  <r>
    <x v="19"/>
    <s v="KEN"/>
    <x v="0"/>
    <x v="2"/>
    <x v="0"/>
    <x v="5"/>
    <x v="0"/>
    <n v="6759.91"/>
  </r>
  <r>
    <x v="19"/>
    <s v="KEN"/>
    <x v="0"/>
    <x v="2"/>
    <x v="0"/>
    <x v="2"/>
    <x v="0"/>
    <n v="319.63"/>
  </r>
  <r>
    <x v="19"/>
    <s v="KEN"/>
    <x v="0"/>
    <x v="2"/>
    <x v="1"/>
    <x v="3"/>
    <x v="3"/>
    <n v="312.77999999999997"/>
  </r>
  <r>
    <x v="19"/>
    <s v="KEN"/>
    <x v="0"/>
    <x v="2"/>
    <x v="1"/>
    <x v="1"/>
    <x v="0"/>
    <n v="7015.48"/>
  </r>
  <r>
    <x v="19"/>
    <s v="KEN"/>
    <x v="0"/>
    <x v="2"/>
    <x v="1"/>
    <x v="1"/>
    <x v="2"/>
    <n v="157.21"/>
  </r>
  <r>
    <x v="19"/>
    <s v="KEN"/>
    <x v="0"/>
    <x v="2"/>
    <x v="2"/>
    <x v="4"/>
    <x v="0"/>
    <n v="-6881.15"/>
  </r>
  <r>
    <x v="19"/>
    <s v="KEN"/>
    <x v="0"/>
    <x v="2"/>
    <x v="2"/>
    <x v="5"/>
    <x v="0"/>
    <n v="8258.31"/>
  </r>
  <r>
    <x v="19"/>
    <s v="KEN"/>
    <x v="0"/>
    <x v="2"/>
    <x v="3"/>
    <x v="4"/>
    <x v="1"/>
    <n v="-68.09"/>
  </r>
  <r>
    <x v="19"/>
    <s v="KEN"/>
    <x v="0"/>
    <x v="2"/>
    <x v="3"/>
    <x v="1"/>
    <x v="3"/>
    <n v="0"/>
  </r>
  <r>
    <x v="19"/>
    <s v="KEN"/>
    <x v="0"/>
    <x v="2"/>
    <x v="4"/>
    <x v="0"/>
    <x v="2"/>
    <n v="136.83000000000001"/>
  </r>
  <r>
    <x v="19"/>
    <s v="KEN"/>
    <x v="0"/>
    <x v="2"/>
    <x v="4"/>
    <x v="3"/>
    <x v="3"/>
    <n v="289.67"/>
  </r>
  <r>
    <x v="19"/>
    <s v="KEN"/>
    <x v="0"/>
    <x v="2"/>
    <x v="5"/>
    <x v="6"/>
    <x v="2"/>
    <n v="2486.8200000000002"/>
  </r>
  <r>
    <x v="19"/>
    <s v="KEN"/>
    <x v="0"/>
    <x v="2"/>
    <x v="5"/>
    <x v="3"/>
    <x v="3"/>
    <n v="297.56"/>
  </r>
  <r>
    <x v="19"/>
    <s v="KEN"/>
    <x v="0"/>
    <x v="2"/>
    <x v="5"/>
    <x v="2"/>
    <x v="1"/>
    <n v="1773.83"/>
  </r>
  <r>
    <x v="19"/>
    <s v="KEN"/>
    <x v="0"/>
    <x v="2"/>
    <x v="6"/>
    <x v="6"/>
    <x v="3"/>
    <n v="0"/>
  </r>
  <r>
    <x v="19"/>
    <s v="KEN"/>
    <x v="0"/>
    <x v="2"/>
    <x v="6"/>
    <x v="6"/>
    <x v="2"/>
    <n v="2592.67"/>
  </r>
  <r>
    <x v="19"/>
    <s v="KEN"/>
    <x v="0"/>
    <x v="2"/>
    <x v="6"/>
    <x v="0"/>
    <x v="3"/>
    <n v="0"/>
  </r>
  <r>
    <x v="19"/>
    <s v="KEN"/>
    <x v="0"/>
    <x v="2"/>
    <x v="6"/>
    <x v="3"/>
    <x v="3"/>
    <n v="307.93"/>
  </r>
  <r>
    <x v="19"/>
    <s v="KEN"/>
    <x v="0"/>
    <x v="2"/>
    <x v="7"/>
    <x v="6"/>
    <x v="0"/>
    <n v="1412.73"/>
  </r>
  <r>
    <x v="19"/>
    <s v="KEN"/>
    <x v="0"/>
    <x v="2"/>
    <x v="7"/>
    <x v="6"/>
    <x v="3"/>
    <n v="0"/>
  </r>
  <r>
    <x v="19"/>
    <s v="KEN"/>
    <x v="0"/>
    <x v="2"/>
    <x v="7"/>
    <x v="3"/>
    <x v="0"/>
    <n v="5804.02"/>
  </r>
  <r>
    <x v="19"/>
    <s v="KEN"/>
    <x v="0"/>
    <x v="2"/>
    <x v="7"/>
    <x v="3"/>
    <x v="3"/>
    <n v="309.58"/>
  </r>
  <r>
    <x v="19"/>
    <s v="KEN"/>
    <x v="0"/>
    <x v="2"/>
    <x v="7"/>
    <x v="1"/>
    <x v="2"/>
    <n v="161.08000000000001"/>
  </r>
  <r>
    <x v="19"/>
    <s v="KEN"/>
    <x v="0"/>
    <x v="2"/>
    <x v="7"/>
    <x v="5"/>
    <x v="1"/>
    <n v="198.15"/>
  </r>
  <r>
    <x v="19"/>
    <s v="KEN"/>
    <x v="0"/>
    <x v="2"/>
    <x v="7"/>
    <x v="2"/>
    <x v="2"/>
    <n v="155.91"/>
  </r>
  <r>
    <x v="19"/>
    <s v="KEN"/>
    <x v="0"/>
    <x v="2"/>
    <x v="8"/>
    <x v="6"/>
    <x v="3"/>
    <n v="0"/>
  </r>
  <r>
    <x v="19"/>
    <s v="KEN"/>
    <x v="0"/>
    <x v="2"/>
    <x v="8"/>
    <x v="3"/>
    <x v="1"/>
    <n v="347.73"/>
  </r>
  <r>
    <x v="19"/>
    <s v="KEN"/>
    <x v="0"/>
    <x v="2"/>
    <x v="8"/>
    <x v="3"/>
    <x v="2"/>
    <n v="337.3"/>
  </r>
  <r>
    <x v="19"/>
    <s v="KEN"/>
    <x v="0"/>
    <x v="2"/>
    <x v="8"/>
    <x v="4"/>
    <x v="1"/>
    <n v="-76.12"/>
  </r>
  <r>
    <x v="19"/>
    <s v="KEN"/>
    <x v="0"/>
    <x v="2"/>
    <x v="8"/>
    <x v="5"/>
    <x v="0"/>
    <n v="9208.94"/>
  </r>
  <r>
    <x v="19"/>
    <s v="KEN"/>
    <x v="0"/>
    <x v="2"/>
    <x v="9"/>
    <x v="6"/>
    <x v="0"/>
    <n v="1441.91"/>
  </r>
  <r>
    <x v="19"/>
    <s v="KEN"/>
    <x v="0"/>
    <x v="2"/>
    <x v="9"/>
    <x v="1"/>
    <x v="2"/>
    <n v="159.15"/>
  </r>
  <r>
    <x v="19"/>
    <s v="KEN"/>
    <x v="0"/>
    <x v="2"/>
    <x v="9"/>
    <x v="2"/>
    <x v="0"/>
    <n v="457.51"/>
  </r>
  <r>
    <x v="19"/>
    <s v="KEN"/>
    <x v="0"/>
    <x v="2"/>
    <x v="9"/>
    <x v="2"/>
    <x v="2"/>
    <n v="141.82"/>
  </r>
  <r>
    <x v="19"/>
    <s v="KEN"/>
    <x v="0"/>
    <x v="2"/>
    <x v="10"/>
    <x v="6"/>
    <x v="1"/>
    <n v="11440.4"/>
  </r>
  <r>
    <x v="19"/>
    <s v="KEN"/>
    <x v="0"/>
    <x v="2"/>
    <x v="10"/>
    <x v="5"/>
    <x v="1"/>
    <n v="192.97"/>
  </r>
  <r>
    <x v="19"/>
    <s v="KEN"/>
    <x v="0"/>
    <x v="2"/>
    <x v="11"/>
    <x v="1"/>
    <x v="3"/>
    <n v="0"/>
  </r>
  <r>
    <x v="19"/>
    <s v="KEN"/>
    <x v="0"/>
    <x v="2"/>
    <x v="12"/>
    <x v="6"/>
    <x v="0"/>
    <n v="1802.44"/>
  </r>
  <r>
    <x v="19"/>
    <s v="KEN"/>
    <x v="0"/>
    <x v="2"/>
    <x v="12"/>
    <x v="0"/>
    <x v="3"/>
    <n v="0"/>
  </r>
  <r>
    <x v="19"/>
    <s v="KEN"/>
    <x v="0"/>
    <x v="2"/>
    <x v="12"/>
    <x v="1"/>
    <x v="0"/>
    <n v="10356.969999999999"/>
  </r>
  <r>
    <x v="19"/>
    <s v="KEN"/>
    <x v="0"/>
    <x v="2"/>
    <x v="12"/>
    <x v="1"/>
    <x v="2"/>
    <n v="192.99"/>
  </r>
  <r>
    <x v="19"/>
    <s v="KEN"/>
    <x v="0"/>
    <x v="2"/>
    <x v="13"/>
    <x v="6"/>
    <x v="3"/>
    <n v="0"/>
  </r>
  <r>
    <x v="19"/>
    <s v="KEN"/>
    <x v="0"/>
    <x v="2"/>
    <x v="13"/>
    <x v="0"/>
    <x v="3"/>
    <n v="0"/>
  </r>
  <r>
    <x v="19"/>
    <s v="KEN"/>
    <x v="0"/>
    <x v="2"/>
    <x v="13"/>
    <x v="3"/>
    <x v="1"/>
    <n v="465"/>
  </r>
  <r>
    <x v="19"/>
    <s v="KEN"/>
    <x v="0"/>
    <x v="2"/>
    <x v="13"/>
    <x v="3"/>
    <x v="3"/>
    <n v="504.52"/>
  </r>
  <r>
    <x v="19"/>
    <s v="KEN"/>
    <x v="0"/>
    <x v="2"/>
    <x v="13"/>
    <x v="5"/>
    <x v="3"/>
    <n v="0"/>
  </r>
  <r>
    <x v="19"/>
    <s v="KEN"/>
    <x v="0"/>
    <x v="2"/>
    <x v="14"/>
    <x v="0"/>
    <x v="2"/>
    <n v="208.16"/>
  </r>
  <r>
    <x v="19"/>
    <s v="KEN"/>
    <x v="0"/>
    <x v="2"/>
    <x v="14"/>
    <x v="3"/>
    <x v="0"/>
    <n v="7301.73"/>
  </r>
  <r>
    <x v="19"/>
    <s v="KEN"/>
    <x v="0"/>
    <x v="2"/>
    <x v="14"/>
    <x v="4"/>
    <x v="1"/>
    <n v="-106.58"/>
  </r>
  <r>
    <x v="19"/>
    <s v="KEN"/>
    <x v="0"/>
    <x v="2"/>
    <x v="14"/>
    <x v="1"/>
    <x v="1"/>
    <n v="348.1"/>
  </r>
  <r>
    <x v="19"/>
    <s v="KEN"/>
    <x v="0"/>
    <x v="2"/>
    <x v="14"/>
    <x v="1"/>
    <x v="0"/>
    <n v="9307.59"/>
  </r>
  <r>
    <x v="19"/>
    <s v="KEN"/>
    <x v="0"/>
    <x v="2"/>
    <x v="15"/>
    <x v="4"/>
    <x v="1"/>
    <n v="-88.19"/>
  </r>
  <r>
    <x v="19"/>
    <s v="KEN"/>
    <x v="0"/>
    <x v="2"/>
    <x v="15"/>
    <x v="1"/>
    <x v="2"/>
    <n v="200.21"/>
  </r>
  <r>
    <x v="19"/>
    <s v="KEN"/>
    <x v="0"/>
    <x v="2"/>
    <x v="16"/>
    <x v="6"/>
    <x v="1"/>
    <n v="13377.25"/>
  </r>
  <r>
    <x v="19"/>
    <s v="KEN"/>
    <x v="0"/>
    <x v="2"/>
    <x v="16"/>
    <x v="5"/>
    <x v="1"/>
    <n v="275.85000000000002"/>
  </r>
  <r>
    <x v="19"/>
    <s v="KEN"/>
    <x v="0"/>
    <x v="2"/>
    <x v="16"/>
    <x v="5"/>
    <x v="0"/>
    <n v="13704.94"/>
  </r>
  <r>
    <x v="19"/>
    <s v="KEN"/>
    <x v="0"/>
    <x v="2"/>
    <x v="16"/>
    <x v="2"/>
    <x v="3"/>
    <n v="0"/>
  </r>
  <r>
    <x v="19"/>
    <s v="KEN"/>
    <x v="0"/>
    <x v="2"/>
    <x v="17"/>
    <x v="4"/>
    <x v="2"/>
    <n v="-115.29"/>
  </r>
  <r>
    <x v="19"/>
    <s v="KEN"/>
    <x v="0"/>
    <x v="2"/>
    <x v="17"/>
    <x v="1"/>
    <x v="1"/>
    <n v="364.38"/>
  </r>
  <r>
    <x v="19"/>
    <s v="KEN"/>
    <x v="0"/>
    <x v="2"/>
    <x v="17"/>
    <x v="1"/>
    <x v="0"/>
    <n v="11348.22"/>
  </r>
  <r>
    <x v="19"/>
    <s v="KEN"/>
    <x v="0"/>
    <x v="2"/>
    <x v="17"/>
    <x v="5"/>
    <x v="0"/>
    <n v="14166.07"/>
  </r>
  <r>
    <x v="19"/>
    <s v="KEN"/>
    <x v="0"/>
    <x v="2"/>
    <x v="17"/>
    <x v="2"/>
    <x v="1"/>
    <n v="3425.18"/>
  </r>
  <r>
    <x v="19"/>
    <s v="KEN"/>
    <x v="0"/>
    <x v="2"/>
    <x v="17"/>
    <x v="2"/>
    <x v="2"/>
    <n v="216.83"/>
  </r>
  <r>
    <x v="19"/>
    <s v="KEN"/>
    <x v="0"/>
    <x v="2"/>
    <x v="33"/>
    <x v="0"/>
    <x v="1"/>
    <n v="516.27"/>
  </r>
  <r>
    <x v="19"/>
    <s v="KEN"/>
    <x v="0"/>
    <x v="2"/>
    <x v="33"/>
    <x v="4"/>
    <x v="0"/>
    <n v="-10822.81"/>
  </r>
  <r>
    <x v="19"/>
    <s v="KEN"/>
    <x v="0"/>
    <x v="2"/>
    <x v="33"/>
    <x v="4"/>
    <x v="3"/>
    <n v="0"/>
  </r>
  <r>
    <x v="19"/>
    <s v="KEN"/>
    <x v="0"/>
    <x v="2"/>
    <x v="33"/>
    <x v="5"/>
    <x v="1"/>
    <n v="270.74"/>
  </r>
  <r>
    <x v="19"/>
    <s v="KEN"/>
    <x v="0"/>
    <x v="2"/>
    <x v="18"/>
    <x v="6"/>
    <x v="1"/>
    <n v="14655.74"/>
  </r>
  <r>
    <x v="19"/>
    <s v="KEN"/>
    <x v="0"/>
    <x v="2"/>
    <x v="18"/>
    <x v="6"/>
    <x v="0"/>
    <n v="2003.05"/>
  </r>
  <r>
    <x v="19"/>
    <s v="KEN"/>
    <x v="0"/>
    <x v="2"/>
    <x v="18"/>
    <x v="6"/>
    <x v="3"/>
    <n v="0"/>
  </r>
  <r>
    <x v="19"/>
    <s v="KEN"/>
    <x v="0"/>
    <x v="2"/>
    <x v="18"/>
    <x v="3"/>
    <x v="3"/>
    <n v="455.67"/>
  </r>
  <r>
    <x v="19"/>
    <s v="KEN"/>
    <x v="0"/>
    <x v="2"/>
    <x v="19"/>
    <x v="6"/>
    <x v="0"/>
    <n v="2152.6999999999998"/>
  </r>
  <r>
    <x v="19"/>
    <s v="KEN"/>
    <x v="0"/>
    <x v="2"/>
    <x v="19"/>
    <x v="0"/>
    <x v="0"/>
    <n v="7133.46"/>
  </r>
  <r>
    <x v="19"/>
    <s v="KEN"/>
    <x v="0"/>
    <x v="2"/>
    <x v="19"/>
    <x v="3"/>
    <x v="1"/>
    <n v="504.21"/>
  </r>
  <r>
    <x v="19"/>
    <s v="KEN"/>
    <x v="0"/>
    <x v="2"/>
    <x v="19"/>
    <x v="3"/>
    <x v="0"/>
    <n v="9247.98"/>
  </r>
  <r>
    <x v="19"/>
    <s v="KEN"/>
    <x v="0"/>
    <x v="2"/>
    <x v="19"/>
    <x v="1"/>
    <x v="0"/>
    <n v="12470.02"/>
  </r>
  <r>
    <x v="19"/>
    <s v="KEN"/>
    <x v="0"/>
    <x v="2"/>
    <x v="19"/>
    <x v="5"/>
    <x v="0"/>
    <n v="16116.12"/>
  </r>
  <r>
    <x v="19"/>
    <s v="KEN"/>
    <x v="0"/>
    <x v="2"/>
    <x v="19"/>
    <x v="5"/>
    <x v="3"/>
    <n v="0"/>
  </r>
  <r>
    <x v="19"/>
    <s v="KEN"/>
    <x v="0"/>
    <x v="2"/>
    <x v="20"/>
    <x v="0"/>
    <x v="1"/>
    <n v="549.13"/>
  </r>
  <r>
    <x v="19"/>
    <s v="KEN"/>
    <x v="0"/>
    <x v="2"/>
    <x v="20"/>
    <x v="1"/>
    <x v="0"/>
    <n v="10701.41"/>
  </r>
  <r>
    <x v="19"/>
    <s v="KEN"/>
    <x v="0"/>
    <x v="2"/>
    <x v="20"/>
    <x v="5"/>
    <x v="3"/>
    <n v="0"/>
  </r>
  <r>
    <x v="19"/>
    <s v="KEN"/>
    <x v="0"/>
    <x v="2"/>
    <x v="21"/>
    <x v="5"/>
    <x v="2"/>
    <n v="155.91"/>
  </r>
  <r>
    <x v="19"/>
    <s v="KEN"/>
    <x v="0"/>
    <x v="2"/>
    <x v="22"/>
    <x v="1"/>
    <x v="3"/>
    <n v="0"/>
  </r>
  <r>
    <x v="19"/>
    <s v="KEN"/>
    <x v="0"/>
    <x v="2"/>
    <x v="22"/>
    <x v="5"/>
    <x v="2"/>
    <n v="154.79"/>
  </r>
  <r>
    <x v="19"/>
    <s v="KEN"/>
    <x v="0"/>
    <x v="2"/>
    <x v="23"/>
    <x v="3"/>
    <x v="0"/>
    <n v="8216.36"/>
  </r>
  <r>
    <x v="19"/>
    <s v="KEN"/>
    <x v="0"/>
    <x v="2"/>
    <x v="24"/>
    <x v="6"/>
    <x v="2"/>
    <n v="3975.74"/>
  </r>
  <r>
    <x v="19"/>
    <s v="KEN"/>
    <x v="0"/>
    <x v="2"/>
    <x v="24"/>
    <x v="3"/>
    <x v="1"/>
    <n v="470.34"/>
  </r>
  <r>
    <x v="19"/>
    <s v="KEN"/>
    <x v="0"/>
    <x v="2"/>
    <x v="24"/>
    <x v="4"/>
    <x v="1"/>
    <n v="-115.17"/>
  </r>
  <r>
    <x v="19"/>
    <s v="KEN"/>
    <x v="0"/>
    <x v="2"/>
    <x v="24"/>
    <x v="2"/>
    <x v="3"/>
    <n v="0"/>
  </r>
  <r>
    <x v="19"/>
    <s v="KEN"/>
    <x v="0"/>
    <x v="2"/>
    <x v="24"/>
    <x v="2"/>
    <x v="2"/>
    <n v="211.6"/>
  </r>
  <r>
    <x v="19"/>
    <s v="KEN"/>
    <x v="0"/>
    <x v="2"/>
    <x v="25"/>
    <x v="1"/>
    <x v="3"/>
    <n v="0"/>
  </r>
  <r>
    <x v="19"/>
    <s v="KEN"/>
    <x v="0"/>
    <x v="2"/>
    <x v="25"/>
    <x v="1"/>
    <x v="2"/>
    <n v="265.16000000000003"/>
  </r>
  <r>
    <x v="19"/>
    <s v="KEN"/>
    <x v="0"/>
    <x v="2"/>
    <x v="26"/>
    <x v="6"/>
    <x v="2"/>
    <n v="4673.63"/>
  </r>
  <r>
    <x v="19"/>
    <s v="KEN"/>
    <x v="0"/>
    <x v="2"/>
    <x v="26"/>
    <x v="0"/>
    <x v="0"/>
    <n v="7455.87"/>
  </r>
  <r>
    <x v="19"/>
    <s v="KEN"/>
    <x v="0"/>
    <x v="2"/>
    <x v="26"/>
    <x v="2"/>
    <x v="2"/>
    <n v="248.3"/>
  </r>
  <r>
    <x v="19"/>
    <s v="KEN"/>
    <x v="0"/>
    <x v="2"/>
    <x v="34"/>
    <x v="3"/>
    <x v="1"/>
    <n v="499.84"/>
  </r>
  <r>
    <x v="19"/>
    <s v="KEN"/>
    <x v="0"/>
    <x v="2"/>
    <x v="34"/>
    <x v="3"/>
    <x v="3"/>
    <n v="568.20000000000005"/>
  </r>
  <r>
    <x v="19"/>
    <s v="KEN"/>
    <x v="0"/>
    <x v="2"/>
    <x v="34"/>
    <x v="4"/>
    <x v="1"/>
    <n v="-120.93"/>
  </r>
  <r>
    <x v="19"/>
    <s v="KEN"/>
    <x v="0"/>
    <x v="2"/>
    <x v="34"/>
    <x v="5"/>
    <x v="0"/>
    <n v="16239.47"/>
  </r>
  <r>
    <x v="19"/>
    <s v="KEN"/>
    <x v="0"/>
    <x v="2"/>
    <x v="27"/>
    <x v="6"/>
    <x v="3"/>
    <n v="0"/>
  </r>
  <r>
    <x v="19"/>
    <s v="KEN"/>
    <x v="0"/>
    <x v="2"/>
    <x v="27"/>
    <x v="6"/>
    <x v="2"/>
    <n v="4439.7"/>
  </r>
  <r>
    <x v="19"/>
    <s v="KEN"/>
    <x v="0"/>
    <x v="2"/>
    <x v="27"/>
    <x v="1"/>
    <x v="2"/>
    <n v="243.19"/>
  </r>
  <r>
    <x v="19"/>
    <s v="KEN"/>
    <x v="0"/>
    <x v="2"/>
    <x v="27"/>
    <x v="5"/>
    <x v="1"/>
    <n v="286"/>
  </r>
  <r>
    <x v="19"/>
    <s v="KEN"/>
    <x v="0"/>
    <x v="2"/>
    <x v="27"/>
    <x v="2"/>
    <x v="3"/>
    <n v="0"/>
  </r>
  <r>
    <x v="19"/>
    <s v="KEN"/>
    <x v="0"/>
    <x v="2"/>
    <x v="28"/>
    <x v="2"/>
    <x v="0"/>
    <n v="713.98"/>
  </r>
  <r>
    <x v="19"/>
    <s v="KEN"/>
    <x v="0"/>
    <x v="2"/>
    <x v="29"/>
    <x v="6"/>
    <x v="0"/>
    <n v="2198.61"/>
  </r>
  <r>
    <x v="19"/>
    <s v="KEN"/>
    <x v="0"/>
    <x v="2"/>
    <x v="29"/>
    <x v="3"/>
    <x v="1"/>
    <n v="533.71"/>
  </r>
  <r>
    <x v="19"/>
    <s v="KEN"/>
    <x v="0"/>
    <x v="2"/>
    <x v="29"/>
    <x v="4"/>
    <x v="2"/>
    <n v="-122.33"/>
  </r>
  <r>
    <x v="19"/>
    <s v="KEN"/>
    <x v="0"/>
    <x v="2"/>
    <x v="29"/>
    <x v="2"/>
    <x v="3"/>
    <n v="0"/>
  </r>
  <r>
    <x v="19"/>
    <s v="KEN"/>
    <x v="0"/>
    <x v="2"/>
    <x v="29"/>
    <x v="2"/>
    <x v="2"/>
    <n v="275.79000000000002"/>
  </r>
  <r>
    <x v="19"/>
    <s v="KEN"/>
    <x v="0"/>
    <x v="2"/>
    <x v="30"/>
    <x v="3"/>
    <x v="1"/>
    <n v="474.07"/>
  </r>
  <r>
    <x v="19"/>
    <s v="KEN"/>
    <x v="0"/>
    <x v="2"/>
    <x v="30"/>
    <x v="3"/>
    <x v="2"/>
    <n v="482.82"/>
  </r>
  <r>
    <x v="19"/>
    <s v="KEN"/>
    <x v="0"/>
    <x v="2"/>
    <x v="30"/>
    <x v="4"/>
    <x v="3"/>
    <n v="0"/>
  </r>
  <r>
    <x v="19"/>
    <s v="KEN"/>
    <x v="0"/>
    <x v="2"/>
    <x v="31"/>
    <x v="0"/>
    <x v="2"/>
    <n v="242.78"/>
  </r>
  <r>
    <x v="19"/>
    <s v="KEN"/>
    <x v="0"/>
    <x v="2"/>
    <x v="31"/>
    <x v="3"/>
    <x v="3"/>
    <n v="514.85"/>
  </r>
  <r>
    <x v="19"/>
    <s v="KEN"/>
    <x v="0"/>
    <x v="2"/>
    <x v="31"/>
    <x v="3"/>
    <x v="2"/>
    <n v="569.15"/>
  </r>
  <r>
    <x v="19"/>
    <s v="KEN"/>
    <x v="0"/>
    <x v="2"/>
    <x v="31"/>
    <x v="1"/>
    <x v="2"/>
    <n v="296.38"/>
  </r>
  <r>
    <x v="19"/>
    <s v="KEN"/>
    <x v="0"/>
    <x v="2"/>
    <x v="31"/>
    <x v="5"/>
    <x v="3"/>
    <n v="0"/>
  </r>
  <r>
    <x v="19"/>
    <s v="KEN"/>
    <x v="0"/>
    <x v="2"/>
    <x v="32"/>
    <x v="6"/>
    <x v="2"/>
    <n v="4751.1400000000003"/>
  </r>
  <r>
    <x v="19"/>
    <s v="KEN"/>
    <x v="0"/>
    <x v="2"/>
    <x v="32"/>
    <x v="0"/>
    <x v="3"/>
    <n v="0"/>
  </r>
  <r>
    <x v="19"/>
    <s v="KEN"/>
    <x v="0"/>
    <x v="2"/>
    <x v="32"/>
    <x v="0"/>
    <x v="2"/>
    <n v="282.52"/>
  </r>
  <r>
    <x v="19"/>
    <s v="KEN"/>
    <x v="0"/>
    <x v="2"/>
    <x v="32"/>
    <x v="1"/>
    <x v="1"/>
    <n v="414.96"/>
  </r>
  <r>
    <x v="19"/>
    <s v="KEN"/>
    <x v="0"/>
    <x v="2"/>
    <x v="32"/>
    <x v="2"/>
    <x v="1"/>
    <n v="4415.9399999999996"/>
  </r>
  <r>
    <x v="19"/>
    <s v="KEN"/>
    <x v="0"/>
    <x v="2"/>
    <x v="32"/>
    <x v="2"/>
    <x v="0"/>
    <n v="759.83"/>
  </r>
  <r>
    <x v="19"/>
    <s v="KEN"/>
    <x v="0"/>
    <x v="2"/>
    <x v="32"/>
    <x v="2"/>
    <x v="2"/>
    <n v="258.8"/>
  </r>
  <r>
    <x v="20"/>
    <s v="KWT"/>
    <x v="3"/>
    <x v="1"/>
    <x v="0"/>
    <x v="6"/>
    <x v="1"/>
    <n v="6281.83"/>
  </r>
  <r>
    <x v="20"/>
    <s v="KWT"/>
    <x v="3"/>
    <x v="1"/>
    <x v="0"/>
    <x v="3"/>
    <x v="0"/>
    <n v="25777.58"/>
  </r>
  <r>
    <x v="20"/>
    <s v="KWT"/>
    <x v="3"/>
    <x v="1"/>
    <x v="0"/>
    <x v="4"/>
    <x v="0"/>
    <n v="7460.73"/>
  </r>
  <r>
    <x v="20"/>
    <s v="KWT"/>
    <x v="3"/>
    <x v="1"/>
    <x v="0"/>
    <x v="5"/>
    <x v="0"/>
    <n v="43021.78"/>
  </r>
  <r>
    <x v="20"/>
    <s v="KWT"/>
    <x v="3"/>
    <x v="1"/>
    <x v="0"/>
    <x v="5"/>
    <x v="2"/>
    <n v="473.43"/>
  </r>
  <r>
    <x v="20"/>
    <s v="KWT"/>
    <x v="3"/>
    <x v="1"/>
    <x v="1"/>
    <x v="6"/>
    <x v="1"/>
    <n v="6365.13"/>
  </r>
  <r>
    <x v="20"/>
    <s v="KWT"/>
    <x v="3"/>
    <x v="1"/>
    <x v="1"/>
    <x v="6"/>
    <x v="0"/>
    <n v="809.07"/>
  </r>
  <r>
    <x v="20"/>
    <s v="KWT"/>
    <x v="3"/>
    <x v="1"/>
    <x v="2"/>
    <x v="0"/>
    <x v="3"/>
    <n v="0"/>
  </r>
  <r>
    <x v="20"/>
    <s v="KWT"/>
    <x v="3"/>
    <x v="1"/>
    <x v="2"/>
    <x v="3"/>
    <x v="0"/>
    <n v="22196.48"/>
  </r>
  <r>
    <x v="20"/>
    <s v="KWT"/>
    <x v="3"/>
    <x v="1"/>
    <x v="2"/>
    <x v="3"/>
    <x v="3"/>
    <n v="1402.71"/>
  </r>
  <r>
    <x v="20"/>
    <s v="KWT"/>
    <x v="3"/>
    <x v="1"/>
    <x v="2"/>
    <x v="5"/>
    <x v="2"/>
    <n v="435.48"/>
  </r>
  <r>
    <x v="20"/>
    <s v="KWT"/>
    <x v="3"/>
    <x v="1"/>
    <x v="3"/>
    <x v="0"/>
    <x v="3"/>
    <n v="0"/>
  </r>
  <r>
    <x v="20"/>
    <s v="KWT"/>
    <x v="3"/>
    <x v="1"/>
    <x v="3"/>
    <x v="1"/>
    <x v="3"/>
    <n v="0"/>
  </r>
  <r>
    <x v="20"/>
    <s v="KWT"/>
    <x v="3"/>
    <x v="1"/>
    <x v="3"/>
    <x v="5"/>
    <x v="2"/>
    <n v="490.3"/>
  </r>
  <r>
    <x v="20"/>
    <s v="KWT"/>
    <x v="3"/>
    <x v="1"/>
    <x v="3"/>
    <x v="2"/>
    <x v="3"/>
    <n v="0"/>
  </r>
  <r>
    <x v="20"/>
    <s v="KWT"/>
    <x v="3"/>
    <x v="1"/>
    <x v="4"/>
    <x v="6"/>
    <x v="3"/>
    <n v="0"/>
  </r>
  <r>
    <x v="20"/>
    <s v="KWT"/>
    <x v="3"/>
    <x v="1"/>
    <x v="6"/>
    <x v="3"/>
    <x v="0"/>
    <n v="24363.84"/>
  </r>
  <r>
    <x v="20"/>
    <s v="KWT"/>
    <x v="3"/>
    <x v="1"/>
    <x v="6"/>
    <x v="4"/>
    <x v="3"/>
    <n v="0"/>
  </r>
  <r>
    <x v="20"/>
    <s v="KWT"/>
    <x v="3"/>
    <x v="1"/>
    <x v="6"/>
    <x v="1"/>
    <x v="2"/>
    <n v="54.12"/>
  </r>
  <r>
    <x v="20"/>
    <s v="KWT"/>
    <x v="3"/>
    <x v="1"/>
    <x v="7"/>
    <x v="4"/>
    <x v="1"/>
    <n v="78.12"/>
  </r>
  <r>
    <x v="20"/>
    <s v="KWT"/>
    <x v="3"/>
    <x v="1"/>
    <x v="7"/>
    <x v="1"/>
    <x v="0"/>
    <n v="3361.32"/>
  </r>
  <r>
    <x v="20"/>
    <s v="KWT"/>
    <x v="3"/>
    <x v="1"/>
    <x v="7"/>
    <x v="1"/>
    <x v="2"/>
    <n v="57.55"/>
  </r>
  <r>
    <x v="20"/>
    <s v="KWT"/>
    <x v="3"/>
    <x v="1"/>
    <x v="7"/>
    <x v="5"/>
    <x v="1"/>
    <n v="899.35"/>
  </r>
  <r>
    <x v="20"/>
    <s v="KWT"/>
    <x v="3"/>
    <x v="1"/>
    <x v="8"/>
    <x v="6"/>
    <x v="0"/>
    <n v="859.83"/>
  </r>
  <r>
    <x v="20"/>
    <s v="KWT"/>
    <x v="3"/>
    <x v="1"/>
    <x v="8"/>
    <x v="3"/>
    <x v="0"/>
    <n v="25137.37"/>
  </r>
  <r>
    <x v="20"/>
    <s v="KWT"/>
    <x v="3"/>
    <x v="1"/>
    <x v="9"/>
    <x v="3"/>
    <x v="2"/>
    <n v="1457.83"/>
  </r>
  <r>
    <x v="20"/>
    <s v="KWT"/>
    <x v="3"/>
    <x v="1"/>
    <x v="9"/>
    <x v="4"/>
    <x v="3"/>
    <n v="0"/>
  </r>
  <r>
    <x v="20"/>
    <s v="KWT"/>
    <x v="3"/>
    <x v="1"/>
    <x v="9"/>
    <x v="1"/>
    <x v="1"/>
    <n v="89.51"/>
  </r>
  <r>
    <x v="20"/>
    <s v="KWT"/>
    <x v="3"/>
    <x v="1"/>
    <x v="9"/>
    <x v="1"/>
    <x v="3"/>
    <n v="0"/>
  </r>
  <r>
    <x v="20"/>
    <s v="KWT"/>
    <x v="3"/>
    <x v="1"/>
    <x v="10"/>
    <x v="5"/>
    <x v="1"/>
    <n v="833.6"/>
  </r>
  <r>
    <x v="20"/>
    <s v="KWT"/>
    <x v="3"/>
    <x v="1"/>
    <x v="11"/>
    <x v="0"/>
    <x v="0"/>
    <n v="9673.5400000000009"/>
  </r>
  <r>
    <x v="20"/>
    <s v="KWT"/>
    <x v="3"/>
    <x v="1"/>
    <x v="11"/>
    <x v="4"/>
    <x v="1"/>
    <n v="71.849999999999994"/>
  </r>
  <r>
    <x v="20"/>
    <s v="KWT"/>
    <x v="3"/>
    <x v="1"/>
    <x v="11"/>
    <x v="5"/>
    <x v="3"/>
    <n v="0"/>
  </r>
  <r>
    <x v="20"/>
    <s v="KWT"/>
    <x v="3"/>
    <x v="1"/>
    <x v="12"/>
    <x v="6"/>
    <x v="0"/>
    <n v="901.74"/>
  </r>
  <r>
    <x v="20"/>
    <s v="KWT"/>
    <x v="3"/>
    <x v="1"/>
    <x v="12"/>
    <x v="0"/>
    <x v="0"/>
    <n v="10008.61"/>
  </r>
  <r>
    <x v="20"/>
    <s v="KWT"/>
    <x v="3"/>
    <x v="1"/>
    <x v="12"/>
    <x v="0"/>
    <x v="2"/>
    <n v="346.26"/>
  </r>
  <r>
    <x v="20"/>
    <s v="KWT"/>
    <x v="3"/>
    <x v="1"/>
    <x v="12"/>
    <x v="4"/>
    <x v="3"/>
    <n v="0"/>
  </r>
  <r>
    <x v="20"/>
    <s v="KWT"/>
    <x v="3"/>
    <x v="1"/>
    <x v="12"/>
    <x v="5"/>
    <x v="3"/>
    <n v="0"/>
  </r>
  <r>
    <x v="20"/>
    <s v="KWT"/>
    <x v="3"/>
    <x v="1"/>
    <x v="12"/>
    <x v="2"/>
    <x v="0"/>
    <n v="771.92"/>
  </r>
  <r>
    <x v="20"/>
    <s v="KWT"/>
    <x v="3"/>
    <x v="1"/>
    <x v="13"/>
    <x v="6"/>
    <x v="1"/>
    <n v="6266.64"/>
  </r>
  <r>
    <x v="20"/>
    <s v="KWT"/>
    <x v="3"/>
    <x v="1"/>
    <x v="13"/>
    <x v="0"/>
    <x v="2"/>
    <n v="327.5"/>
  </r>
  <r>
    <x v="20"/>
    <s v="KWT"/>
    <x v="3"/>
    <x v="1"/>
    <x v="13"/>
    <x v="1"/>
    <x v="1"/>
    <n v="92.28"/>
  </r>
  <r>
    <x v="20"/>
    <s v="KWT"/>
    <x v="3"/>
    <x v="1"/>
    <x v="13"/>
    <x v="5"/>
    <x v="3"/>
    <n v="0"/>
  </r>
  <r>
    <x v="20"/>
    <s v="KWT"/>
    <x v="3"/>
    <x v="1"/>
    <x v="13"/>
    <x v="2"/>
    <x v="1"/>
    <n v="3774.49"/>
  </r>
  <r>
    <x v="20"/>
    <s v="KWT"/>
    <x v="3"/>
    <x v="1"/>
    <x v="14"/>
    <x v="6"/>
    <x v="2"/>
    <n v="1730.33"/>
  </r>
  <r>
    <x v="20"/>
    <s v="KWT"/>
    <x v="3"/>
    <x v="1"/>
    <x v="15"/>
    <x v="0"/>
    <x v="0"/>
    <n v="12405.73"/>
  </r>
  <r>
    <x v="20"/>
    <s v="KWT"/>
    <x v="3"/>
    <x v="1"/>
    <x v="15"/>
    <x v="4"/>
    <x v="2"/>
    <n v="80.77"/>
  </r>
  <r>
    <x v="20"/>
    <s v="KWT"/>
    <x v="3"/>
    <x v="1"/>
    <x v="16"/>
    <x v="6"/>
    <x v="3"/>
    <n v="0"/>
  </r>
  <r>
    <x v="20"/>
    <s v="KWT"/>
    <x v="3"/>
    <x v="1"/>
    <x v="16"/>
    <x v="4"/>
    <x v="3"/>
    <n v="0"/>
  </r>
  <r>
    <x v="20"/>
    <s v="KWT"/>
    <x v="3"/>
    <x v="1"/>
    <x v="16"/>
    <x v="5"/>
    <x v="3"/>
    <n v="0"/>
  </r>
  <r>
    <x v="20"/>
    <s v="KWT"/>
    <x v="3"/>
    <x v="1"/>
    <x v="16"/>
    <x v="2"/>
    <x v="0"/>
    <n v="904.78"/>
  </r>
  <r>
    <x v="20"/>
    <s v="KWT"/>
    <x v="3"/>
    <x v="1"/>
    <x v="17"/>
    <x v="3"/>
    <x v="2"/>
    <n v="1564.18"/>
  </r>
  <r>
    <x v="20"/>
    <s v="KWT"/>
    <x v="3"/>
    <x v="1"/>
    <x v="17"/>
    <x v="5"/>
    <x v="2"/>
    <n v="479.77"/>
  </r>
  <r>
    <x v="20"/>
    <s v="KWT"/>
    <x v="3"/>
    <x v="1"/>
    <x v="17"/>
    <x v="2"/>
    <x v="0"/>
    <n v="905.68"/>
  </r>
  <r>
    <x v="20"/>
    <s v="KWT"/>
    <x v="3"/>
    <x v="1"/>
    <x v="33"/>
    <x v="1"/>
    <x v="0"/>
    <n v="3190.93"/>
  </r>
  <r>
    <x v="20"/>
    <s v="KWT"/>
    <x v="3"/>
    <x v="1"/>
    <x v="33"/>
    <x v="1"/>
    <x v="3"/>
    <n v="0"/>
  </r>
  <r>
    <x v="20"/>
    <s v="KWT"/>
    <x v="3"/>
    <x v="1"/>
    <x v="33"/>
    <x v="5"/>
    <x v="2"/>
    <n v="535.20000000000005"/>
  </r>
  <r>
    <x v="20"/>
    <s v="KWT"/>
    <x v="3"/>
    <x v="1"/>
    <x v="18"/>
    <x v="6"/>
    <x v="2"/>
    <n v="2123.5"/>
  </r>
  <r>
    <x v="20"/>
    <s v="KWT"/>
    <x v="3"/>
    <x v="1"/>
    <x v="18"/>
    <x v="1"/>
    <x v="1"/>
    <n v="108.3"/>
  </r>
  <r>
    <x v="20"/>
    <s v="KWT"/>
    <x v="3"/>
    <x v="1"/>
    <x v="18"/>
    <x v="1"/>
    <x v="0"/>
    <n v="3333.84"/>
  </r>
  <r>
    <x v="20"/>
    <s v="KWT"/>
    <x v="3"/>
    <x v="1"/>
    <x v="18"/>
    <x v="1"/>
    <x v="3"/>
    <n v="0"/>
  </r>
  <r>
    <x v="20"/>
    <s v="KWT"/>
    <x v="3"/>
    <x v="1"/>
    <x v="18"/>
    <x v="2"/>
    <x v="0"/>
    <n v="922.24"/>
  </r>
  <r>
    <x v="20"/>
    <s v="KWT"/>
    <x v="3"/>
    <x v="1"/>
    <x v="19"/>
    <x v="6"/>
    <x v="3"/>
    <n v="0"/>
  </r>
  <r>
    <x v="20"/>
    <s v="KWT"/>
    <x v="3"/>
    <x v="1"/>
    <x v="20"/>
    <x v="6"/>
    <x v="3"/>
    <n v="0"/>
  </r>
  <r>
    <x v="20"/>
    <s v="KWT"/>
    <x v="3"/>
    <x v="1"/>
    <x v="20"/>
    <x v="3"/>
    <x v="0"/>
    <n v="27414.44"/>
  </r>
  <r>
    <x v="20"/>
    <s v="KWT"/>
    <x v="3"/>
    <x v="1"/>
    <x v="21"/>
    <x v="6"/>
    <x v="3"/>
    <n v="0"/>
  </r>
  <r>
    <x v="20"/>
    <s v="KWT"/>
    <x v="3"/>
    <x v="1"/>
    <x v="21"/>
    <x v="0"/>
    <x v="0"/>
    <n v="10141.280000000001"/>
  </r>
  <r>
    <x v="20"/>
    <s v="KWT"/>
    <x v="3"/>
    <x v="1"/>
    <x v="21"/>
    <x v="2"/>
    <x v="1"/>
    <n v="4289.6000000000004"/>
  </r>
  <r>
    <x v="20"/>
    <s v="KWT"/>
    <x v="3"/>
    <x v="1"/>
    <x v="22"/>
    <x v="0"/>
    <x v="3"/>
    <n v="0"/>
  </r>
  <r>
    <x v="20"/>
    <s v="KWT"/>
    <x v="3"/>
    <x v="1"/>
    <x v="22"/>
    <x v="0"/>
    <x v="2"/>
    <n v="366.51"/>
  </r>
  <r>
    <x v="20"/>
    <s v="KWT"/>
    <x v="3"/>
    <x v="1"/>
    <x v="22"/>
    <x v="4"/>
    <x v="1"/>
    <n v="72.900000000000006"/>
  </r>
  <r>
    <x v="20"/>
    <s v="KWT"/>
    <x v="3"/>
    <x v="1"/>
    <x v="23"/>
    <x v="0"/>
    <x v="1"/>
    <n v="827.24"/>
  </r>
  <r>
    <x v="20"/>
    <s v="KWT"/>
    <x v="3"/>
    <x v="1"/>
    <x v="23"/>
    <x v="0"/>
    <x v="2"/>
    <n v="341.24"/>
  </r>
  <r>
    <x v="20"/>
    <s v="KWT"/>
    <x v="3"/>
    <x v="1"/>
    <x v="23"/>
    <x v="4"/>
    <x v="1"/>
    <n v="75.37"/>
  </r>
  <r>
    <x v="20"/>
    <s v="KWT"/>
    <x v="3"/>
    <x v="1"/>
    <x v="23"/>
    <x v="1"/>
    <x v="2"/>
    <n v="61.05"/>
  </r>
  <r>
    <x v="20"/>
    <s v="KWT"/>
    <x v="3"/>
    <x v="1"/>
    <x v="23"/>
    <x v="2"/>
    <x v="0"/>
    <n v="724.28"/>
  </r>
  <r>
    <x v="20"/>
    <s v="KWT"/>
    <x v="3"/>
    <x v="1"/>
    <x v="24"/>
    <x v="6"/>
    <x v="2"/>
    <n v="2032.46"/>
  </r>
  <r>
    <x v="20"/>
    <s v="KWT"/>
    <x v="3"/>
    <x v="1"/>
    <x v="24"/>
    <x v="0"/>
    <x v="1"/>
    <n v="907.64"/>
  </r>
  <r>
    <x v="20"/>
    <s v="KWT"/>
    <x v="3"/>
    <x v="1"/>
    <x v="24"/>
    <x v="0"/>
    <x v="0"/>
    <n v="12162.86"/>
  </r>
  <r>
    <x v="20"/>
    <s v="KWT"/>
    <x v="3"/>
    <x v="1"/>
    <x v="24"/>
    <x v="4"/>
    <x v="3"/>
    <n v="0"/>
  </r>
  <r>
    <x v="20"/>
    <s v="KWT"/>
    <x v="3"/>
    <x v="1"/>
    <x v="24"/>
    <x v="1"/>
    <x v="1"/>
    <n v="95.6"/>
  </r>
  <r>
    <x v="20"/>
    <s v="KWT"/>
    <x v="3"/>
    <x v="1"/>
    <x v="25"/>
    <x v="0"/>
    <x v="1"/>
    <n v="796.64"/>
  </r>
  <r>
    <x v="20"/>
    <s v="KWT"/>
    <x v="3"/>
    <x v="1"/>
    <x v="25"/>
    <x v="0"/>
    <x v="2"/>
    <n v="341.16"/>
  </r>
  <r>
    <x v="20"/>
    <s v="KWT"/>
    <x v="3"/>
    <x v="1"/>
    <x v="25"/>
    <x v="3"/>
    <x v="1"/>
    <n v="1411.14"/>
  </r>
  <r>
    <x v="20"/>
    <s v="KWT"/>
    <x v="3"/>
    <x v="1"/>
    <x v="25"/>
    <x v="4"/>
    <x v="3"/>
    <n v="0"/>
  </r>
  <r>
    <x v="20"/>
    <s v="KWT"/>
    <x v="3"/>
    <x v="1"/>
    <x v="26"/>
    <x v="3"/>
    <x v="1"/>
    <n v="1614.32"/>
  </r>
  <r>
    <x v="20"/>
    <s v="KWT"/>
    <x v="3"/>
    <x v="1"/>
    <x v="26"/>
    <x v="4"/>
    <x v="0"/>
    <n v="7989.66"/>
  </r>
  <r>
    <x v="20"/>
    <s v="KWT"/>
    <x v="3"/>
    <x v="1"/>
    <x v="26"/>
    <x v="2"/>
    <x v="2"/>
    <n v="289.35000000000002"/>
  </r>
  <r>
    <x v="20"/>
    <s v="KWT"/>
    <x v="3"/>
    <x v="1"/>
    <x v="34"/>
    <x v="6"/>
    <x v="2"/>
    <n v="1872.77"/>
  </r>
  <r>
    <x v="20"/>
    <s v="KWT"/>
    <x v="3"/>
    <x v="1"/>
    <x v="34"/>
    <x v="1"/>
    <x v="0"/>
    <n v="3098.72"/>
  </r>
  <r>
    <x v="20"/>
    <s v="KWT"/>
    <x v="3"/>
    <x v="1"/>
    <x v="34"/>
    <x v="5"/>
    <x v="2"/>
    <n v="484.36"/>
  </r>
  <r>
    <x v="20"/>
    <s v="KWT"/>
    <x v="3"/>
    <x v="1"/>
    <x v="27"/>
    <x v="6"/>
    <x v="1"/>
    <n v="6258.38"/>
  </r>
  <r>
    <x v="20"/>
    <s v="KWT"/>
    <x v="3"/>
    <x v="1"/>
    <x v="27"/>
    <x v="5"/>
    <x v="1"/>
    <n v="865.85"/>
  </r>
  <r>
    <x v="20"/>
    <s v="KWT"/>
    <x v="3"/>
    <x v="1"/>
    <x v="28"/>
    <x v="0"/>
    <x v="3"/>
    <n v="0"/>
  </r>
  <r>
    <x v="20"/>
    <s v="KWT"/>
    <x v="3"/>
    <x v="1"/>
    <x v="28"/>
    <x v="5"/>
    <x v="1"/>
    <n v="866.27"/>
  </r>
  <r>
    <x v="20"/>
    <s v="KWT"/>
    <x v="3"/>
    <x v="1"/>
    <x v="29"/>
    <x v="4"/>
    <x v="2"/>
    <n v="75.489999999999995"/>
  </r>
  <r>
    <x v="20"/>
    <s v="KWT"/>
    <x v="3"/>
    <x v="1"/>
    <x v="29"/>
    <x v="5"/>
    <x v="3"/>
    <n v="0"/>
  </r>
  <r>
    <x v="20"/>
    <s v="KWT"/>
    <x v="3"/>
    <x v="1"/>
    <x v="29"/>
    <x v="2"/>
    <x v="2"/>
    <n v="253.37"/>
  </r>
  <r>
    <x v="20"/>
    <s v="KWT"/>
    <x v="3"/>
    <x v="1"/>
    <x v="30"/>
    <x v="4"/>
    <x v="2"/>
    <n v="73.680000000000007"/>
  </r>
  <r>
    <x v="20"/>
    <s v="KWT"/>
    <x v="3"/>
    <x v="1"/>
    <x v="31"/>
    <x v="3"/>
    <x v="0"/>
    <n v="20654.3"/>
  </r>
  <r>
    <x v="20"/>
    <s v="KWT"/>
    <x v="3"/>
    <x v="1"/>
    <x v="32"/>
    <x v="0"/>
    <x v="0"/>
    <n v="10659.93"/>
  </r>
  <r>
    <x v="20"/>
    <s v="KWT"/>
    <x v="3"/>
    <x v="1"/>
    <x v="32"/>
    <x v="3"/>
    <x v="0"/>
    <n v="23279.1"/>
  </r>
  <r>
    <x v="20"/>
    <s v="KWT"/>
    <x v="3"/>
    <x v="1"/>
    <x v="32"/>
    <x v="4"/>
    <x v="2"/>
    <n v="68.45"/>
  </r>
  <r>
    <x v="20"/>
    <s v="KWT"/>
    <x v="3"/>
    <x v="1"/>
    <x v="32"/>
    <x v="5"/>
    <x v="3"/>
    <n v="0"/>
  </r>
  <r>
    <x v="20"/>
    <s v="KWT"/>
    <x v="3"/>
    <x v="1"/>
    <x v="32"/>
    <x v="2"/>
    <x v="1"/>
    <n v="3845.48"/>
  </r>
  <r>
    <x v="21"/>
    <s v="MYS"/>
    <x v="3"/>
    <x v="0"/>
    <x v="1"/>
    <x v="3"/>
    <x v="2"/>
    <n v="200.83"/>
  </r>
  <r>
    <x v="21"/>
    <s v="MYS"/>
    <x v="3"/>
    <x v="0"/>
    <x v="1"/>
    <x v="2"/>
    <x v="1"/>
    <n v="11188.08"/>
  </r>
  <r>
    <x v="21"/>
    <s v="MYS"/>
    <x v="3"/>
    <x v="0"/>
    <x v="3"/>
    <x v="6"/>
    <x v="1"/>
    <n v="23492.799999999999"/>
  </r>
  <r>
    <x v="21"/>
    <s v="MYS"/>
    <x v="3"/>
    <x v="0"/>
    <x v="3"/>
    <x v="3"/>
    <x v="1"/>
    <n v="276.97000000000003"/>
  </r>
  <r>
    <x v="21"/>
    <s v="MYS"/>
    <x v="3"/>
    <x v="0"/>
    <x v="3"/>
    <x v="3"/>
    <x v="2"/>
    <n v="280.04000000000002"/>
  </r>
  <r>
    <x v="21"/>
    <s v="MYS"/>
    <x v="3"/>
    <x v="0"/>
    <x v="3"/>
    <x v="4"/>
    <x v="2"/>
    <n v="81.489999999999995"/>
  </r>
  <r>
    <x v="21"/>
    <s v="MYS"/>
    <x v="3"/>
    <x v="0"/>
    <x v="3"/>
    <x v="1"/>
    <x v="1"/>
    <n v="413.23"/>
  </r>
  <r>
    <x v="21"/>
    <s v="MYS"/>
    <x v="3"/>
    <x v="0"/>
    <x v="3"/>
    <x v="5"/>
    <x v="1"/>
    <n v="183.58"/>
  </r>
  <r>
    <x v="21"/>
    <s v="MYS"/>
    <x v="3"/>
    <x v="0"/>
    <x v="3"/>
    <x v="5"/>
    <x v="3"/>
    <n v="0"/>
  </r>
  <r>
    <x v="21"/>
    <s v="MYS"/>
    <x v="3"/>
    <x v="0"/>
    <x v="4"/>
    <x v="3"/>
    <x v="0"/>
    <n v="4172.71"/>
  </r>
  <r>
    <x v="21"/>
    <s v="MYS"/>
    <x v="3"/>
    <x v="0"/>
    <x v="4"/>
    <x v="3"/>
    <x v="2"/>
    <n v="236.66"/>
  </r>
  <r>
    <x v="21"/>
    <s v="MYS"/>
    <x v="3"/>
    <x v="0"/>
    <x v="5"/>
    <x v="6"/>
    <x v="2"/>
    <n v="6443.51"/>
  </r>
  <r>
    <x v="21"/>
    <s v="MYS"/>
    <x v="3"/>
    <x v="0"/>
    <x v="5"/>
    <x v="3"/>
    <x v="2"/>
    <n v="263.73"/>
  </r>
  <r>
    <x v="21"/>
    <s v="MYS"/>
    <x v="3"/>
    <x v="0"/>
    <x v="5"/>
    <x v="1"/>
    <x v="3"/>
    <n v="0"/>
  </r>
  <r>
    <x v="21"/>
    <s v="MYS"/>
    <x v="3"/>
    <x v="0"/>
    <x v="5"/>
    <x v="5"/>
    <x v="2"/>
    <n v="78.930000000000007"/>
  </r>
  <r>
    <x v="21"/>
    <s v="MYS"/>
    <x v="3"/>
    <x v="0"/>
    <x v="6"/>
    <x v="0"/>
    <x v="0"/>
    <n v="8580.98"/>
  </r>
  <r>
    <x v="21"/>
    <s v="MYS"/>
    <x v="3"/>
    <x v="0"/>
    <x v="6"/>
    <x v="0"/>
    <x v="3"/>
    <n v="0"/>
  </r>
  <r>
    <x v="21"/>
    <s v="MYS"/>
    <x v="3"/>
    <x v="0"/>
    <x v="6"/>
    <x v="1"/>
    <x v="2"/>
    <n v="298.74"/>
  </r>
  <r>
    <x v="21"/>
    <s v="MYS"/>
    <x v="3"/>
    <x v="0"/>
    <x v="7"/>
    <x v="4"/>
    <x v="2"/>
    <n v="80.180000000000007"/>
  </r>
  <r>
    <x v="21"/>
    <s v="MYS"/>
    <x v="3"/>
    <x v="0"/>
    <x v="8"/>
    <x v="6"/>
    <x v="3"/>
    <n v="0"/>
  </r>
  <r>
    <x v="21"/>
    <s v="MYS"/>
    <x v="3"/>
    <x v="0"/>
    <x v="9"/>
    <x v="6"/>
    <x v="1"/>
    <n v="26796.23"/>
  </r>
  <r>
    <x v="21"/>
    <s v="MYS"/>
    <x v="3"/>
    <x v="0"/>
    <x v="9"/>
    <x v="0"/>
    <x v="0"/>
    <n v="10422.469999999999"/>
  </r>
  <r>
    <x v="21"/>
    <s v="MYS"/>
    <x v="3"/>
    <x v="0"/>
    <x v="9"/>
    <x v="3"/>
    <x v="3"/>
    <n v="284.85000000000002"/>
  </r>
  <r>
    <x v="21"/>
    <s v="MYS"/>
    <x v="3"/>
    <x v="0"/>
    <x v="9"/>
    <x v="1"/>
    <x v="2"/>
    <n v="269.23"/>
  </r>
  <r>
    <x v="21"/>
    <s v="MYS"/>
    <x v="3"/>
    <x v="0"/>
    <x v="10"/>
    <x v="0"/>
    <x v="0"/>
    <n v="8080.4"/>
  </r>
  <r>
    <x v="21"/>
    <s v="MYS"/>
    <x v="3"/>
    <x v="0"/>
    <x v="10"/>
    <x v="1"/>
    <x v="1"/>
    <n v="389.74"/>
  </r>
  <r>
    <x v="21"/>
    <s v="MYS"/>
    <x v="3"/>
    <x v="0"/>
    <x v="11"/>
    <x v="0"/>
    <x v="2"/>
    <n v="305.38"/>
  </r>
  <r>
    <x v="21"/>
    <s v="MYS"/>
    <x v="3"/>
    <x v="0"/>
    <x v="11"/>
    <x v="5"/>
    <x v="1"/>
    <n v="206.54"/>
  </r>
  <r>
    <x v="21"/>
    <s v="MYS"/>
    <x v="3"/>
    <x v="0"/>
    <x v="12"/>
    <x v="4"/>
    <x v="1"/>
    <n v="76.83"/>
  </r>
  <r>
    <x v="21"/>
    <s v="MYS"/>
    <x v="3"/>
    <x v="0"/>
    <x v="12"/>
    <x v="5"/>
    <x v="0"/>
    <n v="8961.52"/>
  </r>
  <r>
    <x v="21"/>
    <s v="MYS"/>
    <x v="3"/>
    <x v="0"/>
    <x v="14"/>
    <x v="0"/>
    <x v="1"/>
    <n v="785.62"/>
  </r>
  <r>
    <x v="21"/>
    <s v="MYS"/>
    <x v="3"/>
    <x v="0"/>
    <x v="14"/>
    <x v="2"/>
    <x v="1"/>
    <n v="13612.14"/>
  </r>
  <r>
    <x v="21"/>
    <s v="MYS"/>
    <x v="3"/>
    <x v="0"/>
    <x v="14"/>
    <x v="2"/>
    <x v="2"/>
    <n v="883.82"/>
  </r>
  <r>
    <x v="21"/>
    <s v="MYS"/>
    <x v="3"/>
    <x v="0"/>
    <x v="15"/>
    <x v="6"/>
    <x v="1"/>
    <n v="26112.3"/>
  </r>
  <r>
    <x v="21"/>
    <s v="MYS"/>
    <x v="3"/>
    <x v="0"/>
    <x v="15"/>
    <x v="3"/>
    <x v="3"/>
    <n v="316.52999999999997"/>
  </r>
  <r>
    <x v="21"/>
    <s v="MYS"/>
    <x v="3"/>
    <x v="0"/>
    <x v="15"/>
    <x v="5"/>
    <x v="1"/>
    <n v="198.46"/>
  </r>
  <r>
    <x v="21"/>
    <s v="MYS"/>
    <x v="3"/>
    <x v="0"/>
    <x v="15"/>
    <x v="2"/>
    <x v="2"/>
    <n v="846.74"/>
  </r>
  <r>
    <x v="21"/>
    <s v="MYS"/>
    <x v="3"/>
    <x v="0"/>
    <x v="16"/>
    <x v="6"/>
    <x v="3"/>
    <n v="0"/>
  </r>
  <r>
    <x v="21"/>
    <s v="MYS"/>
    <x v="3"/>
    <x v="0"/>
    <x v="16"/>
    <x v="3"/>
    <x v="1"/>
    <n v="294.18"/>
  </r>
  <r>
    <x v="21"/>
    <s v="MYS"/>
    <x v="3"/>
    <x v="0"/>
    <x v="16"/>
    <x v="3"/>
    <x v="2"/>
    <n v="302.10000000000002"/>
  </r>
  <r>
    <x v="21"/>
    <s v="MYS"/>
    <x v="3"/>
    <x v="0"/>
    <x v="16"/>
    <x v="4"/>
    <x v="2"/>
    <n v="95.08"/>
  </r>
  <r>
    <x v="21"/>
    <s v="MYS"/>
    <x v="3"/>
    <x v="0"/>
    <x v="16"/>
    <x v="1"/>
    <x v="1"/>
    <n v="474.02"/>
  </r>
  <r>
    <x v="21"/>
    <s v="MYS"/>
    <x v="3"/>
    <x v="0"/>
    <x v="16"/>
    <x v="5"/>
    <x v="2"/>
    <n v="95.88"/>
  </r>
  <r>
    <x v="21"/>
    <s v="MYS"/>
    <x v="3"/>
    <x v="0"/>
    <x v="17"/>
    <x v="5"/>
    <x v="1"/>
    <n v="190.84"/>
  </r>
  <r>
    <x v="21"/>
    <s v="MYS"/>
    <x v="3"/>
    <x v="0"/>
    <x v="17"/>
    <x v="2"/>
    <x v="1"/>
    <n v="13827.66"/>
  </r>
  <r>
    <x v="21"/>
    <s v="MYS"/>
    <x v="3"/>
    <x v="0"/>
    <x v="33"/>
    <x v="0"/>
    <x v="3"/>
    <n v="0"/>
  </r>
  <r>
    <x v="21"/>
    <s v="MYS"/>
    <x v="3"/>
    <x v="0"/>
    <x v="18"/>
    <x v="0"/>
    <x v="1"/>
    <n v="841.36"/>
  </r>
  <r>
    <x v="21"/>
    <s v="MYS"/>
    <x v="3"/>
    <x v="0"/>
    <x v="18"/>
    <x v="0"/>
    <x v="2"/>
    <n v="349.41"/>
  </r>
  <r>
    <x v="21"/>
    <s v="MYS"/>
    <x v="3"/>
    <x v="0"/>
    <x v="18"/>
    <x v="5"/>
    <x v="3"/>
    <n v="0"/>
  </r>
  <r>
    <x v="21"/>
    <s v="MYS"/>
    <x v="3"/>
    <x v="0"/>
    <x v="19"/>
    <x v="6"/>
    <x v="0"/>
    <n v="3897.64"/>
  </r>
  <r>
    <x v="21"/>
    <s v="MYS"/>
    <x v="3"/>
    <x v="0"/>
    <x v="19"/>
    <x v="4"/>
    <x v="3"/>
    <n v="0"/>
  </r>
  <r>
    <x v="21"/>
    <s v="MYS"/>
    <x v="3"/>
    <x v="0"/>
    <x v="20"/>
    <x v="3"/>
    <x v="1"/>
    <n v="304.01"/>
  </r>
  <r>
    <x v="21"/>
    <s v="MYS"/>
    <x v="3"/>
    <x v="0"/>
    <x v="20"/>
    <x v="1"/>
    <x v="3"/>
    <n v="0"/>
  </r>
  <r>
    <x v="21"/>
    <s v="MYS"/>
    <x v="3"/>
    <x v="0"/>
    <x v="20"/>
    <x v="1"/>
    <x v="2"/>
    <n v="317.05"/>
  </r>
  <r>
    <x v="21"/>
    <s v="MYS"/>
    <x v="3"/>
    <x v="0"/>
    <x v="20"/>
    <x v="2"/>
    <x v="0"/>
    <n v="3047.07"/>
  </r>
  <r>
    <x v="21"/>
    <s v="MYS"/>
    <x v="3"/>
    <x v="0"/>
    <x v="21"/>
    <x v="6"/>
    <x v="0"/>
    <n v="3652.48"/>
  </r>
  <r>
    <x v="21"/>
    <s v="MYS"/>
    <x v="3"/>
    <x v="0"/>
    <x v="21"/>
    <x v="0"/>
    <x v="3"/>
    <n v="0"/>
  </r>
  <r>
    <x v="21"/>
    <s v="MYS"/>
    <x v="3"/>
    <x v="0"/>
    <x v="21"/>
    <x v="2"/>
    <x v="2"/>
    <n v="912.69"/>
  </r>
  <r>
    <x v="21"/>
    <s v="MYS"/>
    <x v="3"/>
    <x v="0"/>
    <x v="22"/>
    <x v="6"/>
    <x v="2"/>
    <n v="7985.56"/>
  </r>
  <r>
    <x v="21"/>
    <s v="MYS"/>
    <x v="3"/>
    <x v="0"/>
    <x v="22"/>
    <x v="0"/>
    <x v="0"/>
    <n v="10465.879999999999"/>
  </r>
  <r>
    <x v="21"/>
    <s v="MYS"/>
    <x v="3"/>
    <x v="0"/>
    <x v="23"/>
    <x v="0"/>
    <x v="1"/>
    <n v="742.44"/>
  </r>
  <r>
    <x v="21"/>
    <s v="MYS"/>
    <x v="3"/>
    <x v="0"/>
    <x v="23"/>
    <x v="3"/>
    <x v="2"/>
    <n v="293.52999999999997"/>
  </r>
  <r>
    <x v="21"/>
    <s v="MYS"/>
    <x v="3"/>
    <x v="0"/>
    <x v="23"/>
    <x v="4"/>
    <x v="1"/>
    <n v="84.93"/>
  </r>
  <r>
    <x v="21"/>
    <s v="MYS"/>
    <x v="3"/>
    <x v="0"/>
    <x v="23"/>
    <x v="1"/>
    <x v="1"/>
    <n v="419.32"/>
  </r>
  <r>
    <x v="21"/>
    <s v="MYS"/>
    <x v="3"/>
    <x v="0"/>
    <x v="23"/>
    <x v="5"/>
    <x v="2"/>
    <n v="91.76"/>
  </r>
  <r>
    <x v="21"/>
    <s v="MYS"/>
    <x v="3"/>
    <x v="0"/>
    <x v="23"/>
    <x v="2"/>
    <x v="1"/>
    <n v="13732.2"/>
  </r>
  <r>
    <x v="21"/>
    <s v="MYS"/>
    <x v="3"/>
    <x v="0"/>
    <x v="24"/>
    <x v="3"/>
    <x v="1"/>
    <n v="346.45"/>
  </r>
  <r>
    <x v="21"/>
    <s v="MYS"/>
    <x v="3"/>
    <x v="0"/>
    <x v="24"/>
    <x v="1"/>
    <x v="1"/>
    <n v="545.97"/>
  </r>
  <r>
    <x v="21"/>
    <s v="MYS"/>
    <x v="3"/>
    <x v="0"/>
    <x v="24"/>
    <x v="2"/>
    <x v="0"/>
    <n v="2834.44"/>
  </r>
  <r>
    <x v="21"/>
    <s v="MYS"/>
    <x v="3"/>
    <x v="0"/>
    <x v="25"/>
    <x v="0"/>
    <x v="1"/>
    <n v="808.73"/>
  </r>
  <r>
    <x v="21"/>
    <s v="MYS"/>
    <x v="3"/>
    <x v="0"/>
    <x v="25"/>
    <x v="3"/>
    <x v="1"/>
    <n v="303.52"/>
  </r>
  <r>
    <x v="21"/>
    <s v="MYS"/>
    <x v="3"/>
    <x v="0"/>
    <x v="25"/>
    <x v="4"/>
    <x v="3"/>
    <n v="0"/>
  </r>
  <r>
    <x v="21"/>
    <s v="MYS"/>
    <x v="3"/>
    <x v="0"/>
    <x v="25"/>
    <x v="2"/>
    <x v="2"/>
    <n v="908.56"/>
  </r>
  <r>
    <x v="21"/>
    <s v="MYS"/>
    <x v="3"/>
    <x v="0"/>
    <x v="26"/>
    <x v="3"/>
    <x v="3"/>
    <n v="332.15"/>
  </r>
  <r>
    <x v="21"/>
    <s v="MYS"/>
    <x v="3"/>
    <x v="0"/>
    <x v="26"/>
    <x v="4"/>
    <x v="2"/>
    <n v="101.21"/>
  </r>
  <r>
    <x v="21"/>
    <s v="MYS"/>
    <x v="3"/>
    <x v="0"/>
    <x v="34"/>
    <x v="6"/>
    <x v="1"/>
    <n v="28867.88"/>
  </r>
  <r>
    <x v="21"/>
    <s v="MYS"/>
    <x v="3"/>
    <x v="0"/>
    <x v="34"/>
    <x v="6"/>
    <x v="2"/>
    <n v="8768.56"/>
  </r>
  <r>
    <x v="21"/>
    <s v="MYS"/>
    <x v="3"/>
    <x v="0"/>
    <x v="34"/>
    <x v="4"/>
    <x v="1"/>
    <n v="100.63"/>
  </r>
  <r>
    <x v="21"/>
    <s v="MYS"/>
    <x v="3"/>
    <x v="0"/>
    <x v="34"/>
    <x v="1"/>
    <x v="0"/>
    <n v="15996.12"/>
  </r>
  <r>
    <x v="21"/>
    <s v="MYS"/>
    <x v="3"/>
    <x v="0"/>
    <x v="34"/>
    <x v="1"/>
    <x v="3"/>
    <n v="0"/>
  </r>
  <r>
    <x v="21"/>
    <s v="MYS"/>
    <x v="3"/>
    <x v="0"/>
    <x v="27"/>
    <x v="6"/>
    <x v="1"/>
    <n v="24976.27"/>
  </r>
  <r>
    <x v="21"/>
    <s v="MYS"/>
    <x v="3"/>
    <x v="0"/>
    <x v="27"/>
    <x v="3"/>
    <x v="3"/>
    <n v="294.42"/>
  </r>
  <r>
    <x v="21"/>
    <s v="MYS"/>
    <x v="3"/>
    <x v="0"/>
    <x v="27"/>
    <x v="5"/>
    <x v="3"/>
    <n v="0"/>
  </r>
  <r>
    <x v="21"/>
    <s v="MYS"/>
    <x v="3"/>
    <x v="0"/>
    <x v="28"/>
    <x v="0"/>
    <x v="1"/>
    <n v="848.93"/>
  </r>
  <r>
    <x v="21"/>
    <s v="MYS"/>
    <x v="3"/>
    <x v="0"/>
    <x v="28"/>
    <x v="5"/>
    <x v="0"/>
    <n v="10820.27"/>
  </r>
  <r>
    <x v="21"/>
    <s v="MYS"/>
    <x v="3"/>
    <x v="0"/>
    <x v="28"/>
    <x v="5"/>
    <x v="3"/>
    <n v="0"/>
  </r>
  <r>
    <x v="21"/>
    <s v="MYS"/>
    <x v="3"/>
    <x v="0"/>
    <x v="28"/>
    <x v="2"/>
    <x v="1"/>
    <n v="15925.13"/>
  </r>
  <r>
    <x v="21"/>
    <s v="MYS"/>
    <x v="3"/>
    <x v="0"/>
    <x v="29"/>
    <x v="1"/>
    <x v="2"/>
    <n v="334.95"/>
  </r>
  <r>
    <x v="21"/>
    <s v="MYS"/>
    <x v="3"/>
    <x v="0"/>
    <x v="29"/>
    <x v="2"/>
    <x v="0"/>
    <n v="2604.92"/>
  </r>
  <r>
    <x v="21"/>
    <s v="MYS"/>
    <x v="3"/>
    <x v="0"/>
    <x v="30"/>
    <x v="6"/>
    <x v="2"/>
    <n v="7801.79"/>
  </r>
  <r>
    <x v="21"/>
    <s v="MYS"/>
    <x v="3"/>
    <x v="0"/>
    <x v="30"/>
    <x v="3"/>
    <x v="3"/>
    <n v="291.27"/>
  </r>
  <r>
    <x v="21"/>
    <s v="MYS"/>
    <x v="3"/>
    <x v="0"/>
    <x v="30"/>
    <x v="4"/>
    <x v="3"/>
    <n v="0"/>
  </r>
  <r>
    <x v="21"/>
    <s v="MYS"/>
    <x v="3"/>
    <x v="0"/>
    <x v="31"/>
    <x v="2"/>
    <x v="1"/>
    <n v="17004.55"/>
  </r>
  <r>
    <x v="21"/>
    <s v="MYS"/>
    <x v="3"/>
    <x v="0"/>
    <x v="32"/>
    <x v="0"/>
    <x v="0"/>
    <n v="9223.15"/>
  </r>
  <r>
    <x v="21"/>
    <s v="MYS"/>
    <x v="3"/>
    <x v="0"/>
    <x v="32"/>
    <x v="3"/>
    <x v="0"/>
    <n v="4683.82"/>
  </r>
  <r>
    <x v="21"/>
    <s v="MYS"/>
    <x v="3"/>
    <x v="0"/>
    <x v="32"/>
    <x v="1"/>
    <x v="3"/>
    <n v="0"/>
  </r>
  <r>
    <x v="21"/>
    <s v="MYS"/>
    <x v="3"/>
    <x v="0"/>
    <x v="32"/>
    <x v="5"/>
    <x v="3"/>
    <n v="0"/>
  </r>
  <r>
    <x v="22"/>
    <s v="MEX"/>
    <x v="1"/>
    <x v="0"/>
    <x v="0"/>
    <x v="4"/>
    <x v="2"/>
    <n v="-61.06"/>
  </r>
  <r>
    <x v="22"/>
    <s v="MEX"/>
    <x v="1"/>
    <x v="0"/>
    <x v="0"/>
    <x v="1"/>
    <x v="2"/>
    <n v="2884.64"/>
  </r>
  <r>
    <x v="22"/>
    <s v="MEX"/>
    <x v="1"/>
    <x v="0"/>
    <x v="1"/>
    <x v="6"/>
    <x v="3"/>
    <n v="0"/>
  </r>
  <r>
    <x v="22"/>
    <s v="MEX"/>
    <x v="1"/>
    <x v="0"/>
    <x v="1"/>
    <x v="3"/>
    <x v="1"/>
    <n v="9588.0499999999993"/>
  </r>
  <r>
    <x v="22"/>
    <s v="MEX"/>
    <x v="1"/>
    <x v="0"/>
    <x v="1"/>
    <x v="4"/>
    <x v="2"/>
    <n v="-58.09"/>
  </r>
  <r>
    <x v="22"/>
    <s v="MEX"/>
    <x v="1"/>
    <x v="0"/>
    <x v="2"/>
    <x v="3"/>
    <x v="0"/>
    <n v="178642.02"/>
  </r>
  <r>
    <x v="22"/>
    <s v="MEX"/>
    <x v="1"/>
    <x v="0"/>
    <x v="2"/>
    <x v="4"/>
    <x v="0"/>
    <n v="-6723.21"/>
  </r>
  <r>
    <x v="22"/>
    <s v="MEX"/>
    <x v="1"/>
    <x v="0"/>
    <x v="4"/>
    <x v="6"/>
    <x v="2"/>
    <n v="17063.830000000002"/>
  </r>
  <r>
    <x v="22"/>
    <s v="MEX"/>
    <x v="1"/>
    <x v="0"/>
    <x v="5"/>
    <x v="3"/>
    <x v="2"/>
    <n v="10715.34"/>
  </r>
  <r>
    <x v="22"/>
    <s v="MEX"/>
    <x v="1"/>
    <x v="0"/>
    <x v="6"/>
    <x v="1"/>
    <x v="1"/>
    <n v="4977.3"/>
  </r>
  <r>
    <x v="22"/>
    <s v="MEX"/>
    <x v="1"/>
    <x v="0"/>
    <x v="6"/>
    <x v="1"/>
    <x v="0"/>
    <n v="153843.76999999999"/>
  </r>
  <r>
    <x v="22"/>
    <s v="MEX"/>
    <x v="1"/>
    <x v="0"/>
    <x v="7"/>
    <x v="2"/>
    <x v="1"/>
    <n v="66080"/>
  </r>
  <r>
    <x v="22"/>
    <s v="MEX"/>
    <x v="1"/>
    <x v="0"/>
    <x v="8"/>
    <x v="1"/>
    <x v="3"/>
    <n v="0"/>
  </r>
  <r>
    <x v="22"/>
    <s v="MEX"/>
    <x v="1"/>
    <x v="0"/>
    <x v="8"/>
    <x v="1"/>
    <x v="2"/>
    <n v="2966.93"/>
  </r>
  <r>
    <x v="22"/>
    <s v="MEX"/>
    <x v="1"/>
    <x v="0"/>
    <x v="8"/>
    <x v="2"/>
    <x v="1"/>
    <n v="63567.69"/>
  </r>
  <r>
    <x v="22"/>
    <s v="MEX"/>
    <x v="1"/>
    <x v="0"/>
    <x v="9"/>
    <x v="3"/>
    <x v="1"/>
    <n v="11846.82"/>
  </r>
  <r>
    <x v="22"/>
    <s v="MEX"/>
    <x v="1"/>
    <x v="0"/>
    <x v="9"/>
    <x v="2"/>
    <x v="2"/>
    <n v="4580.0600000000004"/>
  </r>
  <r>
    <x v="22"/>
    <s v="MEX"/>
    <x v="1"/>
    <x v="0"/>
    <x v="10"/>
    <x v="6"/>
    <x v="0"/>
    <n v="11845.05"/>
  </r>
  <r>
    <x v="22"/>
    <s v="MEX"/>
    <x v="1"/>
    <x v="0"/>
    <x v="10"/>
    <x v="6"/>
    <x v="3"/>
    <n v="0"/>
  </r>
  <r>
    <x v="22"/>
    <s v="MEX"/>
    <x v="1"/>
    <x v="0"/>
    <x v="10"/>
    <x v="3"/>
    <x v="2"/>
    <n v="12036.04"/>
  </r>
  <r>
    <x v="22"/>
    <s v="MEX"/>
    <x v="1"/>
    <x v="0"/>
    <x v="10"/>
    <x v="4"/>
    <x v="0"/>
    <n v="-7846.14"/>
  </r>
  <r>
    <x v="22"/>
    <s v="MEX"/>
    <x v="1"/>
    <x v="0"/>
    <x v="10"/>
    <x v="1"/>
    <x v="0"/>
    <n v="185044.02"/>
  </r>
  <r>
    <x v="22"/>
    <s v="MEX"/>
    <x v="1"/>
    <x v="0"/>
    <x v="10"/>
    <x v="5"/>
    <x v="1"/>
    <n v="3226.34"/>
  </r>
  <r>
    <x v="22"/>
    <s v="MEX"/>
    <x v="1"/>
    <x v="0"/>
    <x v="10"/>
    <x v="2"/>
    <x v="2"/>
    <n v="4829.8599999999997"/>
  </r>
  <r>
    <x v="22"/>
    <s v="MEX"/>
    <x v="1"/>
    <x v="0"/>
    <x v="11"/>
    <x v="6"/>
    <x v="1"/>
    <n v="83224.320000000007"/>
  </r>
  <r>
    <x v="22"/>
    <s v="MEX"/>
    <x v="1"/>
    <x v="0"/>
    <x v="11"/>
    <x v="3"/>
    <x v="1"/>
    <n v="11738.8"/>
  </r>
  <r>
    <x v="22"/>
    <s v="MEX"/>
    <x v="1"/>
    <x v="0"/>
    <x v="11"/>
    <x v="4"/>
    <x v="1"/>
    <n v="-78.209999999999994"/>
  </r>
  <r>
    <x v="22"/>
    <s v="MEX"/>
    <x v="1"/>
    <x v="0"/>
    <x v="11"/>
    <x v="1"/>
    <x v="3"/>
    <n v="0"/>
  </r>
  <r>
    <x v="22"/>
    <s v="MEX"/>
    <x v="1"/>
    <x v="0"/>
    <x v="11"/>
    <x v="5"/>
    <x v="2"/>
    <n v="1682.22"/>
  </r>
  <r>
    <x v="22"/>
    <s v="MEX"/>
    <x v="1"/>
    <x v="0"/>
    <x v="11"/>
    <x v="2"/>
    <x v="2"/>
    <n v="4867.9399999999996"/>
  </r>
  <r>
    <x v="22"/>
    <s v="MEX"/>
    <x v="1"/>
    <x v="0"/>
    <x v="12"/>
    <x v="3"/>
    <x v="2"/>
    <n v="11382.5"/>
  </r>
  <r>
    <x v="22"/>
    <s v="MEX"/>
    <x v="1"/>
    <x v="0"/>
    <x v="12"/>
    <x v="1"/>
    <x v="2"/>
    <n v="3583.81"/>
  </r>
  <r>
    <x v="22"/>
    <s v="MEX"/>
    <x v="1"/>
    <x v="0"/>
    <x v="12"/>
    <x v="5"/>
    <x v="2"/>
    <n v="1644.26"/>
  </r>
  <r>
    <x v="22"/>
    <s v="MEX"/>
    <x v="1"/>
    <x v="0"/>
    <x v="12"/>
    <x v="2"/>
    <x v="0"/>
    <n v="15567.59"/>
  </r>
  <r>
    <x v="22"/>
    <s v="MEX"/>
    <x v="1"/>
    <x v="0"/>
    <x v="13"/>
    <x v="0"/>
    <x v="0"/>
    <n v="154733.39000000001"/>
  </r>
  <r>
    <x v="22"/>
    <s v="MEX"/>
    <x v="1"/>
    <x v="0"/>
    <x v="13"/>
    <x v="4"/>
    <x v="2"/>
    <n v="-65.58"/>
  </r>
  <r>
    <x v="22"/>
    <s v="MEX"/>
    <x v="1"/>
    <x v="0"/>
    <x v="14"/>
    <x v="6"/>
    <x v="3"/>
    <n v="0"/>
  </r>
  <r>
    <x v="22"/>
    <s v="MEX"/>
    <x v="1"/>
    <x v="0"/>
    <x v="14"/>
    <x v="6"/>
    <x v="2"/>
    <n v="24690.15"/>
  </r>
  <r>
    <x v="22"/>
    <s v="MEX"/>
    <x v="1"/>
    <x v="0"/>
    <x v="14"/>
    <x v="0"/>
    <x v="0"/>
    <n v="175603.65"/>
  </r>
  <r>
    <x v="22"/>
    <s v="MEX"/>
    <x v="1"/>
    <x v="0"/>
    <x v="14"/>
    <x v="5"/>
    <x v="2"/>
    <n v="1701.35"/>
  </r>
  <r>
    <x v="22"/>
    <s v="MEX"/>
    <x v="1"/>
    <x v="0"/>
    <x v="14"/>
    <x v="2"/>
    <x v="1"/>
    <n v="82898.880000000005"/>
  </r>
  <r>
    <x v="22"/>
    <s v="MEX"/>
    <x v="1"/>
    <x v="0"/>
    <x v="15"/>
    <x v="5"/>
    <x v="1"/>
    <n v="3611.94"/>
  </r>
  <r>
    <x v="22"/>
    <s v="MEX"/>
    <x v="1"/>
    <x v="0"/>
    <x v="16"/>
    <x v="0"/>
    <x v="2"/>
    <n v="6300.99"/>
  </r>
  <r>
    <x v="22"/>
    <s v="MEX"/>
    <x v="1"/>
    <x v="0"/>
    <x v="16"/>
    <x v="2"/>
    <x v="1"/>
    <n v="82035.259999999995"/>
  </r>
  <r>
    <x v="22"/>
    <s v="MEX"/>
    <x v="1"/>
    <x v="0"/>
    <x v="17"/>
    <x v="3"/>
    <x v="0"/>
    <n v="208107.77"/>
  </r>
  <r>
    <x v="22"/>
    <s v="MEX"/>
    <x v="1"/>
    <x v="0"/>
    <x v="17"/>
    <x v="4"/>
    <x v="0"/>
    <n v="-8191.74"/>
  </r>
  <r>
    <x v="22"/>
    <s v="MEX"/>
    <x v="1"/>
    <x v="0"/>
    <x v="17"/>
    <x v="2"/>
    <x v="3"/>
    <n v="0"/>
  </r>
  <r>
    <x v="22"/>
    <s v="MEX"/>
    <x v="1"/>
    <x v="0"/>
    <x v="33"/>
    <x v="6"/>
    <x v="2"/>
    <n v="25436.78"/>
  </r>
  <r>
    <x v="22"/>
    <s v="MEX"/>
    <x v="1"/>
    <x v="0"/>
    <x v="33"/>
    <x v="3"/>
    <x v="1"/>
    <n v="12815.68"/>
  </r>
  <r>
    <x v="22"/>
    <s v="MEX"/>
    <x v="1"/>
    <x v="0"/>
    <x v="18"/>
    <x v="0"/>
    <x v="2"/>
    <n v="6103.25"/>
  </r>
  <r>
    <x v="22"/>
    <s v="MEX"/>
    <x v="1"/>
    <x v="0"/>
    <x v="18"/>
    <x v="5"/>
    <x v="0"/>
    <n v="155199.59"/>
  </r>
  <r>
    <x v="22"/>
    <s v="MEX"/>
    <x v="1"/>
    <x v="0"/>
    <x v="19"/>
    <x v="6"/>
    <x v="2"/>
    <n v="23293.4"/>
  </r>
  <r>
    <x v="22"/>
    <s v="MEX"/>
    <x v="1"/>
    <x v="0"/>
    <x v="19"/>
    <x v="4"/>
    <x v="0"/>
    <n v="-8403.8799999999992"/>
  </r>
  <r>
    <x v="22"/>
    <s v="MEX"/>
    <x v="1"/>
    <x v="0"/>
    <x v="19"/>
    <x v="1"/>
    <x v="1"/>
    <n v="6481.44"/>
  </r>
  <r>
    <x v="22"/>
    <s v="MEX"/>
    <x v="1"/>
    <x v="0"/>
    <x v="20"/>
    <x v="3"/>
    <x v="2"/>
    <n v="12274.35"/>
  </r>
  <r>
    <x v="22"/>
    <s v="MEX"/>
    <x v="1"/>
    <x v="0"/>
    <x v="20"/>
    <x v="5"/>
    <x v="1"/>
    <n v="3697.7"/>
  </r>
  <r>
    <x v="22"/>
    <s v="MEX"/>
    <x v="1"/>
    <x v="0"/>
    <x v="21"/>
    <x v="3"/>
    <x v="0"/>
    <n v="210276.81"/>
  </r>
  <r>
    <x v="22"/>
    <s v="MEX"/>
    <x v="1"/>
    <x v="0"/>
    <x v="22"/>
    <x v="6"/>
    <x v="1"/>
    <n v="84787.34"/>
  </r>
  <r>
    <x v="22"/>
    <s v="MEX"/>
    <x v="1"/>
    <x v="0"/>
    <x v="22"/>
    <x v="6"/>
    <x v="0"/>
    <n v="12082.96"/>
  </r>
  <r>
    <x v="22"/>
    <s v="MEX"/>
    <x v="1"/>
    <x v="0"/>
    <x v="22"/>
    <x v="1"/>
    <x v="1"/>
    <n v="6349"/>
  </r>
  <r>
    <x v="22"/>
    <s v="MEX"/>
    <x v="1"/>
    <x v="0"/>
    <x v="22"/>
    <x v="5"/>
    <x v="3"/>
    <n v="0"/>
  </r>
  <r>
    <x v="22"/>
    <s v="MEX"/>
    <x v="1"/>
    <x v="0"/>
    <x v="23"/>
    <x v="6"/>
    <x v="2"/>
    <n v="24040.22"/>
  </r>
  <r>
    <x v="22"/>
    <s v="MEX"/>
    <x v="1"/>
    <x v="0"/>
    <x v="23"/>
    <x v="4"/>
    <x v="0"/>
    <n v="-7896.21"/>
  </r>
  <r>
    <x v="22"/>
    <s v="MEX"/>
    <x v="1"/>
    <x v="0"/>
    <x v="24"/>
    <x v="0"/>
    <x v="1"/>
    <n v="13265.23"/>
  </r>
  <r>
    <x v="22"/>
    <s v="MEX"/>
    <x v="1"/>
    <x v="0"/>
    <x v="24"/>
    <x v="0"/>
    <x v="3"/>
    <n v="0"/>
  </r>
  <r>
    <x v="22"/>
    <s v="MEX"/>
    <x v="1"/>
    <x v="0"/>
    <x v="24"/>
    <x v="2"/>
    <x v="2"/>
    <n v="4765.49"/>
  </r>
  <r>
    <x v="22"/>
    <s v="MEX"/>
    <x v="1"/>
    <x v="0"/>
    <x v="25"/>
    <x v="3"/>
    <x v="1"/>
    <n v="12285.44"/>
  </r>
  <r>
    <x v="22"/>
    <s v="MEX"/>
    <x v="1"/>
    <x v="0"/>
    <x v="25"/>
    <x v="4"/>
    <x v="1"/>
    <n v="-81.83"/>
  </r>
  <r>
    <x v="22"/>
    <s v="MEX"/>
    <x v="1"/>
    <x v="0"/>
    <x v="25"/>
    <x v="1"/>
    <x v="1"/>
    <n v="5920.59"/>
  </r>
  <r>
    <x v="22"/>
    <s v="MEX"/>
    <x v="1"/>
    <x v="0"/>
    <x v="25"/>
    <x v="2"/>
    <x v="1"/>
    <n v="86441.16"/>
  </r>
  <r>
    <x v="22"/>
    <s v="MEX"/>
    <x v="1"/>
    <x v="0"/>
    <x v="26"/>
    <x v="0"/>
    <x v="2"/>
    <n v="6099.89"/>
  </r>
  <r>
    <x v="22"/>
    <s v="MEX"/>
    <x v="1"/>
    <x v="0"/>
    <x v="26"/>
    <x v="3"/>
    <x v="0"/>
    <n v="215256.98"/>
  </r>
  <r>
    <x v="22"/>
    <s v="MEX"/>
    <x v="1"/>
    <x v="0"/>
    <x v="26"/>
    <x v="5"/>
    <x v="1"/>
    <n v="3123.25"/>
  </r>
  <r>
    <x v="22"/>
    <s v="MEX"/>
    <x v="1"/>
    <x v="0"/>
    <x v="34"/>
    <x v="0"/>
    <x v="1"/>
    <n v="13653.97"/>
  </r>
  <r>
    <x v="22"/>
    <s v="MEX"/>
    <x v="1"/>
    <x v="0"/>
    <x v="34"/>
    <x v="0"/>
    <x v="0"/>
    <n v="166656.20000000001"/>
  </r>
  <r>
    <x v="22"/>
    <s v="MEX"/>
    <x v="1"/>
    <x v="0"/>
    <x v="27"/>
    <x v="0"/>
    <x v="0"/>
    <n v="178273.86"/>
  </r>
  <r>
    <x v="22"/>
    <s v="MEX"/>
    <x v="1"/>
    <x v="0"/>
    <x v="27"/>
    <x v="4"/>
    <x v="2"/>
    <n v="-82.28"/>
  </r>
  <r>
    <x v="22"/>
    <s v="MEX"/>
    <x v="1"/>
    <x v="0"/>
    <x v="27"/>
    <x v="1"/>
    <x v="2"/>
    <n v="3577.55"/>
  </r>
  <r>
    <x v="22"/>
    <s v="MEX"/>
    <x v="1"/>
    <x v="0"/>
    <x v="28"/>
    <x v="4"/>
    <x v="3"/>
    <n v="0"/>
  </r>
  <r>
    <x v="22"/>
    <s v="MEX"/>
    <x v="1"/>
    <x v="0"/>
    <x v="28"/>
    <x v="1"/>
    <x v="1"/>
    <n v="5518.8"/>
  </r>
  <r>
    <x v="22"/>
    <s v="MEX"/>
    <x v="1"/>
    <x v="0"/>
    <x v="29"/>
    <x v="0"/>
    <x v="0"/>
    <n v="200227.7"/>
  </r>
  <r>
    <x v="22"/>
    <s v="MEX"/>
    <x v="1"/>
    <x v="0"/>
    <x v="29"/>
    <x v="3"/>
    <x v="0"/>
    <n v="220483.49"/>
  </r>
  <r>
    <x v="22"/>
    <s v="MEX"/>
    <x v="1"/>
    <x v="0"/>
    <x v="29"/>
    <x v="3"/>
    <x v="3"/>
    <n v="12785.95"/>
  </r>
  <r>
    <x v="22"/>
    <s v="MEX"/>
    <x v="1"/>
    <x v="0"/>
    <x v="29"/>
    <x v="2"/>
    <x v="2"/>
    <n v="5702.02"/>
  </r>
  <r>
    <x v="22"/>
    <s v="MEX"/>
    <x v="1"/>
    <x v="0"/>
    <x v="30"/>
    <x v="6"/>
    <x v="0"/>
    <n v="12453.97"/>
  </r>
  <r>
    <x v="22"/>
    <s v="MEX"/>
    <x v="1"/>
    <x v="0"/>
    <x v="30"/>
    <x v="2"/>
    <x v="0"/>
    <n v="14149.89"/>
  </r>
  <r>
    <x v="22"/>
    <s v="MEX"/>
    <x v="1"/>
    <x v="0"/>
    <x v="30"/>
    <x v="2"/>
    <x v="3"/>
    <n v="0"/>
  </r>
  <r>
    <x v="22"/>
    <s v="MEX"/>
    <x v="1"/>
    <x v="0"/>
    <x v="31"/>
    <x v="3"/>
    <x v="0"/>
    <n v="216176.95"/>
  </r>
  <r>
    <x v="22"/>
    <s v="MEX"/>
    <x v="1"/>
    <x v="0"/>
    <x v="31"/>
    <x v="5"/>
    <x v="0"/>
    <n v="163176.39000000001"/>
  </r>
  <r>
    <x v="22"/>
    <s v="MEX"/>
    <x v="1"/>
    <x v="0"/>
    <x v="31"/>
    <x v="2"/>
    <x v="1"/>
    <n v="72451.179999999993"/>
  </r>
  <r>
    <x v="23"/>
    <s v="MAR"/>
    <x v="0"/>
    <x v="2"/>
    <x v="0"/>
    <x v="5"/>
    <x v="0"/>
    <n v="19820.990000000002"/>
  </r>
  <r>
    <x v="23"/>
    <s v="MAR"/>
    <x v="0"/>
    <x v="2"/>
    <x v="1"/>
    <x v="0"/>
    <x v="2"/>
    <n v="333.53"/>
  </r>
  <r>
    <x v="23"/>
    <s v="MAR"/>
    <x v="0"/>
    <x v="2"/>
    <x v="2"/>
    <x v="0"/>
    <x v="0"/>
    <n v="10668.92"/>
  </r>
  <r>
    <x v="23"/>
    <s v="MAR"/>
    <x v="0"/>
    <x v="2"/>
    <x v="2"/>
    <x v="4"/>
    <x v="3"/>
    <n v="0"/>
  </r>
  <r>
    <x v="23"/>
    <s v="MAR"/>
    <x v="0"/>
    <x v="2"/>
    <x v="2"/>
    <x v="1"/>
    <x v="2"/>
    <n v="908.58"/>
  </r>
  <r>
    <x v="23"/>
    <s v="MAR"/>
    <x v="0"/>
    <x v="2"/>
    <x v="3"/>
    <x v="1"/>
    <x v="1"/>
    <n v="1292.73"/>
  </r>
  <r>
    <x v="23"/>
    <s v="MAR"/>
    <x v="0"/>
    <x v="2"/>
    <x v="3"/>
    <x v="2"/>
    <x v="1"/>
    <n v="13123.99"/>
  </r>
  <r>
    <x v="23"/>
    <s v="MAR"/>
    <x v="0"/>
    <x v="2"/>
    <x v="3"/>
    <x v="2"/>
    <x v="2"/>
    <n v="901.93"/>
  </r>
  <r>
    <x v="23"/>
    <s v="MAR"/>
    <x v="0"/>
    <x v="2"/>
    <x v="4"/>
    <x v="6"/>
    <x v="2"/>
    <n v="5494.91"/>
  </r>
  <r>
    <x v="23"/>
    <s v="MAR"/>
    <x v="0"/>
    <x v="2"/>
    <x v="5"/>
    <x v="0"/>
    <x v="3"/>
    <n v="0"/>
  </r>
  <r>
    <x v="23"/>
    <s v="MAR"/>
    <x v="0"/>
    <x v="2"/>
    <x v="5"/>
    <x v="3"/>
    <x v="1"/>
    <n v="1750.77"/>
  </r>
  <r>
    <x v="23"/>
    <s v="MAR"/>
    <x v="0"/>
    <x v="2"/>
    <x v="6"/>
    <x v="6"/>
    <x v="1"/>
    <n v="18307.939999999999"/>
  </r>
  <r>
    <x v="23"/>
    <s v="MAR"/>
    <x v="0"/>
    <x v="2"/>
    <x v="6"/>
    <x v="6"/>
    <x v="2"/>
    <n v="5540.02"/>
  </r>
  <r>
    <x v="23"/>
    <s v="MAR"/>
    <x v="0"/>
    <x v="2"/>
    <x v="6"/>
    <x v="0"/>
    <x v="2"/>
    <n v="375.44"/>
  </r>
  <r>
    <x v="23"/>
    <s v="MAR"/>
    <x v="0"/>
    <x v="2"/>
    <x v="6"/>
    <x v="4"/>
    <x v="2"/>
    <n v="116.12"/>
  </r>
  <r>
    <x v="23"/>
    <s v="MAR"/>
    <x v="0"/>
    <x v="2"/>
    <x v="7"/>
    <x v="0"/>
    <x v="1"/>
    <n v="851.83"/>
  </r>
  <r>
    <x v="23"/>
    <s v="MAR"/>
    <x v="0"/>
    <x v="2"/>
    <x v="7"/>
    <x v="3"/>
    <x v="1"/>
    <n v="1954.04"/>
  </r>
  <r>
    <x v="23"/>
    <s v="MAR"/>
    <x v="0"/>
    <x v="2"/>
    <x v="8"/>
    <x v="4"/>
    <x v="3"/>
    <n v="0"/>
  </r>
  <r>
    <x v="23"/>
    <s v="MAR"/>
    <x v="0"/>
    <x v="2"/>
    <x v="8"/>
    <x v="5"/>
    <x v="3"/>
    <n v="0"/>
  </r>
  <r>
    <x v="23"/>
    <s v="MAR"/>
    <x v="0"/>
    <x v="2"/>
    <x v="9"/>
    <x v="3"/>
    <x v="0"/>
    <n v="35569.53"/>
  </r>
  <r>
    <x v="23"/>
    <s v="MAR"/>
    <x v="0"/>
    <x v="2"/>
    <x v="9"/>
    <x v="1"/>
    <x v="0"/>
    <n v="53365.29"/>
  </r>
  <r>
    <x v="23"/>
    <s v="MAR"/>
    <x v="0"/>
    <x v="2"/>
    <x v="9"/>
    <x v="5"/>
    <x v="3"/>
    <n v="0"/>
  </r>
  <r>
    <x v="23"/>
    <s v="MAR"/>
    <x v="0"/>
    <x v="2"/>
    <x v="10"/>
    <x v="0"/>
    <x v="1"/>
    <n v="975.07"/>
  </r>
  <r>
    <x v="23"/>
    <s v="MAR"/>
    <x v="0"/>
    <x v="2"/>
    <x v="10"/>
    <x v="3"/>
    <x v="1"/>
    <n v="2272.46"/>
  </r>
  <r>
    <x v="23"/>
    <s v="MAR"/>
    <x v="0"/>
    <x v="2"/>
    <x v="10"/>
    <x v="3"/>
    <x v="3"/>
    <n v="2162.67"/>
  </r>
  <r>
    <x v="23"/>
    <s v="MAR"/>
    <x v="0"/>
    <x v="2"/>
    <x v="11"/>
    <x v="1"/>
    <x v="1"/>
    <n v="1792.62"/>
  </r>
  <r>
    <x v="23"/>
    <s v="MAR"/>
    <x v="0"/>
    <x v="2"/>
    <x v="12"/>
    <x v="1"/>
    <x v="3"/>
    <n v="0"/>
  </r>
  <r>
    <x v="23"/>
    <s v="MAR"/>
    <x v="0"/>
    <x v="2"/>
    <x v="13"/>
    <x v="3"/>
    <x v="2"/>
    <n v="2191.15"/>
  </r>
  <r>
    <x v="23"/>
    <s v="MAR"/>
    <x v="0"/>
    <x v="2"/>
    <x v="13"/>
    <x v="4"/>
    <x v="3"/>
    <n v="0"/>
  </r>
  <r>
    <x v="23"/>
    <s v="MAR"/>
    <x v="0"/>
    <x v="2"/>
    <x v="13"/>
    <x v="5"/>
    <x v="0"/>
    <n v="29991.27"/>
  </r>
  <r>
    <x v="23"/>
    <s v="MAR"/>
    <x v="0"/>
    <x v="2"/>
    <x v="13"/>
    <x v="2"/>
    <x v="2"/>
    <n v="1186.03"/>
  </r>
  <r>
    <x v="23"/>
    <s v="MAR"/>
    <x v="0"/>
    <x v="2"/>
    <x v="14"/>
    <x v="4"/>
    <x v="2"/>
    <n v="119.11"/>
  </r>
  <r>
    <x v="23"/>
    <s v="MAR"/>
    <x v="0"/>
    <x v="2"/>
    <x v="14"/>
    <x v="5"/>
    <x v="0"/>
    <n v="25382.799999999999"/>
  </r>
  <r>
    <x v="23"/>
    <s v="MAR"/>
    <x v="0"/>
    <x v="2"/>
    <x v="14"/>
    <x v="5"/>
    <x v="3"/>
    <n v="0"/>
  </r>
  <r>
    <x v="23"/>
    <s v="MAR"/>
    <x v="0"/>
    <x v="2"/>
    <x v="15"/>
    <x v="4"/>
    <x v="1"/>
    <n v="135.83000000000001"/>
  </r>
  <r>
    <x v="23"/>
    <s v="MAR"/>
    <x v="0"/>
    <x v="2"/>
    <x v="16"/>
    <x v="6"/>
    <x v="0"/>
    <n v="3302.32"/>
  </r>
  <r>
    <x v="23"/>
    <s v="MAR"/>
    <x v="0"/>
    <x v="2"/>
    <x v="16"/>
    <x v="6"/>
    <x v="2"/>
    <n v="6447.91"/>
  </r>
  <r>
    <x v="23"/>
    <s v="MAR"/>
    <x v="0"/>
    <x v="2"/>
    <x v="16"/>
    <x v="2"/>
    <x v="0"/>
    <n v="3920.9"/>
  </r>
  <r>
    <x v="23"/>
    <s v="MAR"/>
    <x v="0"/>
    <x v="2"/>
    <x v="17"/>
    <x v="6"/>
    <x v="1"/>
    <n v="23755.07"/>
  </r>
  <r>
    <x v="23"/>
    <s v="MAR"/>
    <x v="0"/>
    <x v="2"/>
    <x v="17"/>
    <x v="0"/>
    <x v="3"/>
    <n v="0"/>
  </r>
  <r>
    <x v="23"/>
    <s v="MAR"/>
    <x v="0"/>
    <x v="2"/>
    <x v="17"/>
    <x v="4"/>
    <x v="0"/>
    <n v="13871.7"/>
  </r>
  <r>
    <x v="23"/>
    <s v="MAR"/>
    <x v="0"/>
    <x v="2"/>
    <x v="17"/>
    <x v="1"/>
    <x v="1"/>
    <n v="1660.77"/>
  </r>
  <r>
    <x v="23"/>
    <s v="MAR"/>
    <x v="0"/>
    <x v="2"/>
    <x v="17"/>
    <x v="5"/>
    <x v="0"/>
    <n v="33371.74"/>
  </r>
  <r>
    <x v="23"/>
    <s v="MAR"/>
    <x v="0"/>
    <x v="2"/>
    <x v="17"/>
    <x v="5"/>
    <x v="3"/>
    <n v="0"/>
  </r>
  <r>
    <x v="23"/>
    <s v="MAR"/>
    <x v="0"/>
    <x v="2"/>
    <x v="17"/>
    <x v="2"/>
    <x v="2"/>
    <n v="1357.85"/>
  </r>
  <r>
    <x v="23"/>
    <s v="MAR"/>
    <x v="0"/>
    <x v="2"/>
    <x v="33"/>
    <x v="1"/>
    <x v="1"/>
    <n v="1847.12"/>
  </r>
  <r>
    <x v="23"/>
    <s v="MAR"/>
    <x v="0"/>
    <x v="2"/>
    <x v="33"/>
    <x v="5"/>
    <x v="0"/>
    <n v="29255.02"/>
  </r>
  <r>
    <x v="23"/>
    <s v="MAR"/>
    <x v="0"/>
    <x v="2"/>
    <x v="33"/>
    <x v="2"/>
    <x v="3"/>
    <n v="0"/>
  </r>
  <r>
    <x v="23"/>
    <s v="MAR"/>
    <x v="0"/>
    <x v="2"/>
    <x v="33"/>
    <x v="2"/>
    <x v="2"/>
    <n v="1257"/>
  </r>
  <r>
    <x v="23"/>
    <s v="MAR"/>
    <x v="0"/>
    <x v="2"/>
    <x v="18"/>
    <x v="2"/>
    <x v="0"/>
    <n v="3741.8"/>
  </r>
  <r>
    <x v="23"/>
    <s v="MAR"/>
    <x v="0"/>
    <x v="2"/>
    <x v="19"/>
    <x v="6"/>
    <x v="0"/>
    <n v="4099.82"/>
  </r>
  <r>
    <x v="23"/>
    <s v="MAR"/>
    <x v="0"/>
    <x v="2"/>
    <x v="19"/>
    <x v="6"/>
    <x v="2"/>
    <n v="7482.3"/>
  </r>
  <r>
    <x v="23"/>
    <s v="MAR"/>
    <x v="0"/>
    <x v="2"/>
    <x v="19"/>
    <x v="3"/>
    <x v="2"/>
    <n v="2546.91"/>
  </r>
  <r>
    <x v="23"/>
    <s v="MAR"/>
    <x v="0"/>
    <x v="2"/>
    <x v="19"/>
    <x v="5"/>
    <x v="1"/>
    <n v="644.54"/>
  </r>
  <r>
    <x v="23"/>
    <s v="MAR"/>
    <x v="0"/>
    <x v="2"/>
    <x v="19"/>
    <x v="5"/>
    <x v="0"/>
    <n v="35067.86"/>
  </r>
  <r>
    <x v="23"/>
    <s v="MAR"/>
    <x v="0"/>
    <x v="2"/>
    <x v="19"/>
    <x v="2"/>
    <x v="3"/>
    <n v="0"/>
  </r>
  <r>
    <x v="23"/>
    <s v="MAR"/>
    <x v="0"/>
    <x v="2"/>
    <x v="20"/>
    <x v="3"/>
    <x v="0"/>
    <n v="36398.07"/>
  </r>
  <r>
    <x v="23"/>
    <s v="MAR"/>
    <x v="0"/>
    <x v="2"/>
    <x v="20"/>
    <x v="1"/>
    <x v="0"/>
    <n v="59919.09"/>
  </r>
  <r>
    <x v="23"/>
    <s v="MAR"/>
    <x v="0"/>
    <x v="2"/>
    <x v="20"/>
    <x v="5"/>
    <x v="1"/>
    <n v="581.26"/>
  </r>
  <r>
    <x v="23"/>
    <s v="MAR"/>
    <x v="0"/>
    <x v="2"/>
    <x v="21"/>
    <x v="6"/>
    <x v="1"/>
    <n v="24293.07"/>
  </r>
  <r>
    <x v="23"/>
    <s v="MAR"/>
    <x v="0"/>
    <x v="2"/>
    <x v="21"/>
    <x v="1"/>
    <x v="2"/>
    <n v="1397.32"/>
  </r>
  <r>
    <x v="23"/>
    <s v="MAR"/>
    <x v="0"/>
    <x v="2"/>
    <x v="22"/>
    <x v="1"/>
    <x v="3"/>
    <n v="0"/>
  </r>
  <r>
    <x v="23"/>
    <s v="MAR"/>
    <x v="0"/>
    <x v="2"/>
    <x v="22"/>
    <x v="5"/>
    <x v="3"/>
    <n v="0"/>
  </r>
  <r>
    <x v="23"/>
    <s v="MAR"/>
    <x v="0"/>
    <x v="2"/>
    <x v="23"/>
    <x v="0"/>
    <x v="0"/>
    <n v="16021.46"/>
  </r>
  <r>
    <x v="23"/>
    <s v="MAR"/>
    <x v="0"/>
    <x v="2"/>
    <x v="23"/>
    <x v="3"/>
    <x v="0"/>
    <n v="44067.89"/>
  </r>
  <r>
    <x v="23"/>
    <s v="MAR"/>
    <x v="0"/>
    <x v="2"/>
    <x v="23"/>
    <x v="1"/>
    <x v="1"/>
    <n v="2151.66"/>
  </r>
  <r>
    <x v="23"/>
    <s v="MAR"/>
    <x v="0"/>
    <x v="2"/>
    <x v="23"/>
    <x v="2"/>
    <x v="3"/>
    <n v="0"/>
  </r>
  <r>
    <x v="23"/>
    <s v="MAR"/>
    <x v="0"/>
    <x v="2"/>
    <x v="23"/>
    <x v="2"/>
    <x v="2"/>
    <n v="1511.29"/>
  </r>
  <r>
    <x v="23"/>
    <s v="MAR"/>
    <x v="0"/>
    <x v="2"/>
    <x v="24"/>
    <x v="5"/>
    <x v="1"/>
    <n v="689.26"/>
  </r>
  <r>
    <x v="23"/>
    <s v="MAR"/>
    <x v="0"/>
    <x v="2"/>
    <x v="24"/>
    <x v="5"/>
    <x v="2"/>
    <n v="337.42"/>
  </r>
  <r>
    <x v="23"/>
    <s v="MAR"/>
    <x v="0"/>
    <x v="2"/>
    <x v="25"/>
    <x v="3"/>
    <x v="0"/>
    <n v="43998.43"/>
  </r>
  <r>
    <x v="23"/>
    <s v="MAR"/>
    <x v="0"/>
    <x v="2"/>
    <x v="25"/>
    <x v="4"/>
    <x v="0"/>
    <n v="18334.740000000002"/>
  </r>
  <r>
    <x v="23"/>
    <s v="MAR"/>
    <x v="0"/>
    <x v="2"/>
    <x v="25"/>
    <x v="1"/>
    <x v="2"/>
    <n v="1464.31"/>
  </r>
  <r>
    <x v="23"/>
    <s v="MAR"/>
    <x v="0"/>
    <x v="2"/>
    <x v="26"/>
    <x v="3"/>
    <x v="2"/>
    <n v="2344.56"/>
  </r>
  <r>
    <x v="23"/>
    <s v="MAR"/>
    <x v="0"/>
    <x v="2"/>
    <x v="26"/>
    <x v="5"/>
    <x v="0"/>
    <n v="27880.39"/>
  </r>
  <r>
    <x v="23"/>
    <s v="MAR"/>
    <x v="0"/>
    <x v="2"/>
    <x v="26"/>
    <x v="2"/>
    <x v="0"/>
    <n v="3411.8"/>
  </r>
  <r>
    <x v="23"/>
    <s v="MAR"/>
    <x v="0"/>
    <x v="2"/>
    <x v="26"/>
    <x v="2"/>
    <x v="2"/>
    <n v="1140.1199999999999"/>
  </r>
  <r>
    <x v="23"/>
    <s v="MAR"/>
    <x v="0"/>
    <x v="2"/>
    <x v="34"/>
    <x v="4"/>
    <x v="3"/>
    <n v="0"/>
  </r>
  <r>
    <x v="23"/>
    <s v="MAR"/>
    <x v="0"/>
    <x v="2"/>
    <x v="27"/>
    <x v="6"/>
    <x v="0"/>
    <n v="3805.81"/>
  </r>
  <r>
    <x v="23"/>
    <s v="MAR"/>
    <x v="0"/>
    <x v="2"/>
    <x v="27"/>
    <x v="0"/>
    <x v="3"/>
    <n v="0"/>
  </r>
  <r>
    <x v="23"/>
    <s v="MAR"/>
    <x v="0"/>
    <x v="2"/>
    <x v="27"/>
    <x v="3"/>
    <x v="3"/>
    <n v="2585.4699999999998"/>
  </r>
  <r>
    <x v="23"/>
    <s v="MAR"/>
    <x v="0"/>
    <x v="2"/>
    <x v="27"/>
    <x v="1"/>
    <x v="1"/>
    <n v="2029.36"/>
  </r>
  <r>
    <x v="23"/>
    <s v="MAR"/>
    <x v="0"/>
    <x v="2"/>
    <x v="28"/>
    <x v="0"/>
    <x v="0"/>
    <n v="15418.31"/>
  </r>
  <r>
    <x v="23"/>
    <s v="MAR"/>
    <x v="0"/>
    <x v="2"/>
    <x v="28"/>
    <x v="0"/>
    <x v="2"/>
    <n v="513.92999999999995"/>
  </r>
  <r>
    <x v="23"/>
    <s v="MAR"/>
    <x v="0"/>
    <x v="2"/>
    <x v="28"/>
    <x v="1"/>
    <x v="3"/>
    <n v="0"/>
  </r>
  <r>
    <x v="23"/>
    <s v="MAR"/>
    <x v="0"/>
    <x v="2"/>
    <x v="28"/>
    <x v="2"/>
    <x v="1"/>
    <n v="21563.11"/>
  </r>
  <r>
    <x v="23"/>
    <s v="MAR"/>
    <x v="0"/>
    <x v="2"/>
    <x v="29"/>
    <x v="0"/>
    <x v="2"/>
    <n v="518.41999999999996"/>
  </r>
  <r>
    <x v="23"/>
    <s v="MAR"/>
    <x v="0"/>
    <x v="2"/>
    <x v="29"/>
    <x v="1"/>
    <x v="3"/>
    <n v="0"/>
  </r>
  <r>
    <x v="23"/>
    <s v="MAR"/>
    <x v="0"/>
    <x v="2"/>
    <x v="30"/>
    <x v="1"/>
    <x v="1"/>
    <n v="2109.91"/>
  </r>
  <r>
    <x v="23"/>
    <s v="MAR"/>
    <x v="0"/>
    <x v="2"/>
    <x v="30"/>
    <x v="5"/>
    <x v="2"/>
    <n v="313.27999999999997"/>
  </r>
  <r>
    <x v="23"/>
    <s v="MAR"/>
    <x v="0"/>
    <x v="2"/>
    <x v="31"/>
    <x v="6"/>
    <x v="2"/>
    <n v="8538.2900000000009"/>
  </r>
  <r>
    <x v="23"/>
    <s v="MAR"/>
    <x v="0"/>
    <x v="2"/>
    <x v="31"/>
    <x v="0"/>
    <x v="2"/>
    <n v="529.38"/>
  </r>
  <r>
    <x v="23"/>
    <s v="MAR"/>
    <x v="0"/>
    <x v="2"/>
    <x v="31"/>
    <x v="3"/>
    <x v="3"/>
    <n v="2977.82"/>
  </r>
  <r>
    <x v="23"/>
    <s v="MAR"/>
    <x v="0"/>
    <x v="2"/>
    <x v="32"/>
    <x v="0"/>
    <x v="0"/>
    <n v="17015.96"/>
  </r>
  <r>
    <x v="23"/>
    <s v="MAR"/>
    <x v="0"/>
    <x v="2"/>
    <x v="32"/>
    <x v="3"/>
    <x v="1"/>
    <n v="2578.23"/>
  </r>
  <r>
    <x v="23"/>
    <s v="MAR"/>
    <x v="0"/>
    <x v="2"/>
    <x v="32"/>
    <x v="5"/>
    <x v="3"/>
    <n v="0"/>
  </r>
  <r>
    <x v="24"/>
    <s v="NLD"/>
    <x v="4"/>
    <x v="1"/>
    <x v="0"/>
    <x v="6"/>
    <x v="0"/>
    <n v="419.01"/>
  </r>
  <r>
    <x v="24"/>
    <s v="NLD"/>
    <x v="4"/>
    <x v="1"/>
    <x v="0"/>
    <x v="0"/>
    <x v="0"/>
    <n v="14332.2"/>
  </r>
  <r>
    <x v="24"/>
    <s v="NLD"/>
    <x v="4"/>
    <x v="1"/>
    <x v="0"/>
    <x v="4"/>
    <x v="2"/>
    <n v="-155.47"/>
  </r>
  <r>
    <x v="24"/>
    <s v="NLD"/>
    <x v="4"/>
    <x v="1"/>
    <x v="0"/>
    <x v="1"/>
    <x v="2"/>
    <n v="1035.5"/>
  </r>
  <r>
    <x v="24"/>
    <s v="NLD"/>
    <x v="4"/>
    <x v="1"/>
    <x v="0"/>
    <x v="2"/>
    <x v="0"/>
    <n v="278.73"/>
  </r>
  <r>
    <x v="24"/>
    <s v="NLD"/>
    <x v="4"/>
    <x v="1"/>
    <x v="0"/>
    <x v="2"/>
    <x v="3"/>
    <n v="0"/>
  </r>
  <r>
    <x v="24"/>
    <s v="NLD"/>
    <x v="4"/>
    <x v="1"/>
    <x v="1"/>
    <x v="3"/>
    <x v="1"/>
    <n v="792.62"/>
  </r>
  <r>
    <x v="24"/>
    <s v="NLD"/>
    <x v="4"/>
    <x v="1"/>
    <x v="1"/>
    <x v="3"/>
    <x v="0"/>
    <n v="13373.37"/>
  </r>
  <r>
    <x v="24"/>
    <s v="NLD"/>
    <x v="4"/>
    <x v="1"/>
    <x v="1"/>
    <x v="5"/>
    <x v="0"/>
    <n v="27907.88"/>
  </r>
  <r>
    <x v="24"/>
    <s v="NLD"/>
    <x v="4"/>
    <x v="1"/>
    <x v="2"/>
    <x v="6"/>
    <x v="0"/>
    <n v="418.78"/>
  </r>
  <r>
    <x v="24"/>
    <s v="NLD"/>
    <x v="4"/>
    <x v="1"/>
    <x v="2"/>
    <x v="0"/>
    <x v="3"/>
    <n v="0"/>
  </r>
  <r>
    <x v="24"/>
    <s v="NLD"/>
    <x v="4"/>
    <x v="1"/>
    <x v="2"/>
    <x v="1"/>
    <x v="0"/>
    <n v="48892.21"/>
  </r>
  <r>
    <x v="24"/>
    <s v="NLD"/>
    <x v="4"/>
    <x v="1"/>
    <x v="3"/>
    <x v="6"/>
    <x v="1"/>
    <n v="2703.2"/>
  </r>
  <r>
    <x v="24"/>
    <s v="NLD"/>
    <x v="4"/>
    <x v="1"/>
    <x v="3"/>
    <x v="0"/>
    <x v="3"/>
    <n v="0"/>
  </r>
  <r>
    <x v="24"/>
    <s v="NLD"/>
    <x v="4"/>
    <x v="1"/>
    <x v="3"/>
    <x v="1"/>
    <x v="0"/>
    <n v="49544.67"/>
  </r>
  <r>
    <x v="24"/>
    <s v="NLD"/>
    <x v="4"/>
    <x v="1"/>
    <x v="4"/>
    <x v="6"/>
    <x v="2"/>
    <n v="621.34"/>
  </r>
  <r>
    <x v="24"/>
    <s v="NLD"/>
    <x v="4"/>
    <x v="1"/>
    <x v="5"/>
    <x v="5"/>
    <x v="3"/>
    <n v="0"/>
  </r>
  <r>
    <x v="24"/>
    <s v="NLD"/>
    <x v="4"/>
    <x v="1"/>
    <x v="5"/>
    <x v="5"/>
    <x v="2"/>
    <n v="307.72000000000003"/>
  </r>
  <r>
    <x v="24"/>
    <s v="NLD"/>
    <x v="4"/>
    <x v="1"/>
    <x v="5"/>
    <x v="2"/>
    <x v="0"/>
    <n v="258.07"/>
  </r>
  <r>
    <x v="24"/>
    <s v="NLD"/>
    <x v="4"/>
    <x v="1"/>
    <x v="6"/>
    <x v="2"/>
    <x v="3"/>
    <n v="0"/>
  </r>
  <r>
    <x v="24"/>
    <s v="NLD"/>
    <x v="4"/>
    <x v="1"/>
    <x v="7"/>
    <x v="6"/>
    <x v="1"/>
    <n v="2865.79"/>
  </r>
  <r>
    <x v="24"/>
    <s v="NLD"/>
    <x v="4"/>
    <x v="1"/>
    <x v="7"/>
    <x v="0"/>
    <x v="1"/>
    <n v="1162.6500000000001"/>
  </r>
  <r>
    <x v="24"/>
    <s v="NLD"/>
    <x v="4"/>
    <x v="1"/>
    <x v="7"/>
    <x v="2"/>
    <x v="3"/>
    <n v="0"/>
  </r>
  <r>
    <x v="24"/>
    <s v="NLD"/>
    <x v="4"/>
    <x v="1"/>
    <x v="8"/>
    <x v="6"/>
    <x v="3"/>
    <n v="0"/>
  </r>
  <r>
    <x v="24"/>
    <s v="NLD"/>
    <x v="4"/>
    <x v="1"/>
    <x v="8"/>
    <x v="3"/>
    <x v="1"/>
    <n v="854.02"/>
  </r>
  <r>
    <x v="24"/>
    <s v="NLD"/>
    <x v="4"/>
    <x v="1"/>
    <x v="8"/>
    <x v="4"/>
    <x v="3"/>
    <n v="0"/>
  </r>
  <r>
    <x v="24"/>
    <s v="NLD"/>
    <x v="4"/>
    <x v="1"/>
    <x v="9"/>
    <x v="6"/>
    <x v="1"/>
    <n v="2858.38"/>
  </r>
  <r>
    <x v="24"/>
    <s v="NLD"/>
    <x v="4"/>
    <x v="1"/>
    <x v="9"/>
    <x v="0"/>
    <x v="0"/>
    <n v="13131.68"/>
  </r>
  <r>
    <x v="24"/>
    <s v="NLD"/>
    <x v="4"/>
    <x v="1"/>
    <x v="9"/>
    <x v="3"/>
    <x v="1"/>
    <n v="777.91"/>
  </r>
  <r>
    <x v="24"/>
    <s v="NLD"/>
    <x v="4"/>
    <x v="1"/>
    <x v="9"/>
    <x v="5"/>
    <x v="3"/>
    <n v="0"/>
  </r>
  <r>
    <x v="24"/>
    <s v="NLD"/>
    <x v="4"/>
    <x v="1"/>
    <x v="10"/>
    <x v="6"/>
    <x v="2"/>
    <n v="853.59"/>
  </r>
  <r>
    <x v="24"/>
    <s v="NLD"/>
    <x v="4"/>
    <x v="1"/>
    <x v="10"/>
    <x v="0"/>
    <x v="0"/>
    <n v="15318.37"/>
  </r>
  <r>
    <x v="24"/>
    <s v="NLD"/>
    <x v="4"/>
    <x v="1"/>
    <x v="10"/>
    <x v="0"/>
    <x v="3"/>
    <n v="0"/>
  </r>
  <r>
    <x v="24"/>
    <s v="NLD"/>
    <x v="4"/>
    <x v="1"/>
    <x v="10"/>
    <x v="5"/>
    <x v="0"/>
    <n v="33290.120000000003"/>
  </r>
  <r>
    <x v="24"/>
    <s v="NLD"/>
    <x v="4"/>
    <x v="1"/>
    <x v="10"/>
    <x v="2"/>
    <x v="1"/>
    <n v="1478.35"/>
  </r>
  <r>
    <x v="24"/>
    <s v="NLD"/>
    <x v="4"/>
    <x v="1"/>
    <x v="11"/>
    <x v="5"/>
    <x v="2"/>
    <n v="313.39"/>
  </r>
  <r>
    <x v="24"/>
    <s v="NLD"/>
    <x v="4"/>
    <x v="1"/>
    <x v="12"/>
    <x v="0"/>
    <x v="1"/>
    <n v="1234.27"/>
  </r>
  <r>
    <x v="24"/>
    <s v="NLD"/>
    <x v="4"/>
    <x v="1"/>
    <x v="12"/>
    <x v="3"/>
    <x v="0"/>
    <n v="15521.47"/>
  </r>
  <r>
    <x v="24"/>
    <s v="NLD"/>
    <x v="4"/>
    <x v="1"/>
    <x v="12"/>
    <x v="1"/>
    <x v="3"/>
    <n v="0"/>
  </r>
  <r>
    <x v="24"/>
    <s v="NLD"/>
    <x v="4"/>
    <x v="1"/>
    <x v="12"/>
    <x v="2"/>
    <x v="0"/>
    <n v="266.17"/>
  </r>
  <r>
    <x v="24"/>
    <s v="NLD"/>
    <x v="4"/>
    <x v="1"/>
    <x v="13"/>
    <x v="6"/>
    <x v="0"/>
    <n v="412.17"/>
  </r>
  <r>
    <x v="24"/>
    <s v="NLD"/>
    <x v="4"/>
    <x v="1"/>
    <x v="13"/>
    <x v="3"/>
    <x v="0"/>
    <n v="16184.26"/>
  </r>
  <r>
    <x v="24"/>
    <s v="NLD"/>
    <x v="4"/>
    <x v="1"/>
    <x v="13"/>
    <x v="3"/>
    <x v="3"/>
    <n v="938.61"/>
  </r>
  <r>
    <x v="24"/>
    <s v="NLD"/>
    <x v="4"/>
    <x v="1"/>
    <x v="13"/>
    <x v="1"/>
    <x v="1"/>
    <n v="1515.67"/>
  </r>
  <r>
    <x v="24"/>
    <s v="NLD"/>
    <x v="4"/>
    <x v="1"/>
    <x v="13"/>
    <x v="5"/>
    <x v="0"/>
    <n v="32899.800000000003"/>
  </r>
  <r>
    <x v="24"/>
    <s v="NLD"/>
    <x v="4"/>
    <x v="1"/>
    <x v="13"/>
    <x v="2"/>
    <x v="0"/>
    <n v="285.56"/>
  </r>
  <r>
    <x v="24"/>
    <s v="NLD"/>
    <x v="4"/>
    <x v="1"/>
    <x v="14"/>
    <x v="4"/>
    <x v="2"/>
    <n v="-155.82"/>
  </r>
  <r>
    <x v="24"/>
    <s v="NLD"/>
    <x v="4"/>
    <x v="1"/>
    <x v="15"/>
    <x v="0"/>
    <x v="1"/>
    <n v="1131.8399999999999"/>
  </r>
  <r>
    <x v="24"/>
    <s v="NLD"/>
    <x v="4"/>
    <x v="1"/>
    <x v="15"/>
    <x v="4"/>
    <x v="3"/>
    <n v="0"/>
  </r>
  <r>
    <x v="24"/>
    <s v="NLD"/>
    <x v="4"/>
    <x v="1"/>
    <x v="15"/>
    <x v="1"/>
    <x v="1"/>
    <n v="1558.07"/>
  </r>
  <r>
    <x v="24"/>
    <s v="NLD"/>
    <x v="4"/>
    <x v="1"/>
    <x v="16"/>
    <x v="6"/>
    <x v="1"/>
    <n v="2693.42"/>
  </r>
  <r>
    <x v="24"/>
    <s v="NLD"/>
    <x v="4"/>
    <x v="1"/>
    <x v="16"/>
    <x v="6"/>
    <x v="3"/>
    <n v="0"/>
  </r>
  <r>
    <x v="24"/>
    <s v="NLD"/>
    <x v="4"/>
    <x v="1"/>
    <x v="16"/>
    <x v="0"/>
    <x v="1"/>
    <n v="990.9"/>
  </r>
  <r>
    <x v="24"/>
    <s v="NLD"/>
    <x v="4"/>
    <x v="1"/>
    <x v="17"/>
    <x v="3"/>
    <x v="0"/>
    <n v="15531.85"/>
  </r>
  <r>
    <x v="24"/>
    <s v="NLD"/>
    <x v="4"/>
    <x v="1"/>
    <x v="17"/>
    <x v="4"/>
    <x v="3"/>
    <n v="0"/>
  </r>
  <r>
    <x v="24"/>
    <s v="NLD"/>
    <x v="4"/>
    <x v="1"/>
    <x v="17"/>
    <x v="2"/>
    <x v="0"/>
    <n v="265.97000000000003"/>
  </r>
  <r>
    <x v="24"/>
    <s v="NLD"/>
    <x v="4"/>
    <x v="1"/>
    <x v="33"/>
    <x v="1"/>
    <x v="3"/>
    <n v="0"/>
  </r>
  <r>
    <x v="24"/>
    <s v="NLD"/>
    <x v="4"/>
    <x v="1"/>
    <x v="33"/>
    <x v="2"/>
    <x v="3"/>
    <n v="0"/>
  </r>
  <r>
    <x v="24"/>
    <s v="NLD"/>
    <x v="4"/>
    <x v="1"/>
    <x v="18"/>
    <x v="6"/>
    <x v="3"/>
    <n v="0"/>
  </r>
  <r>
    <x v="24"/>
    <s v="NLD"/>
    <x v="4"/>
    <x v="1"/>
    <x v="18"/>
    <x v="0"/>
    <x v="1"/>
    <n v="1104.1500000000001"/>
  </r>
  <r>
    <x v="24"/>
    <s v="NLD"/>
    <x v="4"/>
    <x v="1"/>
    <x v="18"/>
    <x v="4"/>
    <x v="1"/>
    <n v="-178.79"/>
  </r>
  <r>
    <x v="24"/>
    <s v="NLD"/>
    <x v="4"/>
    <x v="1"/>
    <x v="18"/>
    <x v="1"/>
    <x v="1"/>
    <n v="1467.24"/>
  </r>
  <r>
    <x v="24"/>
    <s v="NLD"/>
    <x v="4"/>
    <x v="1"/>
    <x v="19"/>
    <x v="0"/>
    <x v="0"/>
    <n v="14584.71"/>
  </r>
  <r>
    <x v="24"/>
    <s v="NLD"/>
    <x v="4"/>
    <x v="1"/>
    <x v="19"/>
    <x v="3"/>
    <x v="1"/>
    <n v="802.4"/>
  </r>
  <r>
    <x v="24"/>
    <s v="NLD"/>
    <x v="4"/>
    <x v="1"/>
    <x v="19"/>
    <x v="3"/>
    <x v="2"/>
    <n v="834.57"/>
  </r>
  <r>
    <x v="24"/>
    <s v="NLD"/>
    <x v="4"/>
    <x v="1"/>
    <x v="19"/>
    <x v="1"/>
    <x v="0"/>
    <n v="45588.52"/>
  </r>
  <r>
    <x v="24"/>
    <s v="NLD"/>
    <x v="4"/>
    <x v="1"/>
    <x v="19"/>
    <x v="5"/>
    <x v="0"/>
    <n v="32294.400000000001"/>
  </r>
  <r>
    <x v="24"/>
    <s v="NLD"/>
    <x v="4"/>
    <x v="1"/>
    <x v="19"/>
    <x v="2"/>
    <x v="3"/>
    <n v="0"/>
  </r>
  <r>
    <x v="24"/>
    <s v="NLD"/>
    <x v="4"/>
    <x v="1"/>
    <x v="20"/>
    <x v="6"/>
    <x v="0"/>
    <n v="429.56"/>
  </r>
  <r>
    <x v="24"/>
    <s v="NLD"/>
    <x v="4"/>
    <x v="1"/>
    <x v="20"/>
    <x v="6"/>
    <x v="2"/>
    <n v="811.51"/>
  </r>
  <r>
    <x v="24"/>
    <s v="NLD"/>
    <x v="4"/>
    <x v="1"/>
    <x v="20"/>
    <x v="1"/>
    <x v="0"/>
    <n v="51645.99"/>
  </r>
  <r>
    <x v="24"/>
    <s v="NLD"/>
    <x v="4"/>
    <x v="1"/>
    <x v="21"/>
    <x v="3"/>
    <x v="1"/>
    <n v="851.06"/>
  </r>
  <r>
    <x v="24"/>
    <s v="NLD"/>
    <x v="4"/>
    <x v="1"/>
    <x v="21"/>
    <x v="4"/>
    <x v="3"/>
    <n v="0"/>
  </r>
  <r>
    <x v="24"/>
    <s v="NLD"/>
    <x v="4"/>
    <x v="1"/>
    <x v="21"/>
    <x v="4"/>
    <x v="2"/>
    <n v="-160.58000000000001"/>
  </r>
  <r>
    <x v="24"/>
    <s v="NLD"/>
    <x v="4"/>
    <x v="1"/>
    <x v="22"/>
    <x v="1"/>
    <x v="3"/>
    <n v="0"/>
  </r>
  <r>
    <x v="24"/>
    <s v="NLD"/>
    <x v="4"/>
    <x v="1"/>
    <x v="22"/>
    <x v="5"/>
    <x v="3"/>
    <n v="0"/>
  </r>
  <r>
    <x v="24"/>
    <s v="NLD"/>
    <x v="4"/>
    <x v="1"/>
    <x v="23"/>
    <x v="6"/>
    <x v="1"/>
    <n v="2705.02"/>
  </r>
  <r>
    <x v="24"/>
    <s v="NLD"/>
    <x v="4"/>
    <x v="1"/>
    <x v="23"/>
    <x v="6"/>
    <x v="3"/>
    <n v="0"/>
  </r>
  <r>
    <x v="24"/>
    <s v="NLD"/>
    <x v="4"/>
    <x v="1"/>
    <x v="23"/>
    <x v="0"/>
    <x v="0"/>
    <n v="13072.1"/>
  </r>
  <r>
    <x v="24"/>
    <s v="NLD"/>
    <x v="4"/>
    <x v="1"/>
    <x v="23"/>
    <x v="3"/>
    <x v="2"/>
    <n v="823.27"/>
  </r>
  <r>
    <x v="24"/>
    <s v="NLD"/>
    <x v="4"/>
    <x v="1"/>
    <x v="23"/>
    <x v="5"/>
    <x v="3"/>
    <n v="0"/>
  </r>
  <r>
    <x v="24"/>
    <s v="NLD"/>
    <x v="4"/>
    <x v="1"/>
    <x v="23"/>
    <x v="2"/>
    <x v="1"/>
    <n v="1181.83"/>
  </r>
  <r>
    <x v="24"/>
    <s v="NLD"/>
    <x v="4"/>
    <x v="1"/>
    <x v="24"/>
    <x v="0"/>
    <x v="2"/>
    <n v="449.57"/>
  </r>
  <r>
    <x v="24"/>
    <s v="NLD"/>
    <x v="4"/>
    <x v="1"/>
    <x v="24"/>
    <x v="4"/>
    <x v="1"/>
    <n v="-143.82"/>
  </r>
  <r>
    <x v="24"/>
    <s v="NLD"/>
    <x v="4"/>
    <x v="1"/>
    <x v="24"/>
    <x v="4"/>
    <x v="3"/>
    <n v="0"/>
  </r>
  <r>
    <x v="24"/>
    <s v="NLD"/>
    <x v="4"/>
    <x v="1"/>
    <x v="24"/>
    <x v="4"/>
    <x v="2"/>
    <n v="-170.29"/>
  </r>
  <r>
    <x v="24"/>
    <s v="NLD"/>
    <x v="4"/>
    <x v="1"/>
    <x v="24"/>
    <x v="1"/>
    <x v="0"/>
    <n v="48056.21"/>
  </r>
  <r>
    <x v="24"/>
    <s v="NLD"/>
    <x v="4"/>
    <x v="1"/>
    <x v="24"/>
    <x v="5"/>
    <x v="1"/>
    <n v="558.14"/>
  </r>
  <r>
    <x v="24"/>
    <s v="NLD"/>
    <x v="4"/>
    <x v="1"/>
    <x v="25"/>
    <x v="4"/>
    <x v="0"/>
    <n v="-16586.97"/>
  </r>
  <r>
    <x v="24"/>
    <s v="NLD"/>
    <x v="4"/>
    <x v="1"/>
    <x v="34"/>
    <x v="6"/>
    <x v="3"/>
    <n v="0"/>
  </r>
  <r>
    <x v="24"/>
    <s v="NLD"/>
    <x v="4"/>
    <x v="1"/>
    <x v="34"/>
    <x v="0"/>
    <x v="0"/>
    <n v="12354.42"/>
  </r>
  <r>
    <x v="24"/>
    <s v="NLD"/>
    <x v="4"/>
    <x v="1"/>
    <x v="34"/>
    <x v="5"/>
    <x v="3"/>
    <n v="0"/>
  </r>
  <r>
    <x v="24"/>
    <s v="NLD"/>
    <x v="4"/>
    <x v="1"/>
    <x v="34"/>
    <x v="2"/>
    <x v="1"/>
    <n v="1115.6199999999999"/>
  </r>
  <r>
    <x v="24"/>
    <s v="NLD"/>
    <x v="4"/>
    <x v="1"/>
    <x v="27"/>
    <x v="0"/>
    <x v="0"/>
    <n v="13471.87"/>
  </r>
  <r>
    <x v="24"/>
    <s v="NLD"/>
    <x v="4"/>
    <x v="1"/>
    <x v="27"/>
    <x v="5"/>
    <x v="2"/>
    <n v="294.26"/>
  </r>
  <r>
    <x v="24"/>
    <s v="NLD"/>
    <x v="4"/>
    <x v="1"/>
    <x v="28"/>
    <x v="3"/>
    <x v="2"/>
    <n v="724.65"/>
  </r>
  <r>
    <x v="24"/>
    <s v="NLD"/>
    <x v="4"/>
    <x v="1"/>
    <x v="29"/>
    <x v="2"/>
    <x v="1"/>
    <n v="897.37"/>
  </r>
  <r>
    <x v="24"/>
    <s v="NLD"/>
    <x v="4"/>
    <x v="1"/>
    <x v="30"/>
    <x v="3"/>
    <x v="1"/>
    <n v="754.04"/>
  </r>
  <r>
    <x v="24"/>
    <s v="NLD"/>
    <x v="4"/>
    <x v="1"/>
    <x v="30"/>
    <x v="4"/>
    <x v="2"/>
    <n v="-148.31"/>
  </r>
  <r>
    <x v="24"/>
    <s v="NLD"/>
    <x v="4"/>
    <x v="1"/>
    <x v="30"/>
    <x v="1"/>
    <x v="2"/>
    <n v="972.95"/>
  </r>
  <r>
    <x v="24"/>
    <s v="NLD"/>
    <x v="4"/>
    <x v="1"/>
    <x v="31"/>
    <x v="3"/>
    <x v="0"/>
    <n v="14013.5"/>
  </r>
  <r>
    <x v="24"/>
    <s v="NLD"/>
    <x v="4"/>
    <x v="1"/>
    <x v="32"/>
    <x v="6"/>
    <x v="1"/>
    <n v="2304.58"/>
  </r>
  <r>
    <x v="24"/>
    <s v="NLD"/>
    <x v="4"/>
    <x v="1"/>
    <x v="32"/>
    <x v="0"/>
    <x v="0"/>
    <n v="12295.61"/>
  </r>
  <r>
    <x v="24"/>
    <s v="NLD"/>
    <x v="4"/>
    <x v="1"/>
    <x v="32"/>
    <x v="1"/>
    <x v="1"/>
    <n v="1376.86"/>
  </r>
  <r>
    <x v="25"/>
    <s v="NZL"/>
    <x v="2"/>
    <x v="1"/>
    <x v="0"/>
    <x v="0"/>
    <x v="3"/>
    <n v="0"/>
  </r>
  <r>
    <x v="25"/>
    <s v="NZL"/>
    <x v="2"/>
    <x v="1"/>
    <x v="1"/>
    <x v="6"/>
    <x v="2"/>
    <n v="2993.15"/>
  </r>
  <r>
    <x v="25"/>
    <s v="NZL"/>
    <x v="2"/>
    <x v="1"/>
    <x v="1"/>
    <x v="0"/>
    <x v="3"/>
    <n v="0"/>
  </r>
  <r>
    <x v="25"/>
    <s v="NZL"/>
    <x v="2"/>
    <x v="1"/>
    <x v="1"/>
    <x v="3"/>
    <x v="1"/>
    <n v="1161.21"/>
  </r>
  <r>
    <x v="25"/>
    <s v="NZL"/>
    <x v="2"/>
    <x v="1"/>
    <x v="2"/>
    <x v="6"/>
    <x v="0"/>
    <n v="1427.45"/>
  </r>
  <r>
    <x v="25"/>
    <s v="NZL"/>
    <x v="2"/>
    <x v="1"/>
    <x v="2"/>
    <x v="0"/>
    <x v="3"/>
    <n v="0"/>
  </r>
  <r>
    <x v="25"/>
    <s v="NZL"/>
    <x v="2"/>
    <x v="1"/>
    <x v="2"/>
    <x v="3"/>
    <x v="0"/>
    <n v="17278.240000000002"/>
  </r>
  <r>
    <x v="25"/>
    <s v="NZL"/>
    <x v="2"/>
    <x v="1"/>
    <x v="2"/>
    <x v="4"/>
    <x v="3"/>
    <n v="0"/>
  </r>
  <r>
    <x v="25"/>
    <s v="NZL"/>
    <x v="2"/>
    <x v="1"/>
    <x v="2"/>
    <x v="1"/>
    <x v="0"/>
    <n v="3331.85"/>
  </r>
  <r>
    <x v="25"/>
    <s v="NZL"/>
    <x v="2"/>
    <x v="1"/>
    <x v="2"/>
    <x v="2"/>
    <x v="1"/>
    <n v="360.45"/>
  </r>
  <r>
    <x v="25"/>
    <s v="NZL"/>
    <x v="2"/>
    <x v="1"/>
    <x v="3"/>
    <x v="0"/>
    <x v="3"/>
    <n v="0"/>
  </r>
  <r>
    <x v="25"/>
    <s v="NZL"/>
    <x v="2"/>
    <x v="1"/>
    <x v="3"/>
    <x v="3"/>
    <x v="1"/>
    <n v="963.28"/>
  </r>
  <r>
    <x v="25"/>
    <s v="NZL"/>
    <x v="2"/>
    <x v="1"/>
    <x v="3"/>
    <x v="1"/>
    <x v="0"/>
    <n v="3335.18"/>
  </r>
  <r>
    <x v="25"/>
    <s v="NZL"/>
    <x v="2"/>
    <x v="1"/>
    <x v="3"/>
    <x v="2"/>
    <x v="0"/>
    <n v="71.459999999999994"/>
  </r>
  <r>
    <x v="25"/>
    <s v="NZL"/>
    <x v="2"/>
    <x v="1"/>
    <x v="4"/>
    <x v="2"/>
    <x v="0"/>
    <n v="65.349999999999994"/>
  </r>
  <r>
    <x v="25"/>
    <s v="NZL"/>
    <x v="2"/>
    <x v="1"/>
    <x v="4"/>
    <x v="2"/>
    <x v="2"/>
    <n v="22.43"/>
  </r>
  <r>
    <x v="25"/>
    <s v="NZL"/>
    <x v="2"/>
    <x v="1"/>
    <x v="5"/>
    <x v="0"/>
    <x v="1"/>
    <n v="547.11"/>
  </r>
  <r>
    <x v="25"/>
    <s v="NZL"/>
    <x v="2"/>
    <x v="1"/>
    <x v="5"/>
    <x v="4"/>
    <x v="2"/>
    <n v="-81.87"/>
  </r>
  <r>
    <x v="25"/>
    <s v="NZL"/>
    <x v="2"/>
    <x v="1"/>
    <x v="6"/>
    <x v="6"/>
    <x v="1"/>
    <n v="9520.8799999999992"/>
  </r>
  <r>
    <x v="25"/>
    <s v="NZL"/>
    <x v="2"/>
    <x v="1"/>
    <x v="6"/>
    <x v="6"/>
    <x v="0"/>
    <n v="1463.09"/>
  </r>
  <r>
    <x v="25"/>
    <s v="NZL"/>
    <x v="2"/>
    <x v="1"/>
    <x v="6"/>
    <x v="0"/>
    <x v="2"/>
    <n v="278.60000000000002"/>
  </r>
  <r>
    <x v="25"/>
    <s v="NZL"/>
    <x v="2"/>
    <x v="1"/>
    <x v="7"/>
    <x v="3"/>
    <x v="1"/>
    <n v="1153.3399999999999"/>
  </r>
  <r>
    <x v="25"/>
    <s v="NZL"/>
    <x v="2"/>
    <x v="1"/>
    <x v="7"/>
    <x v="4"/>
    <x v="2"/>
    <n v="-96.59"/>
  </r>
  <r>
    <x v="25"/>
    <s v="NZL"/>
    <x v="2"/>
    <x v="1"/>
    <x v="7"/>
    <x v="1"/>
    <x v="1"/>
    <n v="104.63"/>
  </r>
  <r>
    <x v="25"/>
    <s v="NZL"/>
    <x v="2"/>
    <x v="1"/>
    <x v="7"/>
    <x v="5"/>
    <x v="3"/>
    <n v="0"/>
  </r>
  <r>
    <x v="25"/>
    <s v="NZL"/>
    <x v="2"/>
    <x v="1"/>
    <x v="8"/>
    <x v="5"/>
    <x v="2"/>
    <n v="69.260000000000005"/>
  </r>
  <r>
    <x v="25"/>
    <s v="NZL"/>
    <x v="2"/>
    <x v="1"/>
    <x v="9"/>
    <x v="6"/>
    <x v="2"/>
    <n v="2896.18"/>
  </r>
  <r>
    <x v="25"/>
    <s v="NZL"/>
    <x v="2"/>
    <x v="1"/>
    <x v="9"/>
    <x v="4"/>
    <x v="1"/>
    <n v="-87.37"/>
  </r>
  <r>
    <x v="25"/>
    <s v="NZL"/>
    <x v="2"/>
    <x v="1"/>
    <x v="9"/>
    <x v="4"/>
    <x v="2"/>
    <n v="-90.82"/>
  </r>
  <r>
    <x v="25"/>
    <s v="NZL"/>
    <x v="2"/>
    <x v="1"/>
    <x v="9"/>
    <x v="5"/>
    <x v="3"/>
    <n v="0"/>
  </r>
  <r>
    <x v="25"/>
    <s v="NZL"/>
    <x v="2"/>
    <x v="1"/>
    <x v="9"/>
    <x v="2"/>
    <x v="0"/>
    <n v="67.56"/>
  </r>
  <r>
    <x v="25"/>
    <s v="NZL"/>
    <x v="2"/>
    <x v="1"/>
    <x v="10"/>
    <x v="0"/>
    <x v="1"/>
    <n v="533.54999999999995"/>
  </r>
  <r>
    <x v="25"/>
    <s v="NZL"/>
    <x v="2"/>
    <x v="1"/>
    <x v="11"/>
    <x v="6"/>
    <x v="3"/>
    <n v="0"/>
  </r>
  <r>
    <x v="25"/>
    <s v="NZL"/>
    <x v="2"/>
    <x v="1"/>
    <x v="11"/>
    <x v="0"/>
    <x v="2"/>
    <n v="249.27"/>
  </r>
  <r>
    <x v="25"/>
    <s v="NZL"/>
    <x v="2"/>
    <x v="1"/>
    <x v="11"/>
    <x v="3"/>
    <x v="1"/>
    <n v="999.54"/>
  </r>
  <r>
    <x v="25"/>
    <s v="NZL"/>
    <x v="2"/>
    <x v="1"/>
    <x v="11"/>
    <x v="3"/>
    <x v="0"/>
    <n v="15334.82"/>
  </r>
  <r>
    <x v="25"/>
    <s v="NZL"/>
    <x v="2"/>
    <x v="1"/>
    <x v="11"/>
    <x v="5"/>
    <x v="1"/>
    <n v="131.99"/>
  </r>
  <r>
    <x v="25"/>
    <s v="NZL"/>
    <x v="2"/>
    <x v="1"/>
    <x v="11"/>
    <x v="2"/>
    <x v="2"/>
    <n v="21.73"/>
  </r>
  <r>
    <x v="25"/>
    <s v="NZL"/>
    <x v="2"/>
    <x v="1"/>
    <x v="12"/>
    <x v="4"/>
    <x v="1"/>
    <n v="-84.69"/>
  </r>
  <r>
    <x v="25"/>
    <s v="NZL"/>
    <x v="2"/>
    <x v="1"/>
    <x v="12"/>
    <x v="4"/>
    <x v="0"/>
    <n v="-8273.11"/>
  </r>
  <r>
    <x v="25"/>
    <s v="NZL"/>
    <x v="2"/>
    <x v="1"/>
    <x v="12"/>
    <x v="1"/>
    <x v="1"/>
    <n v="88.88"/>
  </r>
  <r>
    <x v="25"/>
    <s v="NZL"/>
    <x v="2"/>
    <x v="1"/>
    <x v="13"/>
    <x v="3"/>
    <x v="0"/>
    <n v="15988.66"/>
  </r>
  <r>
    <x v="25"/>
    <s v="NZL"/>
    <x v="2"/>
    <x v="1"/>
    <x v="14"/>
    <x v="0"/>
    <x v="2"/>
    <n v="267.22000000000003"/>
  </r>
  <r>
    <x v="25"/>
    <s v="NZL"/>
    <x v="2"/>
    <x v="1"/>
    <x v="14"/>
    <x v="4"/>
    <x v="1"/>
    <n v="-89.46"/>
  </r>
  <r>
    <x v="25"/>
    <s v="NZL"/>
    <x v="2"/>
    <x v="1"/>
    <x v="14"/>
    <x v="1"/>
    <x v="1"/>
    <n v="98.62"/>
  </r>
  <r>
    <x v="25"/>
    <s v="NZL"/>
    <x v="2"/>
    <x v="1"/>
    <x v="14"/>
    <x v="5"/>
    <x v="1"/>
    <n v="157.72999999999999"/>
  </r>
  <r>
    <x v="25"/>
    <s v="NZL"/>
    <x v="2"/>
    <x v="1"/>
    <x v="15"/>
    <x v="6"/>
    <x v="3"/>
    <n v="0"/>
  </r>
  <r>
    <x v="25"/>
    <s v="NZL"/>
    <x v="2"/>
    <x v="1"/>
    <x v="15"/>
    <x v="4"/>
    <x v="2"/>
    <n v="-88.11"/>
  </r>
  <r>
    <x v="25"/>
    <s v="NZL"/>
    <x v="2"/>
    <x v="1"/>
    <x v="16"/>
    <x v="6"/>
    <x v="3"/>
    <n v="0"/>
  </r>
  <r>
    <x v="25"/>
    <s v="NZL"/>
    <x v="2"/>
    <x v="1"/>
    <x v="16"/>
    <x v="3"/>
    <x v="1"/>
    <n v="913.87"/>
  </r>
  <r>
    <x v="25"/>
    <s v="NZL"/>
    <x v="2"/>
    <x v="1"/>
    <x v="16"/>
    <x v="3"/>
    <x v="2"/>
    <n v="975.66"/>
  </r>
  <r>
    <x v="25"/>
    <s v="NZL"/>
    <x v="2"/>
    <x v="1"/>
    <x v="16"/>
    <x v="4"/>
    <x v="2"/>
    <n v="-82.56"/>
  </r>
  <r>
    <x v="25"/>
    <s v="NZL"/>
    <x v="2"/>
    <x v="1"/>
    <x v="16"/>
    <x v="1"/>
    <x v="0"/>
    <n v="2907.71"/>
  </r>
  <r>
    <x v="25"/>
    <s v="NZL"/>
    <x v="2"/>
    <x v="1"/>
    <x v="16"/>
    <x v="5"/>
    <x v="3"/>
    <n v="0"/>
  </r>
  <r>
    <x v="25"/>
    <s v="NZL"/>
    <x v="2"/>
    <x v="1"/>
    <x v="17"/>
    <x v="6"/>
    <x v="1"/>
    <n v="9386.56"/>
  </r>
  <r>
    <x v="25"/>
    <s v="NZL"/>
    <x v="2"/>
    <x v="1"/>
    <x v="17"/>
    <x v="0"/>
    <x v="0"/>
    <n v="6838.26"/>
  </r>
  <r>
    <x v="25"/>
    <s v="NZL"/>
    <x v="2"/>
    <x v="1"/>
    <x v="17"/>
    <x v="4"/>
    <x v="2"/>
    <n v="-72.28"/>
  </r>
  <r>
    <x v="25"/>
    <s v="NZL"/>
    <x v="2"/>
    <x v="1"/>
    <x v="17"/>
    <x v="5"/>
    <x v="1"/>
    <n v="137.9"/>
  </r>
  <r>
    <x v="25"/>
    <s v="NZL"/>
    <x v="2"/>
    <x v="1"/>
    <x v="17"/>
    <x v="2"/>
    <x v="2"/>
    <n v="19.16"/>
  </r>
  <r>
    <x v="25"/>
    <s v="NZL"/>
    <x v="2"/>
    <x v="1"/>
    <x v="33"/>
    <x v="3"/>
    <x v="1"/>
    <n v="930.78"/>
  </r>
  <r>
    <x v="25"/>
    <s v="NZL"/>
    <x v="2"/>
    <x v="1"/>
    <x v="33"/>
    <x v="1"/>
    <x v="1"/>
    <n v="89.5"/>
  </r>
  <r>
    <x v="25"/>
    <s v="NZL"/>
    <x v="2"/>
    <x v="1"/>
    <x v="33"/>
    <x v="2"/>
    <x v="2"/>
    <n v="18.89"/>
  </r>
  <r>
    <x v="25"/>
    <s v="NZL"/>
    <x v="2"/>
    <x v="1"/>
    <x v="18"/>
    <x v="4"/>
    <x v="0"/>
    <n v="-8084.66"/>
  </r>
  <r>
    <x v="25"/>
    <s v="NZL"/>
    <x v="2"/>
    <x v="1"/>
    <x v="18"/>
    <x v="1"/>
    <x v="3"/>
    <n v="0"/>
  </r>
  <r>
    <x v="25"/>
    <s v="NZL"/>
    <x v="2"/>
    <x v="1"/>
    <x v="19"/>
    <x v="6"/>
    <x v="1"/>
    <n v="8618.66"/>
  </r>
  <r>
    <x v="25"/>
    <s v="NZL"/>
    <x v="2"/>
    <x v="1"/>
    <x v="19"/>
    <x v="6"/>
    <x v="3"/>
    <n v="0"/>
  </r>
  <r>
    <x v="25"/>
    <s v="NZL"/>
    <x v="2"/>
    <x v="1"/>
    <x v="19"/>
    <x v="3"/>
    <x v="3"/>
    <n v="881.4"/>
  </r>
  <r>
    <x v="25"/>
    <s v="NZL"/>
    <x v="2"/>
    <x v="1"/>
    <x v="19"/>
    <x v="4"/>
    <x v="2"/>
    <n v="-79.33"/>
  </r>
  <r>
    <x v="25"/>
    <s v="NZL"/>
    <x v="2"/>
    <x v="1"/>
    <x v="20"/>
    <x v="6"/>
    <x v="1"/>
    <n v="9265.15"/>
  </r>
  <r>
    <x v="25"/>
    <s v="NZL"/>
    <x v="2"/>
    <x v="1"/>
    <x v="20"/>
    <x v="6"/>
    <x v="0"/>
    <n v="1252.28"/>
  </r>
  <r>
    <x v="25"/>
    <s v="NZL"/>
    <x v="2"/>
    <x v="1"/>
    <x v="20"/>
    <x v="4"/>
    <x v="1"/>
    <n v="-73.06"/>
  </r>
  <r>
    <x v="25"/>
    <s v="NZL"/>
    <x v="2"/>
    <x v="1"/>
    <x v="20"/>
    <x v="5"/>
    <x v="1"/>
    <n v="129.47999999999999"/>
  </r>
  <r>
    <x v="25"/>
    <s v="NZL"/>
    <x v="2"/>
    <x v="1"/>
    <x v="20"/>
    <x v="2"/>
    <x v="1"/>
    <n v="297.60000000000002"/>
  </r>
  <r>
    <x v="25"/>
    <s v="NZL"/>
    <x v="2"/>
    <x v="1"/>
    <x v="20"/>
    <x v="2"/>
    <x v="2"/>
    <n v="19.57"/>
  </r>
  <r>
    <x v="25"/>
    <s v="NZL"/>
    <x v="2"/>
    <x v="1"/>
    <x v="21"/>
    <x v="0"/>
    <x v="3"/>
    <n v="0"/>
  </r>
  <r>
    <x v="25"/>
    <s v="NZL"/>
    <x v="2"/>
    <x v="1"/>
    <x v="21"/>
    <x v="4"/>
    <x v="1"/>
    <n v="-68.89"/>
  </r>
  <r>
    <x v="25"/>
    <s v="NZL"/>
    <x v="2"/>
    <x v="1"/>
    <x v="21"/>
    <x v="4"/>
    <x v="3"/>
    <n v="0"/>
  </r>
  <r>
    <x v="25"/>
    <s v="NZL"/>
    <x v="2"/>
    <x v="1"/>
    <x v="21"/>
    <x v="1"/>
    <x v="1"/>
    <n v="82.2"/>
  </r>
  <r>
    <x v="25"/>
    <s v="NZL"/>
    <x v="2"/>
    <x v="1"/>
    <x v="21"/>
    <x v="5"/>
    <x v="2"/>
    <n v="64.22"/>
  </r>
  <r>
    <x v="25"/>
    <s v="NZL"/>
    <x v="2"/>
    <x v="1"/>
    <x v="22"/>
    <x v="3"/>
    <x v="3"/>
    <n v="844.6"/>
  </r>
  <r>
    <x v="25"/>
    <s v="NZL"/>
    <x v="2"/>
    <x v="1"/>
    <x v="22"/>
    <x v="4"/>
    <x v="0"/>
    <n v="-7533.45"/>
  </r>
  <r>
    <x v="25"/>
    <s v="NZL"/>
    <x v="2"/>
    <x v="1"/>
    <x v="22"/>
    <x v="2"/>
    <x v="2"/>
    <n v="18.59"/>
  </r>
  <r>
    <x v="25"/>
    <s v="NZL"/>
    <x v="2"/>
    <x v="1"/>
    <x v="23"/>
    <x v="6"/>
    <x v="0"/>
    <n v="1240.43"/>
  </r>
  <r>
    <x v="25"/>
    <s v="NZL"/>
    <x v="2"/>
    <x v="1"/>
    <x v="24"/>
    <x v="3"/>
    <x v="3"/>
    <n v="833.36"/>
  </r>
  <r>
    <x v="25"/>
    <s v="NZL"/>
    <x v="2"/>
    <x v="1"/>
    <x v="24"/>
    <x v="3"/>
    <x v="2"/>
    <n v="822.25"/>
  </r>
  <r>
    <x v="25"/>
    <s v="NZL"/>
    <x v="2"/>
    <x v="1"/>
    <x v="24"/>
    <x v="4"/>
    <x v="2"/>
    <n v="-70.08"/>
  </r>
  <r>
    <x v="25"/>
    <s v="NZL"/>
    <x v="2"/>
    <x v="1"/>
    <x v="24"/>
    <x v="2"/>
    <x v="3"/>
    <n v="0"/>
  </r>
  <r>
    <x v="25"/>
    <s v="NZL"/>
    <x v="2"/>
    <x v="1"/>
    <x v="25"/>
    <x v="6"/>
    <x v="0"/>
    <n v="1205.9100000000001"/>
  </r>
  <r>
    <x v="25"/>
    <s v="NZL"/>
    <x v="2"/>
    <x v="1"/>
    <x v="25"/>
    <x v="1"/>
    <x v="2"/>
    <n v="49.31"/>
  </r>
  <r>
    <x v="25"/>
    <s v="NZL"/>
    <x v="2"/>
    <x v="1"/>
    <x v="26"/>
    <x v="0"/>
    <x v="2"/>
    <n v="223.67"/>
  </r>
  <r>
    <x v="25"/>
    <s v="NZL"/>
    <x v="2"/>
    <x v="1"/>
    <x v="26"/>
    <x v="4"/>
    <x v="1"/>
    <n v="-76.17"/>
  </r>
  <r>
    <x v="25"/>
    <s v="NZL"/>
    <x v="2"/>
    <x v="1"/>
    <x v="34"/>
    <x v="3"/>
    <x v="1"/>
    <n v="759.02"/>
  </r>
  <r>
    <x v="25"/>
    <s v="NZL"/>
    <x v="2"/>
    <x v="1"/>
    <x v="34"/>
    <x v="2"/>
    <x v="0"/>
    <n v="53.73"/>
  </r>
  <r>
    <x v="25"/>
    <s v="NZL"/>
    <x v="2"/>
    <x v="1"/>
    <x v="27"/>
    <x v="1"/>
    <x v="0"/>
    <n v="2120.06"/>
  </r>
  <r>
    <x v="25"/>
    <s v="NZL"/>
    <x v="2"/>
    <x v="1"/>
    <x v="28"/>
    <x v="6"/>
    <x v="2"/>
    <n v="1945.24"/>
  </r>
  <r>
    <x v="25"/>
    <s v="NZL"/>
    <x v="2"/>
    <x v="1"/>
    <x v="28"/>
    <x v="0"/>
    <x v="1"/>
    <n v="402.89"/>
  </r>
  <r>
    <x v="25"/>
    <s v="NZL"/>
    <x v="2"/>
    <x v="1"/>
    <x v="28"/>
    <x v="5"/>
    <x v="0"/>
    <n v="4845.78"/>
  </r>
  <r>
    <x v="25"/>
    <s v="NZL"/>
    <x v="2"/>
    <x v="1"/>
    <x v="28"/>
    <x v="5"/>
    <x v="3"/>
    <n v="0"/>
  </r>
  <r>
    <x v="25"/>
    <s v="NZL"/>
    <x v="2"/>
    <x v="1"/>
    <x v="29"/>
    <x v="6"/>
    <x v="0"/>
    <n v="928.14"/>
  </r>
  <r>
    <x v="25"/>
    <s v="NZL"/>
    <x v="2"/>
    <x v="1"/>
    <x v="29"/>
    <x v="3"/>
    <x v="2"/>
    <n v="720.2"/>
  </r>
  <r>
    <x v="25"/>
    <s v="NZL"/>
    <x v="2"/>
    <x v="1"/>
    <x v="29"/>
    <x v="4"/>
    <x v="3"/>
    <n v="0"/>
  </r>
  <r>
    <x v="25"/>
    <s v="NZL"/>
    <x v="2"/>
    <x v="1"/>
    <x v="29"/>
    <x v="4"/>
    <x v="2"/>
    <n v="-60.3"/>
  </r>
  <r>
    <x v="25"/>
    <s v="NZL"/>
    <x v="2"/>
    <x v="1"/>
    <x v="29"/>
    <x v="1"/>
    <x v="2"/>
    <n v="41.11"/>
  </r>
  <r>
    <x v="25"/>
    <s v="NZL"/>
    <x v="2"/>
    <x v="1"/>
    <x v="29"/>
    <x v="5"/>
    <x v="1"/>
    <n v="99.15"/>
  </r>
  <r>
    <x v="25"/>
    <s v="NZL"/>
    <x v="2"/>
    <x v="1"/>
    <x v="29"/>
    <x v="5"/>
    <x v="3"/>
    <n v="0"/>
  </r>
  <r>
    <x v="25"/>
    <s v="NZL"/>
    <x v="2"/>
    <x v="1"/>
    <x v="29"/>
    <x v="5"/>
    <x v="2"/>
    <n v="50.13"/>
  </r>
  <r>
    <x v="25"/>
    <s v="NZL"/>
    <x v="2"/>
    <x v="1"/>
    <x v="29"/>
    <x v="2"/>
    <x v="1"/>
    <n v="251.61"/>
  </r>
  <r>
    <x v="25"/>
    <s v="NZL"/>
    <x v="2"/>
    <x v="1"/>
    <x v="30"/>
    <x v="6"/>
    <x v="2"/>
    <n v="1894.39"/>
  </r>
  <r>
    <x v="25"/>
    <s v="NZL"/>
    <x v="2"/>
    <x v="1"/>
    <x v="30"/>
    <x v="0"/>
    <x v="1"/>
    <n v="431.05"/>
  </r>
  <r>
    <x v="25"/>
    <s v="NZL"/>
    <x v="2"/>
    <x v="1"/>
    <x v="30"/>
    <x v="4"/>
    <x v="3"/>
    <n v="0"/>
  </r>
  <r>
    <x v="25"/>
    <s v="NZL"/>
    <x v="2"/>
    <x v="1"/>
    <x v="30"/>
    <x v="5"/>
    <x v="0"/>
    <n v="4491.91"/>
  </r>
  <r>
    <x v="25"/>
    <s v="NZL"/>
    <x v="2"/>
    <x v="1"/>
    <x v="31"/>
    <x v="6"/>
    <x v="2"/>
    <n v="1987.02"/>
  </r>
  <r>
    <x v="25"/>
    <s v="NZL"/>
    <x v="2"/>
    <x v="1"/>
    <x v="31"/>
    <x v="5"/>
    <x v="2"/>
    <n v="53.11"/>
  </r>
  <r>
    <x v="25"/>
    <s v="NZL"/>
    <x v="2"/>
    <x v="1"/>
    <x v="32"/>
    <x v="0"/>
    <x v="2"/>
    <n v="167.43"/>
  </r>
  <r>
    <x v="25"/>
    <s v="NZL"/>
    <x v="2"/>
    <x v="1"/>
    <x v="32"/>
    <x v="3"/>
    <x v="0"/>
    <n v="10860.07"/>
  </r>
  <r>
    <x v="25"/>
    <s v="NZL"/>
    <x v="2"/>
    <x v="1"/>
    <x v="32"/>
    <x v="3"/>
    <x v="2"/>
    <n v="607.74"/>
  </r>
  <r>
    <x v="25"/>
    <s v="NZL"/>
    <x v="2"/>
    <x v="1"/>
    <x v="32"/>
    <x v="2"/>
    <x v="3"/>
    <n v="0"/>
  </r>
  <r>
    <x v="26"/>
    <s v="NGA"/>
    <x v="0"/>
    <x v="2"/>
    <x v="0"/>
    <x v="3"/>
    <x v="2"/>
    <n v="20425.419999999998"/>
  </r>
  <r>
    <x v="26"/>
    <s v="NGA"/>
    <x v="0"/>
    <x v="2"/>
    <x v="0"/>
    <x v="4"/>
    <x v="3"/>
    <n v="0"/>
  </r>
  <r>
    <x v="26"/>
    <s v="NGA"/>
    <x v="0"/>
    <x v="2"/>
    <x v="0"/>
    <x v="1"/>
    <x v="3"/>
    <n v="0"/>
  </r>
  <r>
    <x v="26"/>
    <s v="NGA"/>
    <x v="0"/>
    <x v="2"/>
    <x v="0"/>
    <x v="1"/>
    <x v="2"/>
    <n v="709.51"/>
  </r>
  <r>
    <x v="26"/>
    <s v="NGA"/>
    <x v="0"/>
    <x v="2"/>
    <x v="1"/>
    <x v="6"/>
    <x v="1"/>
    <n v="193339.47"/>
  </r>
  <r>
    <x v="26"/>
    <s v="NGA"/>
    <x v="0"/>
    <x v="2"/>
    <x v="1"/>
    <x v="0"/>
    <x v="3"/>
    <n v="0"/>
  </r>
  <r>
    <x v="26"/>
    <s v="NGA"/>
    <x v="0"/>
    <x v="2"/>
    <x v="1"/>
    <x v="5"/>
    <x v="0"/>
    <n v="205694.36"/>
  </r>
  <r>
    <x v="26"/>
    <s v="NGA"/>
    <x v="0"/>
    <x v="2"/>
    <x v="1"/>
    <x v="2"/>
    <x v="2"/>
    <n v="1681.83"/>
  </r>
  <r>
    <x v="26"/>
    <s v="NGA"/>
    <x v="0"/>
    <x v="2"/>
    <x v="2"/>
    <x v="6"/>
    <x v="2"/>
    <n v="51384.49"/>
  </r>
  <r>
    <x v="26"/>
    <s v="NGA"/>
    <x v="0"/>
    <x v="2"/>
    <x v="2"/>
    <x v="3"/>
    <x v="3"/>
    <n v="19671.46"/>
  </r>
  <r>
    <x v="26"/>
    <s v="NGA"/>
    <x v="0"/>
    <x v="2"/>
    <x v="2"/>
    <x v="4"/>
    <x v="2"/>
    <n v="993.55"/>
  </r>
  <r>
    <x v="26"/>
    <s v="NGA"/>
    <x v="0"/>
    <x v="2"/>
    <x v="2"/>
    <x v="2"/>
    <x v="0"/>
    <n v="5081.04"/>
  </r>
  <r>
    <x v="26"/>
    <s v="NGA"/>
    <x v="0"/>
    <x v="2"/>
    <x v="3"/>
    <x v="6"/>
    <x v="0"/>
    <n v="27513.39"/>
  </r>
  <r>
    <x v="26"/>
    <s v="NGA"/>
    <x v="0"/>
    <x v="2"/>
    <x v="3"/>
    <x v="2"/>
    <x v="2"/>
    <n v="1781.91"/>
  </r>
  <r>
    <x v="26"/>
    <s v="NGA"/>
    <x v="0"/>
    <x v="2"/>
    <x v="4"/>
    <x v="4"/>
    <x v="1"/>
    <n v="1203.97"/>
  </r>
  <r>
    <x v="26"/>
    <s v="NGA"/>
    <x v="0"/>
    <x v="2"/>
    <x v="5"/>
    <x v="0"/>
    <x v="2"/>
    <n v="3818.15"/>
  </r>
  <r>
    <x v="26"/>
    <s v="NGA"/>
    <x v="0"/>
    <x v="2"/>
    <x v="5"/>
    <x v="1"/>
    <x v="3"/>
    <n v="0"/>
  </r>
  <r>
    <x v="26"/>
    <s v="NGA"/>
    <x v="0"/>
    <x v="2"/>
    <x v="5"/>
    <x v="1"/>
    <x v="2"/>
    <n v="834.15"/>
  </r>
  <r>
    <x v="26"/>
    <s v="NGA"/>
    <x v="0"/>
    <x v="2"/>
    <x v="5"/>
    <x v="5"/>
    <x v="2"/>
    <n v="2177.42"/>
  </r>
  <r>
    <x v="26"/>
    <s v="NGA"/>
    <x v="0"/>
    <x v="2"/>
    <x v="6"/>
    <x v="0"/>
    <x v="0"/>
    <n v="105552.14"/>
  </r>
  <r>
    <x v="26"/>
    <s v="NGA"/>
    <x v="0"/>
    <x v="2"/>
    <x v="6"/>
    <x v="0"/>
    <x v="3"/>
    <n v="0"/>
  </r>
  <r>
    <x v="26"/>
    <s v="NGA"/>
    <x v="0"/>
    <x v="2"/>
    <x v="6"/>
    <x v="1"/>
    <x v="3"/>
    <n v="0"/>
  </r>
  <r>
    <x v="26"/>
    <s v="NGA"/>
    <x v="0"/>
    <x v="2"/>
    <x v="7"/>
    <x v="6"/>
    <x v="0"/>
    <n v="23559.03"/>
  </r>
  <r>
    <x v="26"/>
    <s v="NGA"/>
    <x v="0"/>
    <x v="2"/>
    <x v="7"/>
    <x v="3"/>
    <x v="2"/>
    <n v="19666.900000000001"/>
  </r>
  <r>
    <x v="26"/>
    <s v="NGA"/>
    <x v="0"/>
    <x v="2"/>
    <x v="7"/>
    <x v="5"/>
    <x v="3"/>
    <n v="0"/>
  </r>
  <r>
    <x v="26"/>
    <s v="NGA"/>
    <x v="0"/>
    <x v="2"/>
    <x v="8"/>
    <x v="0"/>
    <x v="1"/>
    <n v="9259.5"/>
  </r>
  <r>
    <x v="26"/>
    <s v="NGA"/>
    <x v="0"/>
    <x v="2"/>
    <x v="8"/>
    <x v="0"/>
    <x v="0"/>
    <n v="128583.91"/>
  </r>
  <r>
    <x v="26"/>
    <s v="NGA"/>
    <x v="0"/>
    <x v="2"/>
    <x v="8"/>
    <x v="3"/>
    <x v="3"/>
    <n v="25521.78"/>
  </r>
  <r>
    <x v="26"/>
    <s v="NGA"/>
    <x v="0"/>
    <x v="2"/>
    <x v="8"/>
    <x v="2"/>
    <x v="3"/>
    <n v="0"/>
  </r>
  <r>
    <x v="26"/>
    <s v="NGA"/>
    <x v="0"/>
    <x v="2"/>
    <x v="9"/>
    <x v="6"/>
    <x v="0"/>
    <n v="28219.31"/>
  </r>
  <r>
    <x v="26"/>
    <s v="NGA"/>
    <x v="0"/>
    <x v="2"/>
    <x v="9"/>
    <x v="6"/>
    <x v="2"/>
    <n v="51659.95"/>
  </r>
  <r>
    <x v="26"/>
    <s v="NGA"/>
    <x v="0"/>
    <x v="2"/>
    <x v="9"/>
    <x v="0"/>
    <x v="0"/>
    <n v="122507.05"/>
  </r>
  <r>
    <x v="26"/>
    <s v="NGA"/>
    <x v="0"/>
    <x v="2"/>
    <x v="9"/>
    <x v="2"/>
    <x v="1"/>
    <n v="30817.66"/>
  </r>
  <r>
    <x v="26"/>
    <s v="NGA"/>
    <x v="0"/>
    <x v="2"/>
    <x v="10"/>
    <x v="0"/>
    <x v="3"/>
    <n v="0"/>
  </r>
  <r>
    <x v="26"/>
    <s v="NGA"/>
    <x v="0"/>
    <x v="2"/>
    <x v="10"/>
    <x v="5"/>
    <x v="3"/>
    <n v="0"/>
  </r>
  <r>
    <x v="26"/>
    <s v="NGA"/>
    <x v="0"/>
    <x v="2"/>
    <x v="10"/>
    <x v="2"/>
    <x v="0"/>
    <n v="5982.92"/>
  </r>
  <r>
    <x v="26"/>
    <s v="NGA"/>
    <x v="0"/>
    <x v="2"/>
    <x v="10"/>
    <x v="2"/>
    <x v="3"/>
    <n v="0"/>
  </r>
  <r>
    <x v="26"/>
    <s v="NGA"/>
    <x v="0"/>
    <x v="2"/>
    <x v="11"/>
    <x v="0"/>
    <x v="0"/>
    <n v="126988.4"/>
  </r>
  <r>
    <x v="26"/>
    <s v="NGA"/>
    <x v="0"/>
    <x v="2"/>
    <x v="11"/>
    <x v="3"/>
    <x v="0"/>
    <n v="432637.51"/>
  </r>
  <r>
    <x v="26"/>
    <s v="NGA"/>
    <x v="0"/>
    <x v="2"/>
    <x v="11"/>
    <x v="2"/>
    <x v="2"/>
    <n v="2025.18"/>
  </r>
  <r>
    <x v="26"/>
    <s v="NGA"/>
    <x v="0"/>
    <x v="2"/>
    <x v="12"/>
    <x v="0"/>
    <x v="1"/>
    <n v="9280.9"/>
  </r>
  <r>
    <x v="26"/>
    <s v="NGA"/>
    <x v="0"/>
    <x v="2"/>
    <x v="12"/>
    <x v="3"/>
    <x v="3"/>
    <n v="26494.01"/>
  </r>
  <r>
    <x v="26"/>
    <s v="NGA"/>
    <x v="0"/>
    <x v="2"/>
    <x v="13"/>
    <x v="0"/>
    <x v="3"/>
    <n v="0"/>
  </r>
  <r>
    <x v="26"/>
    <s v="NGA"/>
    <x v="0"/>
    <x v="2"/>
    <x v="13"/>
    <x v="3"/>
    <x v="0"/>
    <n v="440320.52"/>
  </r>
  <r>
    <x v="26"/>
    <s v="NGA"/>
    <x v="0"/>
    <x v="2"/>
    <x v="13"/>
    <x v="3"/>
    <x v="3"/>
    <n v="27987.61"/>
  </r>
  <r>
    <x v="26"/>
    <s v="NGA"/>
    <x v="0"/>
    <x v="2"/>
    <x v="13"/>
    <x v="1"/>
    <x v="2"/>
    <n v="905.82"/>
  </r>
  <r>
    <x v="26"/>
    <s v="NGA"/>
    <x v="0"/>
    <x v="2"/>
    <x v="13"/>
    <x v="5"/>
    <x v="1"/>
    <n v="4793.4399999999996"/>
  </r>
  <r>
    <x v="26"/>
    <s v="NGA"/>
    <x v="0"/>
    <x v="2"/>
    <x v="14"/>
    <x v="6"/>
    <x v="0"/>
    <n v="28055.85"/>
  </r>
  <r>
    <x v="26"/>
    <s v="NGA"/>
    <x v="0"/>
    <x v="2"/>
    <x v="14"/>
    <x v="0"/>
    <x v="3"/>
    <n v="0"/>
  </r>
  <r>
    <x v="26"/>
    <s v="NGA"/>
    <x v="0"/>
    <x v="2"/>
    <x v="14"/>
    <x v="3"/>
    <x v="2"/>
    <n v="27267.96"/>
  </r>
  <r>
    <x v="26"/>
    <s v="NGA"/>
    <x v="0"/>
    <x v="2"/>
    <x v="14"/>
    <x v="4"/>
    <x v="2"/>
    <n v="1354.28"/>
  </r>
  <r>
    <x v="26"/>
    <s v="NGA"/>
    <x v="0"/>
    <x v="2"/>
    <x v="14"/>
    <x v="1"/>
    <x v="1"/>
    <n v="1497.23"/>
  </r>
  <r>
    <x v="26"/>
    <s v="NGA"/>
    <x v="0"/>
    <x v="2"/>
    <x v="14"/>
    <x v="2"/>
    <x v="0"/>
    <n v="6353.22"/>
  </r>
  <r>
    <x v="26"/>
    <s v="NGA"/>
    <x v="0"/>
    <x v="2"/>
    <x v="15"/>
    <x v="4"/>
    <x v="2"/>
    <n v="1059.24"/>
  </r>
  <r>
    <x v="26"/>
    <s v="NGA"/>
    <x v="0"/>
    <x v="2"/>
    <x v="15"/>
    <x v="1"/>
    <x v="3"/>
    <n v="0"/>
  </r>
  <r>
    <x v="26"/>
    <s v="NGA"/>
    <x v="0"/>
    <x v="2"/>
    <x v="16"/>
    <x v="4"/>
    <x v="1"/>
    <n v="1230.57"/>
  </r>
  <r>
    <x v="26"/>
    <s v="NGA"/>
    <x v="0"/>
    <x v="2"/>
    <x v="16"/>
    <x v="2"/>
    <x v="0"/>
    <n v="5583.82"/>
  </r>
  <r>
    <x v="26"/>
    <s v="NGA"/>
    <x v="0"/>
    <x v="2"/>
    <x v="17"/>
    <x v="6"/>
    <x v="0"/>
    <n v="30292.66"/>
  </r>
  <r>
    <x v="26"/>
    <s v="NGA"/>
    <x v="0"/>
    <x v="2"/>
    <x v="17"/>
    <x v="4"/>
    <x v="1"/>
    <n v="1133.24"/>
  </r>
  <r>
    <x v="26"/>
    <s v="NGA"/>
    <x v="0"/>
    <x v="2"/>
    <x v="17"/>
    <x v="2"/>
    <x v="3"/>
    <n v="0"/>
  </r>
  <r>
    <x v="26"/>
    <s v="NGA"/>
    <x v="0"/>
    <x v="2"/>
    <x v="18"/>
    <x v="3"/>
    <x v="1"/>
    <n v="25596.26"/>
  </r>
  <r>
    <x v="26"/>
    <s v="NGA"/>
    <x v="0"/>
    <x v="2"/>
    <x v="19"/>
    <x v="4"/>
    <x v="2"/>
    <n v="1341.99"/>
  </r>
  <r>
    <x v="26"/>
    <s v="NGA"/>
    <x v="0"/>
    <x v="2"/>
    <x v="19"/>
    <x v="5"/>
    <x v="0"/>
    <n v="220492.84"/>
  </r>
  <r>
    <x v="26"/>
    <s v="NGA"/>
    <x v="0"/>
    <x v="2"/>
    <x v="19"/>
    <x v="2"/>
    <x v="3"/>
    <n v="0"/>
  </r>
  <r>
    <x v="26"/>
    <s v="NGA"/>
    <x v="0"/>
    <x v="2"/>
    <x v="20"/>
    <x v="0"/>
    <x v="1"/>
    <n v="9885.59"/>
  </r>
  <r>
    <x v="26"/>
    <s v="NGA"/>
    <x v="0"/>
    <x v="2"/>
    <x v="21"/>
    <x v="1"/>
    <x v="1"/>
    <n v="1432.49"/>
  </r>
  <r>
    <x v="26"/>
    <s v="NGA"/>
    <x v="0"/>
    <x v="2"/>
    <x v="21"/>
    <x v="1"/>
    <x v="0"/>
    <n v="44136.5"/>
  </r>
  <r>
    <x v="26"/>
    <s v="NGA"/>
    <x v="0"/>
    <x v="2"/>
    <x v="21"/>
    <x v="5"/>
    <x v="2"/>
    <n v="2460.27"/>
  </r>
  <r>
    <x v="26"/>
    <s v="NGA"/>
    <x v="0"/>
    <x v="2"/>
    <x v="21"/>
    <x v="2"/>
    <x v="2"/>
    <n v="2165.0500000000002"/>
  </r>
  <r>
    <x v="26"/>
    <s v="NGA"/>
    <x v="0"/>
    <x v="2"/>
    <x v="22"/>
    <x v="3"/>
    <x v="0"/>
    <n v="464017.88"/>
  </r>
  <r>
    <x v="26"/>
    <s v="NGA"/>
    <x v="0"/>
    <x v="2"/>
    <x v="22"/>
    <x v="5"/>
    <x v="1"/>
    <n v="4813.76"/>
  </r>
  <r>
    <x v="26"/>
    <s v="NGA"/>
    <x v="0"/>
    <x v="2"/>
    <x v="22"/>
    <x v="5"/>
    <x v="0"/>
    <n v="219806.19"/>
  </r>
  <r>
    <x v="26"/>
    <s v="NGA"/>
    <x v="0"/>
    <x v="2"/>
    <x v="23"/>
    <x v="3"/>
    <x v="1"/>
    <n v="27517.17"/>
  </r>
  <r>
    <x v="26"/>
    <s v="NGA"/>
    <x v="0"/>
    <x v="2"/>
    <x v="23"/>
    <x v="2"/>
    <x v="2"/>
    <n v="2321.5300000000002"/>
  </r>
  <r>
    <x v="26"/>
    <s v="NGA"/>
    <x v="0"/>
    <x v="2"/>
    <x v="24"/>
    <x v="5"/>
    <x v="1"/>
    <n v="4807.72"/>
  </r>
  <r>
    <x v="26"/>
    <s v="NGA"/>
    <x v="0"/>
    <x v="2"/>
    <x v="24"/>
    <x v="5"/>
    <x v="2"/>
    <n v="2295.41"/>
  </r>
  <r>
    <x v="26"/>
    <s v="NGA"/>
    <x v="0"/>
    <x v="2"/>
    <x v="24"/>
    <x v="2"/>
    <x v="0"/>
    <n v="6014.58"/>
  </r>
  <r>
    <x v="26"/>
    <s v="NGA"/>
    <x v="0"/>
    <x v="2"/>
    <x v="25"/>
    <x v="4"/>
    <x v="2"/>
    <n v="1362.79"/>
  </r>
  <r>
    <x v="26"/>
    <s v="NGA"/>
    <x v="0"/>
    <x v="2"/>
    <x v="26"/>
    <x v="6"/>
    <x v="1"/>
    <n v="228487.02"/>
  </r>
  <r>
    <x v="26"/>
    <s v="NGA"/>
    <x v="0"/>
    <x v="2"/>
    <x v="26"/>
    <x v="0"/>
    <x v="1"/>
    <n v="10799.8"/>
  </r>
  <r>
    <x v="26"/>
    <s v="NGA"/>
    <x v="0"/>
    <x v="2"/>
    <x v="26"/>
    <x v="0"/>
    <x v="3"/>
    <n v="0"/>
  </r>
  <r>
    <x v="26"/>
    <s v="NGA"/>
    <x v="0"/>
    <x v="2"/>
    <x v="26"/>
    <x v="3"/>
    <x v="1"/>
    <n v="24628.49"/>
  </r>
  <r>
    <x v="26"/>
    <s v="NGA"/>
    <x v="0"/>
    <x v="2"/>
    <x v="26"/>
    <x v="3"/>
    <x v="3"/>
    <n v="24779.48"/>
  </r>
  <r>
    <x v="26"/>
    <s v="NGA"/>
    <x v="0"/>
    <x v="2"/>
    <x v="26"/>
    <x v="4"/>
    <x v="3"/>
    <n v="0"/>
  </r>
  <r>
    <x v="26"/>
    <s v="NGA"/>
    <x v="0"/>
    <x v="2"/>
    <x v="26"/>
    <x v="1"/>
    <x v="3"/>
    <n v="0"/>
  </r>
  <r>
    <x v="26"/>
    <s v="NGA"/>
    <x v="0"/>
    <x v="2"/>
    <x v="26"/>
    <x v="2"/>
    <x v="3"/>
    <n v="0"/>
  </r>
  <r>
    <x v="26"/>
    <s v="NGA"/>
    <x v="0"/>
    <x v="2"/>
    <x v="34"/>
    <x v="2"/>
    <x v="0"/>
    <n v="6617.31"/>
  </r>
  <r>
    <x v="26"/>
    <s v="NGA"/>
    <x v="0"/>
    <x v="2"/>
    <x v="27"/>
    <x v="0"/>
    <x v="2"/>
    <n v="4611.46"/>
  </r>
  <r>
    <x v="26"/>
    <s v="NGA"/>
    <x v="0"/>
    <x v="2"/>
    <x v="27"/>
    <x v="1"/>
    <x v="0"/>
    <n v="48530.84"/>
  </r>
  <r>
    <x v="26"/>
    <s v="NGA"/>
    <x v="0"/>
    <x v="2"/>
    <x v="28"/>
    <x v="6"/>
    <x v="0"/>
    <n v="34225.39"/>
  </r>
  <r>
    <x v="26"/>
    <s v="NGA"/>
    <x v="0"/>
    <x v="2"/>
    <x v="28"/>
    <x v="0"/>
    <x v="1"/>
    <n v="10464.209999999999"/>
  </r>
  <r>
    <x v="26"/>
    <s v="NGA"/>
    <x v="0"/>
    <x v="2"/>
    <x v="28"/>
    <x v="3"/>
    <x v="1"/>
    <n v="26995.5"/>
  </r>
  <r>
    <x v="26"/>
    <s v="NGA"/>
    <x v="0"/>
    <x v="2"/>
    <x v="28"/>
    <x v="3"/>
    <x v="0"/>
    <n v="471140.07"/>
  </r>
  <r>
    <x v="26"/>
    <s v="NGA"/>
    <x v="0"/>
    <x v="2"/>
    <x v="28"/>
    <x v="4"/>
    <x v="3"/>
    <n v="0"/>
  </r>
  <r>
    <x v="26"/>
    <s v="NGA"/>
    <x v="0"/>
    <x v="2"/>
    <x v="28"/>
    <x v="5"/>
    <x v="0"/>
    <n v="237031.19"/>
  </r>
  <r>
    <x v="26"/>
    <s v="NGA"/>
    <x v="0"/>
    <x v="2"/>
    <x v="28"/>
    <x v="2"/>
    <x v="0"/>
    <n v="5979.18"/>
  </r>
  <r>
    <x v="26"/>
    <s v="NGA"/>
    <x v="0"/>
    <x v="2"/>
    <x v="29"/>
    <x v="6"/>
    <x v="0"/>
    <n v="35864.589999999997"/>
  </r>
  <r>
    <x v="26"/>
    <s v="NGA"/>
    <x v="0"/>
    <x v="2"/>
    <x v="29"/>
    <x v="5"/>
    <x v="1"/>
    <n v="5919.78"/>
  </r>
  <r>
    <x v="26"/>
    <s v="NGA"/>
    <x v="0"/>
    <x v="2"/>
    <x v="30"/>
    <x v="6"/>
    <x v="3"/>
    <n v="0"/>
  </r>
  <r>
    <x v="26"/>
    <s v="NGA"/>
    <x v="0"/>
    <x v="2"/>
    <x v="30"/>
    <x v="0"/>
    <x v="3"/>
    <n v="0"/>
  </r>
  <r>
    <x v="26"/>
    <s v="NGA"/>
    <x v="0"/>
    <x v="2"/>
    <x v="30"/>
    <x v="1"/>
    <x v="1"/>
    <n v="1626.37"/>
  </r>
  <r>
    <x v="26"/>
    <s v="NGA"/>
    <x v="0"/>
    <x v="2"/>
    <x v="30"/>
    <x v="2"/>
    <x v="0"/>
    <n v="6997.65"/>
  </r>
  <r>
    <x v="26"/>
    <s v="NGA"/>
    <x v="0"/>
    <x v="2"/>
    <x v="31"/>
    <x v="3"/>
    <x v="1"/>
    <n v="29462.7"/>
  </r>
  <r>
    <x v="26"/>
    <s v="NGA"/>
    <x v="0"/>
    <x v="2"/>
    <x v="31"/>
    <x v="3"/>
    <x v="0"/>
    <n v="514747.66"/>
  </r>
  <r>
    <x v="26"/>
    <s v="NGA"/>
    <x v="0"/>
    <x v="2"/>
    <x v="31"/>
    <x v="3"/>
    <x v="3"/>
    <n v="29570.32"/>
  </r>
  <r>
    <x v="26"/>
    <s v="NGA"/>
    <x v="0"/>
    <x v="2"/>
    <x v="31"/>
    <x v="1"/>
    <x v="3"/>
    <n v="0"/>
  </r>
  <r>
    <x v="26"/>
    <s v="NGA"/>
    <x v="0"/>
    <x v="2"/>
    <x v="31"/>
    <x v="2"/>
    <x v="1"/>
    <n v="35827.69"/>
  </r>
  <r>
    <x v="26"/>
    <s v="NGA"/>
    <x v="0"/>
    <x v="2"/>
    <x v="32"/>
    <x v="3"/>
    <x v="1"/>
    <n v="30703.18"/>
  </r>
  <r>
    <x v="26"/>
    <s v="NGA"/>
    <x v="0"/>
    <x v="2"/>
    <x v="32"/>
    <x v="1"/>
    <x v="0"/>
    <n v="52971.39"/>
  </r>
  <r>
    <x v="26"/>
    <s v="NGA"/>
    <x v="0"/>
    <x v="2"/>
    <x v="32"/>
    <x v="2"/>
    <x v="3"/>
    <n v="0"/>
  </r>
  <r>
    <x v="27"/>
    <s v="NOR"/>
    <x v="4"/>
    <x v="1"/>
    <x v="0"/>
    <x v="6"/>
    <x v="2"/>
    <n v="12621.39"/>
  </r>
  <r>
    <x v="27"/>
    <s v="NOR"/>
    <x v="4"/>
    <x v="1"/>
    <x v="0"/>
    <x v="1"/>
    <x v="0"/>
    <n v="130114.86"/>
  </r>
  <r>
    <x v="27"/>
    <s v="NOR"/>
    <x v="4"/>
    <x v="1"/>
    <x v="0"/>
    <x v="5"/>
    <x v="3"/>
    <n v="0"/>
  </r>
  <r>
    <x v="27"/>
    <s v="NOR"/>
    <x v="4"/>
    <x v="1"/>
    <x v="1"/>
    <x v="0"/>
    <x v="0"/>
    <n v="80343.289999999994"/>
  </r>
  <r>
    <x v="27"/>
    <s v="NOR"/>
    <x v="4"/>
    <x v="1"/>
    <x v="2"/>
    <x v="6"/>
    <x v="2"/>
    <n v="11659.61"/>
  </r>
  <r>
    <x v="27"/>
    <s v="NOR"/>
    <x v="4"/>
    <x v="1"/>
    <x v="3"/>
    <x v="3"/>
    <x v="0"/>
    <n v="98855.13"/>
  </r>
  <r>
    <x v="27"/>
    <s v="NOR"/>
    <x v="4"/>
    <x v="1"/>
    <x v="3"/>
    <x v="4"/>
    <x v="3"/>
    <n v="0"/>
  </r>
  <r>
    <x v="27"/>
    <s v="NOR"/>
    <x v="4"/>
    <x v="1"/>
    <x v="3"/>
    <x v="1"/>
    <x v="3"/>
    <n v="0"/>
  </r>
  <r>
    <x v="27"/>
    <s v="NOR"/>
    <x v="4"/>
    <x v="1"/>
    <x v="4"/>
    <x v="3"/>
    <x v="2"/>
    <n v="5347.02"/>
  </r>
  <r>
    <x v="27"/>
    <s v="NOR"/>
    <x v="4"/>
    <x v="1"/>
    <x v="5"/>
    <x v="5"/>
    <x v="3"/>
    <n v="0"/>
  </r>
  <r>
    <x v="27"/>
    <s v="NOR"/>
    <x v="4"/>
    <x v="1"/>
    <x v="5"/>
    <x v="2"/>
    <x v="2"/>
    <n v="971.17"/>
  </r>
  <r>
    <x v="27"/>
    <s v="NOR"/>
    <x v="4"/>
    <x v="1"/>
    <x v="6"/>
    <x v="4"/>
    <x v="2"/>
    <n v="31.04"/>
  </r>
  <r>
    <x v="27"/>
    <s v="NOR"/>
    <x v="4"/>
    <x v="1"/>
    <x v="6"/>
    <x v="1"/>
    <x v="1"/>
    <n v="3780.11"/>
  </r>
  <r>
    <x v="27"/>
    <s v="NOR"/>
    <x v="4"/>
    <x v="1"/>
    <x v="6"/>
    <x v="1"/>
    <x v="0"/>
    <n v="123402.51"/>
  </r>
  <r>
    <x v="27"/>
    <s v="NOR"/>
    <x v="4"/>
    <x v="1"/>
    <x v="6"/>
    <x v="5"/>
    <x v="0"/>
    <n v="86144.02"/>
  </r>
  <r>
    <x v="27"/>
    <s v="NOR"/>
    <x v="4"/>
    <x v="1"/>
    <x v="6"/>
    <x v="2"/>
    <x v="1"/>
    <n v="15340.27"/>
  </r>
  <r>
    <x v="27"/>
    <s v="NOR"/>
    <x v="4"/>
    <x v="1"/>
    <x v="6"/>
    <x v="2"/>
    <x v="3"/>
    <n v="0"/>
  </r>
  <r>
    <x v="27"/>
    <s v="NOR"/>
    <x v="4"/>
    <x v="1"/>
    <x v="7"/>
    <x v="3"/>
    <x v="2"/>
    <n v="6411.97"/>
  </r>
  <r>
    <x v="27"/>
    <s v="NOR"/>
    <x v="4"/>
    <x v="1"/>
    <x v="7"/>
    <x v="4"/>
    <x v="2"/>
    <n v="33.68"/>
  </r>
  <r>
    <x v="27"/>
    <s v="NOR"/>
    <x v="4"/>
    <x v="1"/>
    <x v="8"/>
    <x v="0"/>
    <x v="2"/>
    <n v="2877.25"/>
  </r>
  <r>
    <x v="27"/>
    <s v="NOR"/>
    <x v="4"/>
    <x v="1"/>
    <x v="8"/>
    <x v="5"/>
    <x v="3"/>
    <n v="0"/>
  </r>
  <r>
    <x v="27"/>
    <s v="NOR"/>
    <x v="4"/>
    <x v="1"/>
    <x v="8"/>
    <x v="2"/>
    <x v="1"/>
    <n v="16660.02"/>
  </r>
  <r>
    <x v="27"/>
    <s v="NOR"/>
    <x v="4"/>
    <x v="1"/>
    <x v="9"/>
    <x v="6"/>
    <x v="1"/>
    <n v="43014.559999999998"/>
  </r>
  <r>
    <x v="27"/>
    <s v="NOR"/>
    <x v="4"/>
    <x v="1"/>
    <x v="9"/>
    <x v="3"/>
    <x v="0"/>
    <n v="99511.1"/>
  </r>
  <r>
    <x v="27"/>
    <s v="NOR"/>
    <x v="4"/>
    <x v="1"/>
    <x v="9"/>
    <x v="5"/>
    <x v="2"/>
    <n v="999.67"/>
  </r>
  <r>
    <x v="27"/>
    <s v="NOR"/>
    <x v="4"/>
    <x v="1"/>
    <x v="9"/>
    <x v="2"/>
    <x v="1"/>
    <n v="16237.05"/>
  </r>
  <r>
    <x v="27"/>
    <s v="NOR"/>
    <x v="4"/>
    <x v="1"/>
    <x v="10"/>
    <x v="0"/>
    <x v="2"/>
    <n v="3044.71"/>
  </r>
  <r>
    <x v="27"/>
    <s v="NOR"/>
    <x v="4"/>
    <x v="1"/>
    <x v="11"/>
    <x v="5"/>
    <x v="2"/>
    <n v="888.29"/>
  </r>
  <r>
    <x v="27"/>
    <s v="NOR"/>
    <x v="4"/>
    <x v="1"/>
    <x v="12"/>
    <x v="1"/>
    <x v="1"/>
    <n v="4300.12"/>
  </r>
  <r>
    <x v="27"/>
    <s v="NOR"/>
    <x v="4"/>
    <x v="1"/>
    <x v="12"/>
    <x v="5"/>
    <x v="0"/>
    <n v="98420.59"/>
  </r>
  <r>
    <x v="27"/>
    <s v="NOR"/>
    <x v="4"/>
    <x v="1"/>
    <x v="12"/>
    <x v="2"/>
    <x v="2"/>
    <n v="1000.19"/>
  </r>
  <r>
    <x v="27"/>
    <s v="NOR"/>
    <x v="4"/>
    <x v="1"/>
    <x v="13"/>
    <x v="6"/>
    <x v="0"/>
    <n v="6023.45"/>
  </r>
  <r>
    <x v="27"/>
    <s v="NOR"/>
    <x v="4"/>
    <x v="1"/>
    <x v="13"/>
    <x v="3"/>
    <x v="0"/>
    <n v="91843.88"/>
  </r>
  <r>
    <x v="27"/>
    <s v="NOR"/>
    <x v="4"/>
    <x v="1"/>
    <x v="13"/>
    <x v="3"/>
    <x v="3"/>
    <n v="5357.63"/>
  </r>
  <r>
    <x v="27"/>
    <s v="NOR"/>
    <x v="4"/>
    <x v="1"/>
    <x v="13"/>
    <x v="5"/>
    <x v="2"/>
    <n v="945.22"/>
  </r>
  <r>
    <x v="27"/>
    <s v="NOR"/>
    <x v="4"/>
    <x v="1"/>
    <x v="14"/>
    <x v="6"/>
    <x v="2"/>
    <n v="11217.08"/>
  </r>
  <r>
    <x v="27"/>
    <s v="NOR"/>
    <x v="4"/>
    <x v="1"/>
    <x v="14"/>
    <x v="3"/>
    <x v="3"/>
    <n v="5208.6400000000003"/>
  </r>
  <r>
    <x v="27"/>
    <s v="NOR"/>
    <x v="4"/>
    <x v="1"/>
    <x v="15"/>
    <x v="0"/>
    <x v="2"/>
    <n v="2915.98"/>
  </r>
  <r>
    <x v="27"/>
    <s v="NOR"/>
    <x v="4"/>
    <x v="1"/>
    <x v="15"/>
    <x v="4"/>
    <x v="1"/>
    <n v="31.72"/>
  </r>
  <r>
    <x v="27"/>
    <s v="NOR"/>
    <x v="4"/>
    <x v="1"/>
    <x v="15"/>
    <x v="4"/>
    <x v="3"/>
    <n v="0"/>
  </r>
  <r>
    <x v="27"/>
    <s v="NOR"/>
    <x v="4"/>
    <x v="1"/>
    <x v="16"/>
    <x v="6"/>
    <x v="2"/>
    <n v="12839.57"/>
  </r>
  <r>
    <x v="27"/>
    <s v="NOR"/>
    <x v="4"/>
    <x v="1"/>
    <x v="16"/>
    <x v="3"/>
    <x v="2"/>
    <n v="6287.76"/>
  </r>
  <r>
    <x v="27"/>
    <s v="NOR"/>
    <x v="4"/>
    <x v="1"/>
    <x v="16"/>
    <x v="4"/>
    <x v="1"/>
    <n v="31.66"/>
  </r>
  <r>
    <x v="27"/>
    <s v="NOR"/>
    <x v="4"/>
    <x v="1"/>
    <x v="16"/>
    <x v="1"/>
    <x v="0"/>
    <n v="125015.93"/>
  </r>
  <r>
    <x v="27"/>
    <s v="NOR"/>
    <x v="4"/>
    <x v="1"/>
    <x v="16"/>
    <x v="2"/>
    <x v="3"/>
    <n v="0"/>
  </r>
  <r>
    <x v="27"/>
    <s v="NOR"/>
    <x v="4"/>
    <x v="1"/>
    <x v="17"/>
    <x v="1"/>
    <x v="2"/>
    <n v="2586.42"/>
  </r>
  <r>
    <x v="27"/>
    <s v="NOR"/>
    <x v="4"/>
    <x v="1"/>
    <x v="17"/>
    <x v="5"/>
    <x v="1"/>
    <n v="1953.28"/>
  </r>
  <r>
    <x v="27"/>
    <s v="NOR"/>
    <x v="4"/>
    <x v="1"/>
    <x v="17"/>
    <x v="5"/>
    <x v="0"/>
    <n v="92897.08"/>
  </r>
  <r>
    <x v="27"/>
    <s v="NOR"/>
    <x v="4"/>
    <x v="1"/>
    <x v="33"/>
    <x v="6"/>
    <x v="3"/>
    <n v="0"/>
  </r>
  <r>
    <x v="27"/>
    <s v="NOR"/>
    <x v="4"/>
    <x v="1"/>
    <x v="33"/>
    <x v="1"/>
    <x v="1"/>
    <n v="3981.49"/>
  </r>
  <r>
    <x v="27"/>
    <s v="NOR"/>
    <x v="4"/>
    <x v="1"/>
    <x v="33"/>
    <x v="1"/>
    <x v="2"/>
    <n v="2719.8"/>
  </r>
  <r>
    <x v="27"/>
    <s v="NOR"/>
    <x v="4"/>
    <x v="1"/>
    <x v="33"/>
    <x v="5"/>
    <x v="3"/>
    <n v="0"/>
  </r>
  <r>
    <x v="27"/>
    <s v="NOR"/>
    <x v="4"/>
    <x v="1"/>
    <x v="33"/>
    <x v="2"/>
    <x v="1"/>
    <n v="17057.86"/>
  </r>
  <r>
    <x v="27"/>
    <s v="NOR"/>
    <x v="4"/>
    <x v="1"/>
    <x v="18"/>
    <x v="6"/>
    <x v="2"/>
    <n v="12425.33"/>
  </r>
  <r>
    <x v="27"/>
    <s v="NOR"/>
    <x v="4"/>
    <x v="1"/>
    <x v="18"/>
    <x v="0"/>
    <x v="0"/>
    <n v="90617.19"/>
  </r>
  <r>
    <x v="27"/>
    <s v="NOR"/>
    <x v="4"/>
    <x v="1"/>
    <x v="18"/>
    <x v="4"/>
    <x v="3"/>
    <n v="0"/>
  </r>
  <r>
    <x v="27"/>
    <s v="NOR"/>
    <x v="4"/>
    <x v="1"/>
    <x v="18"/>
    <x v="5"/>
    <x v="2"/>
    <n v="988.05"/>
  </r>
  <r>
    <x v="27"/>
    <s v="NOR"/>
    <x v="4"/>
    <x v="1"/>
    <x v="18"/>
    <x v="2"/>
    <x v="1"/>
    <n v="16342.57"/>
  </r>
  <r>
    <x v="27"/>
    <s v="NOR"/>
    <x v="4"/>
    <x v="1"/>
    <x v="19"/>
    <x v="4"/>
    <x v="0"/>
    <n v="2984.68"/>
  </r>
  <r>
    <x v="27"/>
    <s v="NOR"/>
    <x v="4"/>
    <x v="1"/>
    <x v="19"/>
    <x v="4"/>
    <x v="3"/>
    <n v="0"/>
  </r>
  <r>
    <x v="27"/>
    <s v="NOR"/>
    <x v="4"/>
    <x v="1"/>
    <x v="19"/>
    <x v="5"/>
    <x v="3"/>
    <n v="0"/>
  </r>
  <r>
    <x v="27"/>
    <s v="NOR"/>
    <x v="4"/>
    <x v="1"/>
    <x v="19"/>
    <x v="2"/>
    <x v="3"/>
    <n v="0"/>
  </r>
  <r>
    <x v="27"/>
    <s v="NOR"/>
    <x v="4"/>
    <x v="1"/>
    <x v="20"/>
    <x v="3"/>
    <x v="3"/>
    <n v="6271.55"/>
  </r>
  <r>
    <x v="27"/>
    <s v="NOR"/>
    <x v="4"/>
    <x v="1"/>
    <x v="20"/>
    <x v="1"/>
    <x v="3"/>
    <n v="0"/>
  </r>
  <r>
    <x v="27"/>
    <s v="NOR"/>
    <x v="4"/>
    <x v="1"/>
    <x v="20"/>
    <x v="5"/>
    <x v="1"/>
    <n v="1865.27"/>
  </r>
  <r>
    <x v="27"/>
    <s v="NOR"/>
    <x v="4"/>
    <x v="1"/>
    <x v="21"/>
    <x v="6"/>
    <x v="0"/>
    <n v="6681.72"/>
  </r>
  <r>
    <x v="27"/>
    <s v="NOR"/>
    <x v="4"/>
    <x v="1"/>
    <x v="21"/>
    <x v="1"/>
    <x v="0"/>
    <n v="120936.6"/>
  </r>
  <r>
    <x v="27"/>
    <s v="NOR"/>
    <x v="4"/>
    <x v="1"/>
    <x v="21"/>
    <x v="5"/>
    <x v="0"/>
    <n v="92541.98"/>
  </r>
  <r>
    <x v="27"/>
    <s v="NOR"/>
    <x v="4"/>
    <x v="1"/>
    <x v="22"/>
    <x v="3"/>
    <x v="3"/>
    <n v="5574.54"/>
  </r>
  <r>
    <x v="27"/>
    <s v="NOR"/>
    <x v="4"/>
    <x v="1"/>
    <x v="22"/>
    <x v="1"/>
    <x v="1"/>
    <n v="3601.52"/>
  </r>
  <r>
    <x v="27"/>
    <s v="NOR"/>
    <x v="4"/>
    <x v="1"/>
    <x v="22"/>
    <x v="5"/>
    <x v="0"/>
    <n v="92007.44"/>
  </r>
  <r>
    <x v="27"/>
    <s v="NOR"/>
    <x v="4"/>
    <x v="1"/>
    <x v="23"/>
    <x v="0"/>
    <x v="0"/>
    <n v="71469.649999999994"/>
  </r>
  <r>
    <x v="27"/>
    <s v="NOR"/>
    <x v="4"/>
    <x v="1"/>
    <x v="23"/>
    <x v="0"/>
    <x v="3"/>
    <n v="0"/>
  </r>
  <r>
    <x v="27"/>
    <s v="NOR"/>
    <x v="4"/>
    <x v="1"/>
    <x v="23"/>
    <x v="0"/>
    <x v="2"/>
    <n v="2570.85"/>
  </r>
  <r>
    <x v="27"/>
    <s v="NOR"/>
    <x v="4"/>
    <x v="1"/>
    <x v="23"/>
    <x v="3"/>
    <x v="0"/>
    <n v="91310.45"/>
  </r>
  <r>
    <x v="27"/>
    <s v="NOR"/>
    <x v="4"/>
    <x v="1"/>
    <x v="23"/>
    <x v="5"/>
    <x v="1"/>
    <n v="1676.87"/>
  </r>
  <r>
    <x v="27"/>
    <s v="NOR"/>
    <x v="4"/>
    <x v="1"/>
    <x v="23"/>
    <x v="2"/>
    <x v="0"/>
    <n v="2428.09"/>
  </r>
  <r>
    <x v="27"/>
    <s v="NOR"/>
    <x v="4"/>
    <x v="1"/>
    <x v="23"/>
    <x v="2"/>
    <x v="3"/>
    <n v="0"/>
  </r>
  <r>
    <x v="27"/>
    <s v="NOR"/>
    <x v="4"/>
    <x v="1"/>
    <x v="24"/>
    <x v="4"/>
    <x v="2"/>
    <n v="29.31"/>
  </r>
  <r>
    <x v="27"/>
    <s v="NOR"/>
    <x v="4"/>
    <x v="1"/>
    <x v="24"/>
    <x v="5"/>
    <x v="3"/>
    <n v="0"/>
  </r>
  <r>
    <x v="27"/>
    <s v="NOR"/>
    <x v="4"/>
    <x v="1"/>
    <x v="24"/>
    <x v="2"/>
    <x v="3"/>
    <n v="0"/>
  </r>
  <r>
    <x v="27"/>
    <s v="NOR"/>
    <x v="4"/>
    <x v="1"/>
    <x v="25"/>
    <x v="1"/>
    <x v="2"/>
    <n v="2078.7600000000002"/>
  </r>
  <r>
    <x v="27"/>
    <s v="NOR"/>
    <x v="4"/>
    <x v="1"/>
    <x v="25"/>
    <x v="5"/>
    <x v="3"/>
    <n v="0"/>
  </r>
  <r>
    <x v="27"/>
    <s v="NOR"/>
    <x v="4"/>
    <x v="1"/>
    <x v="26"/>
    <x v="6"/>
    <x v="3"/>
    <n v="0"/>
  </r>
  <r>
    <x v="27"/>
    <s v="NOR"/>
    <x v="4"/>
    <x v="1"/>
    <x v="26"/>
    <x v="0"/>
    <x v="1"/>
    <n v="5892.14"/>
  </r>
  <r>
    <x v="27"/>
    <s v="NOR"/>
    <x v="4"/>
    <x v="1"/>
    <x v="26"/>
    <x v="3"/>
    <x v="3"/>
    <n v="4484.1899999999996"/>
  </r>
  <r>
    <x v="27"/>
    <s v="NOR"/>
    <x v="4"/>
    <x v="1"/>
    <x v="26"/>
    <x v="1"/>
    <x v="1"/>
    <n v="3253.63"/>
  </r>
  <r>
    <x v="27"/>
    <s v="NOR"/>
    <x v="4"/>
    <x v="1"/>
    <x v="34"/>
    <x v="6"/>
    <x v="1"/>
    <n v="38178.269999999997"/>
  </r>
  <r>
    <x v="27"/>
    <s v="NOR"/>
    <x v="4"/>
    <x v="1"/>
    <x v="34"/>
    <x v="0"/>
    <x v="1"/>
    <n v="5714.8"/>
  </r>
  <r>
    <x v="27"/>
    <s v="NOR"/>
    <x v="4"/>
    <x v="1"/>
    <x v="34"/>
    <x v="0"/>
    <x v="2"/>
    <n v="2507.08"/>
  </r>
  <r>
    <x v="27"/>
    <s v="NOR"/>
    <x v="4"/>
    <x v="1"/>
    <x v="34"/>
    <x v="3"/>
    <x v="1"/>
    <n v="5040.22"/>
  </r>
  <r>
    <x v="27"/>
    <s v="NOR"/>
    <x v="4"/>
    <x v="1"/>
    <x v="34"/>
    <x v="1"/>
    <x v="0"/>
    <n v="101628.96"/>
  </r>
  <r>
    <x v="27"/>
    <s v="NOR"/>
    <x v="4"/>
    <x v="1"/>
    <x v="34"/>
    <x v="5"/>
    <x v="1"/>
    <n v="1546.78"/>
  </r>
  <r>
    <x v="27"/>
    <s v="NOR"/>
    <x v="4"/>
    <x v="1"/>
    <x v="34"/>
    <x v="5"/>
    <x v="0"/>
    <n v="75715.649999999994"/>
  </r>
  <r>
    <x v="27"/>
    <s v="NOR"/>
    <x v="4"/>
    <x v="1"/>
    <x v="34"/>
    <x v="2"/>
    <x v="1"/>
    <n v="13601.03"/>
  </r>
  <r>
    <x v="27"/>
    <s v="NOR"/>
    <x v="4"/>
    <x v="1"/>
    <x v="27"/>
    <x v="2"/>
    <x v="1"/>
    <n v="13026.45"/>
  </r>
  <r>
    <x v="27"/>
    <s v="NOR"/>
    <x v="4"/>
    <x v="1"/>
    <x v="27"/>
    <x v="2"/>
    <x v="0"/>
    <n v="2493.36"/>
  </r>
  <r>
    <x v="27"/>
    <s v="NOR"/>
    <x v="4"/>
    <x v="1"/>
    <x v="28"/>
    <x v="6"/>
    <x v="0"/>
    <n v="4908.57"/>
  </r>
  <r>
    <x v="27"/>
    <s v="NOR"/>
    <x v="4"/>
    <x v="1"/>
    <x v="28"/>
    <x v="5"/>
    <x v="2"/>
    <n v="702.37"/>
  </r>
  <r>
    <x v="27"/>
    <s v="NOR"/>
    <x v="4"/>
    <x v="1"/>
    <x v="30"/>
    <x v="0"/>
    <x v="1"/>
    <n v="4774.47"/>
  </r>
  <r>
    <x v="27"/>
    <s v="NOR"/>
    <x v="4"/>
    <x v="1"/>
    <x v="30"/>
    <x v="0"/>
    <x v="0"/>
    <n v="61861.17"/>
  </r>
  <r>
    <x v="27"/>
    <s v="NOR"/>
    <x v="4"/>
    <x v="1"/>
    <x v="30"/>
    <x v="1"/>
    <x v="2"/>
    <n v="1825.13"/>
  </r>
  <r>
    <x v="27"/>
    <s v="NOR"/>
    <x v="4"/>
    <x v="1"/>
    <x v="31"/>
    <x v="4"/>
    <x v="0"/>
    <n v="2315.9499999999998"/>
  </r>
  <r>
    <x v="27"/>
    <s v="NOR"/>
    <x v="4"/>
    <x v="1"/>
    <x v="31"/>
    <x v="1"/>
    <x v="1"/>
    <n v="3184.2"/>
  </r>
  <r>
    <x v="27"/>
    <s v="NOR"/>
    <x v="4"/>
    <x v="1"/>
    <x v="31"/>
    <x v="5"/>
    <x v="2"/>
    <n v="708.68"/>
  </r>
  <r>
    <x v="27"/>
    <s v="NOR"/>
    <x v="4"/>
    <x v="1"/>
    <x v="32"/>
    <x v="2"/>
    <x v="3"/>
    <n v="0"/>
  </r>
  <r>
    <x v="28"/>
    <s v="PAK"/>
    <x v="3"/>
    <x v="2"/>
    <x v="0"/>
    <x v="6"/>
    <x v="0"/>
    <n v="9553.7800000000007"/>
  </r>
  <r>
    <x v="28"/>
    <s v="PAK"/>
    <x v="3"/>
    <x v="2"/>
    <x v="0"/>
    <x v="0"/>
    <x v="3"/>
    <n v="0"/>
  </r>
  <r>
    <x v="28"/>
    <s v="PAK"/>
    <x v="3"/>
    <x v="2"/>
    <x v="1"/>
    <x v="6"/>
    <x v="2"/>
    <n v="19397.96"/>
  </r>
  <r>
    <x v="28"/>
    <s v="PAK"/>
    <x v="3"/>
    <x v="2"/>
    <x v="1"/>
    <x v="3"/>
    <x v="3"/>
    <n v="4672.1099999999997"/>
  </r>
  <r>
    <x v="28"/>
    <s v="PAK"/>
    <x v="3"/>
    <x v="2"/>
    <x v="1"/>
    <x v="4"/>
    <x v="3"/>
    <n v="0"/>
  </r>
  <r>
    <x v="28"/>
    <s v="PAK"/>
    <x v="3"/>
    <x v="2"/>
    <x v="1"/>
    <x v="1"/>
    <x v="2"/>
    <n v="1597.93"/>
  </r>
  <r>
    <x v="28"/>
    <s v="PAK"/>
    <x v="3"/>
    <x v="2"/>
    <x v="1"/>
    <x v="2"/>
    <x v="2"/>
    <n v="141.21"/>
  </r>
  <r>
    <x v="28"/>
    <s v="PAK"/>
    <x v="3"/>
    <x v="2"/>
    <x v="2"/>
    <x v="4"/>
    <x v="3"/>
    <n v="0"/>
  </r>
  <r>
    <x v="28"/>
    <s v="PAK"/>
    <x v="3"/>
    <x v="2"/>
    <x v="2"/>
    <x v="5"/>
    <x v="1"/>
    <n v="950.13"/>
  </r>
  <r>
    <x v="28"/>
    <s v="PAK"/>
    <x v="3"/>
    <x v="2"/>
    <x v="2"/>
    <x v="5"/>
    <x v="3"/>
    <n v="0"/>
  </r>
  <r>
    <x v="28"/>
    <s v="PAK"/>
    <x v="3"/>
    <x v="2"/>
    <x v="3"/>
    <x v="0"/>
    <x v="2"/>
    <n v="769.26"/>
  </r>
  <r>
    <x v="28"/>
    <s v="PAK"/>
    <x v="3"/>
    <x v="2"/>
    <x v="3"/>
    <x v="1"/>
    <x v="3"/>
    <n v="0"/>
  </r>
  <r>
    <x v="28"/>
    <s v="PAK"/>
    <x v="3"/>
    <x v="2"/>
    <x v="4"/>
    <x v="0"/>
    <x v="1"/>
    <n v="1757.87"/>
  </r>
  <r>
    <x v="28"/>
    <s v="PAK"/>
    <x v="3"/>
    <x v="2"/>
    <x v="4"/>
    <x v="3"/>
    <x v="2"/>
    <n v="4977.25"/>
  </r>
  <r>
    <x v="28"/>
    <s v="PAK"/>
    <x v="3"/>
    <x v="2"/>
    <x v="4"/>
    <x v="4"/>
    <x v="1"/>
    <n v="-553.82000000000005"/>
  </r>
  <r>
    <x v="28"/>
    <s v="PAK"/>
    <x v="3"/>
    <x v="2"/>
    <x v="4"/>
    <x v="1"/>
    <x v="2"/>
    <n v="1762.73"/>
  </r>
  <r>
    <x v="28"/>
    <s v="PAK"/>
    <x v="3"/>
    <x v="2"/>
    <x v="4"/>
    <x v="5"/>
    <x v="0"/>
    <n v="49256.32"/>
  </r>
  <r>
    <x v="28"/>
    <s v="PAK"/>
    <x v="3"/>
    <x v="2"/>
    <x v="5"/>
    <x v="0"/>
    <x v="0"/>
    <n v="23680.69"/>
  </r>
  <r>
    <x v="28"/>
    <s v="PAK"/>
    <x v="3"/>
    <x v="2"/>
    <x v="5"/>
    <x v="4"/>
    <x v="1"/>
    <n v="-635.91999999999996"/>
  </r>
  <r>
    <x v="28"/>
    <s v="PAK"/>
    <x v="3"/>
    <x v="2"/>
    <x v="5"/>
    <x v="5"/>
    <x v="2"/>
    <n v="565.96"/>
  </r>
  <r>
    <x v="28"/>
    <s v="PAK"/>
    <x v="3"/>
    <x v="2"/>
    <x v="6"/>
    <x v="4"/>
    <x v="3"/>
    <n v="0"/>
  </r>
  <r>
    <x v="28"/>
    <s v="PAK"/>
    <x v="3"/>
    <x v="2"/>
    <x v="6"/>
    <x v="1"/>
    <x v="0"/>
    <n v="82651.77"/>
  </r>
  <r>
    <x v="28"/>
    <s v="PAK"/>
    <x v="3"/>
    <x v="2"/>
    <x v="6"/>
    <x v="5"/>
    <x v="0"/>
    <n v="57380.23"/>
  </r>
  <r>
    <x v="28"/>
    <s v="PAK"/>
    <x v="3"/>
    <x v="2"/>
    <x v="7"/>
    <x v="0"/>
    <x v="2"/>
    <n v="924.14"/>
  </r>
  <r>
    <x v="28"/>
    <s v="PAK"/>
    <x v="3"/>
    <x v="2"/>
    <x v="7"/>
    <x v="1"/>
    <x v="3"/>
    <n v="0"/>
  </r>
  <r>
    <x v="28"/>
    <s v="PAK"/>
    <x v="3"/>
    <x v="2"/>
    <x v="7"/>
    <x v="5"/>
    <x v="3"/>
    <n v="0"/>
  </r>
  <r>
    <x v="28"/>
    <s v="PAK"/>
    <x v="3"/>
    <x v="2"/>
    <x v="7"/>
    <x v="2"/>
    <x v="2"/>
    <n v="195.36"/>
  </r>
  <r>
    <x v="28"/>
    <s v="PAK"/>
    <x v="3"/>
    <x v="2"/>
    <x v="8"/>
    <x v="6"/>
    <x v="2"/>
    <n v="27965.93"/>
  </r>
  <r>
    <x v="28"/>
    <s v="PAK"/>
    <x v="3"/>
    <x v="2"/>
    <x v="9"/>
    <x v="6"/>
    <x v="2"/>
    <n v="30514.240000000002"/>
  </r>
  <r>
    <x v="28"/>
    <s v="PAK"/>
    <x v="3"/>
    <x v="2"/>
    <x v="9"/>
    <x v="3"/>
    <x v="2"/>
    <n v="6300.56"/>
  </r>
  <r>
    <x v="28"/>
    <s v="PAK"/>
    <x v="3"/>
    <x v="2"/>
    <x v="9"/>
    <x v="1"/>
    <x v="2"/>
    <n v="2203.08"/>
  </r>
  <r>
    <x v="28"/>
    <s v="PAK"/>
    <x v="3"/>
    <x v="2"/>
    <x v="9"/>
    <x v="5"/>
    <x v="3"/>
    <n v="0"/>
  </r>
  <r>
    <x v="28"/>
    <s v="PAK"/>
    <x v="3"/>
    <x v="2"/>
    <x v="9"/>
    <x v="2"/>
    <x v="3"/>
    <n v="0"/>
  </r>
  <r>
    <x v="28"/>
    <s v="PAK"/>
    <x v="3"/>
    <x v="2"/>
    <x v="9"/>
    <x v="2"/>
    <x v="2"/>
    <n v="197.04"/>
  </r>
  <r>
    <x v="28"/>
    <s v="PAK"/>
    <x v="3"/>
    <x v="2"/>
    <x v="10"/>
    <x v="4"/>
    <x v="1"/>
    <n v="-655.55"/>
  </r>
  <r>
    <x v="28"/>
    <s v="PAK"/>
    <x v="3"/>
    <x v="2"/>
    <x v="10"/>
    <x v="1"/>
    <x v="3"/>
    <n v="0"/>
  </r>
  <r>
    <x v="28"/>
    <s v="PAK"/>
    <x v="3"/>
    <x v="2"/>
    <x v="10"/>
    <x v="1"/>
    <x v="2"/>
    <n v="2129.21"/>
  </r>
  <r>
    <x v="28"/>
    <s v="PAK"/>
    <x v="3"/>
    <x v="2"/>
    <x v="10"/>
    <x v="5"/>
    <x v="1"/>
    <n v="1330.13"/>
  </r>
  <r>
    <x v="28"/>
    <s v="PAK"/>
    <x v="3"/>
    <x v="2"/>
    <x v="10"/>
    <x v="5"/>
    <x v="3"/>
    <n v="0"/>
  </r>
  <r>
    <x v="28"/>
    <s v="PAK"/>
    <x v="3"/>
    <x v="2"/>
    <x v="11"/>
    <x v="2"/>
    <x v="3"/>
    <n v="0"/>
  </r>
  <r>
    <x v="28"/>
    <s v="PAK"/>
    <x v="3"/>
    <x v="2"/>
    <x v="11"/>
    <x v="2"/>
    <x v="2"/>
    <n v="190.35"/>
  </r>
  <r>
    <x v="28"/>
    <s v="PAK"/>
    <x v="3"/>
    <x v="2"/>
    <x v="12"/>
    <x v="6"/>
    <x v="0"/>
    <n v="15130.48"/>
  </r>
  <r>
    <x v="28"/>
    <s v="PAK"/>
    <x v="3"/>
    <x v="2"/>
    <x v="12"/>
    <x v="0"/>
    <x v="0"/>
    <n v="33973.760000000002"/>
  </r>
  <r>
    <x v="28"/>
    <s v="PAK"/>
    <x v="3"/>
    <x v="2"/>
    <x v="12"/>
    <x v="4"/>
    <x v="2"/>
    <n v="-804.36"/>
  </r>
  <r>
    <x v="28"/>
    <s v="PAK"/>
    <x v="3"/>
    <x v="2"/>
    <x v="12"/>
    <x v="1"/>
    <x v="1"/>
    <n v="3333.97"/>
  </r>
  <r>
    <x v="28"/>
    <s v="PAK"/>
    <x v="3"/>
    <x v="2"/>
    <x v="12"/>
    <x v="2"/>
    <x v="2"/>
    <n v="210.23"/>
  </r>
  <r>
    <x v="28"/>
    <s v="PAK"/>
    <x v="3"/>
    <x v="2"/>
    <x v="13"/>
    <x v="6"/>
    <x v="1"/>
    <n v="109008.54"/>
  </r>
  <r>
    <x v="28"/>
    <s v="PAK"/>
    <x v="3"/>
    <x v="2"/>
    <x v="13"/>
    <x v="6"/>
    <x v="3"/>
    <n v="0"/>
  </r>
  <r>
    <x v="28"/>
    <s v="PAK"/>
    <x v="3"/>
    <x v="2"/>
    <x v="13"/>
    <x v="0"/>
    <x v="3"/>
    <n v="0"/>
  </r>
  <r>
    <x v="28"/>
    <s v="PAK"/>
    <x v="3"/>
    <x v="2"/>
    <x v="13"/>
    <x v="1"/>
    <x v="1"/>
    <n v="3493.92"/>
  </r>
  <r>
    <x v="28"/>
    <s v="PAK"/>
    <x v="3"/>
    <x v="2"/>
    <x v="14"/>
    <x v="4"/>
    <x v="1"/>
    <n v="-848.64"/>
  </r>
  <r>
    <x v="28"/>
    <s v="PAK"/>
    <x v="3"/>
    <x v="2"/>
    <x v="14"/>
    <x v="4"/>
    <x v="0"/>
    <n v="-87750.32"/>
  </r>
  <r>
    <x v="28"/>
    <s v="PAK"/>
    <x v="3"/>
    <x v="2"/>
    <x v="14"/>
    <x v="4"/>
    <x v="3"/>
    <n v="0"/>
  </r>
  <r>
    <x v="28"/>
    <s v="PAK"/>
    <x v="3"/>
    <x v="2"/>
    <x v="14"/>
    <x v="1"/>
    <x v="1"/>
    <n v="3699.66"/>
  </r>
  <r>
    <x v="28"/>
    <s v="PAK"/>
    <x v="3"/>
    <x v="2"/>
    <x v="15"/>
    <x v="6"/>
    <x v="0"/>
    <n v="16756.23"/>
  </r>
  <r>
    <x v="28"/>
    <s v="PAK"/>
    <x v="3"/>
    <x v="2"/>
    <x v="15"/>
    <x v="3"/>
    <x v="3"/>
    <n v="7309.99"/>
  </r>
  <r>
    <x v="28"/>
    <s v="PAK"/>
    <x v="3"/>
    <x v="2"/>
    <x v="15"/>
    <x v="1"/>
    <x v="0"/>
    <n v="124617.99"/>
  </r>
  <r>
    <x v="28"/>
    <s v="PAK"/>
    <x v="3"/>
    <x v="2"/>
    <x v="16"/>
    <x v="0"/>
    <x v="1"/>
    <n v="2805.95"/>
  </r>
  <r>
    <x v="28"/>
    <s v="PAK"/>
    <x v="3"/>
    <x v="2"/>
    <x v="16"/>
    <x v="3"/>
    <x v="1"/>
    <n v="7159.68"/>
  </r>
  <r>
    <x v="28"/>
    <s v="PAK"/>
    <x v="3"/>
    <x v="2"/>
    <x v="16"/>
    <x v="2"/>
    <x v="0"/>
    <n v="608.12"/>
  </r>
  <r>
    <x v="28"/>
    <s v="PAK"/>
    <x v="3"/>
    <x v="2"/>
    <x v="17"/>
    <x v="6"/>
    <x v="0"/>
    <n v="19151.37"/>
  </r>
  <r>
    <x v="28"/>
    <s v="PAK"/>
    <x v="3"/>
    <x v="2"/>
    <x v="17"/>
    <x v="0"/>
    <x v="1"/>
    <n v="2921.45"/>
  </r>
  <r>
    <x v="28"/>
    <s v="PAK"/>
    <x v="3"/>
    <x v="2"/>
    <x v="17"/>
    <x v="0"/>
    <x v="0"/>
    <n v="38607.49"/>
  </r>
  <r>
    <x v="28"/>
    <s v="PAK"/>
    <x v="3"/>
    <x v="2"/>
    <x v="17"/>
    <x v="2"/>
    <x v="2"/>
    <n v="241.43"/>
  </r>
  <r>
    <x v="28"/>
    <s v="PAK"/>
    <x v="3"/>
    <x v="2"/>
    <x v="33"/>
    <x v="0"/>
    <x v="0"/>
    <n v="40603.800000000003"/>
  </r>
  <r>
    <x v="28"/>
    <s v="PAK"/>
    <x v="3"/>
    <x v="2"/>
    <x v="33"/>
    <x v="0"/>
    <x v="3"/>
    <n v="0"/>
  </r>
  <r>
    <x v="28"/>
    <s v="PAK"/>
    <x v="3"/>
    <x v="2"/>
    <x v="33"/>
    <x v="3"/>
    <x v="3"/>
    <n v="8106.38"/>
  </r>
  <r>
    <x v="28"/>
    <s v="PAK"/>
    <x v="3"/>
    <x v="2"/>
    <x v="33"/>
    <x v="1"/>
    <x v="2"/>
    <n v="2834.1"/>
  </r>
  <r>
    <x v="28"/>
    <s v="PAK"/>
    <x v="3"/>
    <x v="2"/>
    <x v="19"/>
    <x v="1"/>
    <x v="3"/>
    <n v="0"/>
  </r>
  <r>
    <x v="28"/>
    <s v="PAK"/>
    <x v="3"/>
    <x v="2"/>
    <x v="19"/>
    <x v="2"/>
    <x v="3"/>
    <n v="0"/>
  </r>
  <r>
    <x v="28"/>
    <s v="PAK"/>
    <x v="3"/>
    <x v="2"/>
    <x v="20"/>
    <x v="3"/>
    <x v="1"/>
    <n v="9822.34"/>
  </r>
  <r>
    <x v="28"/>
    <s v="PAK"/>
    <x v="3"/>
    <x v="2"/>
    <x v="20"/>
    <x v="4"/>
    <x v="3"/>
    <n v="0"/>
  </r>
  <r>
    <x v="28"/>
    <s v="PAK"/>
    <x v="3"/>
    <x v="2"/>
    <x v="20"/>
    <x v="2"/>
    <x v="1"/>
    <n v="5105.99"/>
  </r>
  <r>
    <x v="28"/>
    <s v="PAK"/>
    <x v="3"/>
    <x v="2"/>
    <x v="20"/>
    <x v="2"/>
    <x v="3"/>
    <n v="0"/>
  </r>
  <r>
    <x v="28"/>
    <s v="PAK"/>
    <x v="3"/>
    <x v="2"/>
    <x v="21"/>
    <x v="4"/>
    <x v="2"/>
    <n v="-1002.61"/>
  </r>
  <r>
    <x v="28"/>
    <s v="PAK"/>
    <x v="3"/>
    <x v="2"/>
    <x v="22"/>
    <x v="3"/>
    <x v="0"/>
    <n v="140723.93"/>
  </r>
  <r>
    <x v="28"/>
    <s v="PAK"/>
    <x v="3"/>
    <x v="2"/>
    <x v="22"/>
    <x v="1"/>
    <x v="0"/>
    <n v="133510.39000000001"/>
  </r>
  <r>
    <x v="28"/>
    <s v="PAK"/>
    <x v="3"/>
    <x v="2"/>
    <x v="22"/>
    <x v="2"/>
    <x v="3"/>
    <n v="0"/>
  </r>
  <r>
    <x v="28"/>
    <s v="PAK"/>
    <x v="3"/>
    <x v="2"/>
    <x v="23"/>
    <x v="4"/>
    <x v="1"/>
    <n v="-950.07"/>
  </r>
  <r>
    <x v="28"/>
    <s v="PAK"/>
    <x v="3"/>
    <x v="2"/>
    <x v="23"/>
    <x v="2"/>
    <x v="2"/>
    <n v="260.62"/>
  </r>
  <r>
    <x v="28"/>
    <s v="PAK"/>
    <x v="3"/>
    <x v="2"/>
    <x v="24"/>
    <x v="0"/>
    <x v="1"/>
    <n v="3233.01"/>
  </r>
  <r>
    <x v="28"/>
    <s v="PAK"/>
    <x v="3"/>
    <x v="2"/>
    <x v="24"/>
    <x v="3"/>
    <x v="2"/>
    <n v="8698.89"/>
  </r>
  <r>
    <x v="28"/>
    <s v="PAK"/>
    <x v="3"/>
    <x v="2"/>
    <x v="24"/>
    <x v="2"/>
    <x v="3"/>
    <n v="0"/>
  </r>
  <r>
    <x v="28"/>
    <s v="PAK"/>
    <x v="3"/>
    <x v="2"/>
    <x v="25"/>
    <x v="2"/>
    <x v="3"/>
    <n v="0"/>
  </r>
  <r>
    <x v="28"/>
    <s v="PAK"/>
    <x v="3"/>
    <x v="2"/>
    <x v="26"/>
    <x v="6"/>
    <x v="2"/>
    <n v="42921.88"/>
  </r>
  <r>
    <x v="28"/>
    <s v="PAK"/>
    <x v="3"/>
    <x v="2"/>
    <x v="26"/>
    <x v="0"/>
    <x v="1"/>
    <n v="3252.92"/>
  </r>
  <r>
    <x v="28"/>
    <s v="PAK"/>
    <x v="3"/>
    <x v="2"/>
    <x v="26"/>
    <x v="0"/>
    <x v="2"/>
    <n v="1329.69"/>
  </r>
  <r>
    <x v="28"/>
    <s v="PAK"/>
    <x v="3"/>
    <x v="2"/>
    <x v="26"/>
    <x v="3"/>
    <x v="3"/>
    <n v="8235.09"/>
  </r>
  <r>
    <x v="28"/>
    <s v="PAK"/>
    <x v="3"/>
    <x v="2"/>
    <x v="26"/>
    <x v="4"/>
    <x v="2"/>
    <n v="-867.91"/>
  </r>
  <r>
    <x v="28"/>
    <s v="PAK"/>
    <x v="3"/>
    <x v="2"/>
    <x v="26"/>
    <x v="1"/>
    <x v="3"/>
    <n v="0"/>
  </r>
  <r>
    <x v="28"/>
    <s v="PAK"/>
    <x v="3"/>
    <x v="2"/>
    <x v="26"/>
    <x v="1"/>
    <x v="2"/>
    <n v="3073.04"/>
  </r>
  <r>
    <x v="28"/>
    <s v="PAK"/>
    <x v="3"/>
    <x v="2"/>
    <x v="26"/>
    <x v="5"/>
    <x v="1"/>
    <n v="2031.57"/>
  </r>
  <r>
    <x v="28"/>
    <s v="PAK"/>
    <x v="3"/>
    <x v="2"/>
    <x v="34"/>
    <x v="3"/>
    <x v="2"/>
    <n v="9027.86"/>
  </r>
  <r>
    <x v="28"/>
    <s v="PAK"/>
    <x v="3"/>
    <x v="2"/>
    <x v="34"/>
    <x v="4"/>
    <x v="0"/>
    <n v="-90750.54"/>
  </r>
  <r>
    <x v="28"/>
    <s v="PAK"/>
    <x v="3"/>
    <x v="2"/>
    <x v="27"/>
    <x v="6"/>
    <x v="2"/>
    <n v="37540.32"/>
  </r>
  <r>
    <x v="28"/>
    <s v="PAK"/>
    <x v="3"/>
    <x v="2"/>
    <x v="27"/>
    <x v="1"/>
    <x v="0"/>
    <n v="154689.35999999999"/>
  </r>
  <r>
    <x v="28"/>
    <s v="PAK"/>
    <x v="3"/>
    <x v="2"/>
    <x v="27"/>
    <x v="5"/>
    <x v="2"/>
    <n v="982.11"/>
  </r>
  <r>
    <x v="28"/>
    <s v="PAK"/>
    <x v="3"/>
    <x v="2"/>
    <x v="28"/>
    <x v="6"/>
    <x v="2"/>
    <n v="38058.19"/>
  </r>
  <r>
    <x v="28"/>
    <s v="PAK"/>
    <x v="3"/>
    <x v="2"/>
    <x v="28"/>
    <x v="0"/>
    <x v="1"/>
    <n v="2979.28"/>
  </r>
  <r>
    <x v="28"/>
    <s v="PAK"/>
    <x v="3"/>
    <x v="2"/>
    <x v="29"/>
    <x v="6"/>
    <x v="0"/>
    <n v="22794.54"/>
  </r>
  <r>
    <x v="28"/>
    <s v="PAK"/>
    <x v="3"/>
    <x v="2"/>
    <x v="29"/>
    <x v="0"/>
    <x v="1"/>
    <n v="3819.48"/>
  </r>
  <r>
    <x v="28"/>
    <s v="PAK"/>
    <x v="3"/>
    <x v="2"/>
    <x v="29"/>
    <x v="3"/>
    <x v="2"/>
    <n v="9173.33"/>
  </r>
  <r>
    <x v="28"/>
    <s v="PAK"/>
    <x v="3"/>
    <x v="2"/>
    <x v="30"/>
    <x v="3"/>
    <x v="0"/>
    <n v="151795.99"/>
  </r>
  <r>
    <x v="28"/>
    <s v="PAK"/>
    <x v="3"/>
    <x v="2"/>
    <x v="31"/>
    <x v="3"/>
    <x v="2"/>
    <n v="8334.65"/>
  </r>
  <r>
    <x v="28"/>
    <s v="PAK"/>
    <x v="3"/>
    <x v="2"/>
    <x v="32"/>
    <x v="4"/>
    <x v="1"/>
    <n v="-886.34"/>
  </r>
  <r>
    <x v="28"/>
    <s v="PAK"/>
    <x v="3"/>
    <x v="2"/>
    <x v="32"/>
    <x v="5"/>
    <x v="2"/>
    <n v="902.79"/>
  </r>
  <r>
    <x v="28"/>
    <s v="PAK"/>
    <x v="3"/>
    <x v="2"/>
    <x v="32"/>
    <x v="2"/>
    <x v="2"/>
    <n v="238.72"/>
  </r>
  <r>
    <x v="29"/>
    <s v="PER"/>
    <x v="1"/>
    <x v="0"/>
    <x v="0"/>
    <x v="0"/>
    <x v="3"/>
    <n v="0"/>
  </r>
  <r>
    <x v="29"/>
    <s v="PER"/>
    <x v="1"/>
    <x v="0"/>
    <x v="0"/>
    <x v="3"/>
    <x v="3"/>
    <n v="1431.06"/>
  </r>
  <r>
    <x v="29"/>
    <s v="PER"/>
    <x v="1"/>
    <x v="0"/>
    <x v="1"/>
    <x v="3"/>
    <x v="3"/>
    <n v="1360.62"/>
  </r>
  <r>
    <x v="29"/>
    <s v="PER"/>
    <x v="1"/>
    <x v="0"/>
    <x v="1"/>
    <x v="4"/>
    <x v="1"/>
    <n v="-90.74"/>
  </r>
  <r>
    <x v="29"/>
    <s v="PER"/>
    <x v="1"/>
    <x v="0"/>
    <x v="1"/>
    <x v="5"/>
    <x v="1"/>
    <n v="999.16"/>
  </r>
  <r>
    <x v="29"/>
    <s v="PER"/>
    <x v="1"/>
    <x v="0"/>
    <x v="1"/>
    <x v="2"/>
    <x v="0"/>
    <n v="5875.6"/>
  </r>
  <r>
    <x v="29"/>
    <s v="PER"/>
    <x v="1"/>
    <x v="0"/>
    <x v="1"/>
    <x v="2"/>
    <x v="2"/>
    <n v="1997.47"/>
  </r>
  <r>
    <x v="29"/>
    <s v="PER"/>
    <x v="1"/>
    <x v="0"/>
    <x v="2"/>
    <x v="6"/>
    <x v="1"/>
    <n v="36195.620000000003"/>
  </r>
  <r>
    <x v="29"/>
    <s v="PER"/>
    <x v="1"/>
    <x v="0"/>
    <x v="2"/>
    <x v="3"/>
    <x v="0"/>
    <n v="24116.52"/>
  </r>
  <r>
    <x v="29"/>
    <s v="PER"/>
    <x v="1"/>
    <x v="0"/>
    <x v="2"/>
    <x v="3"/>
    <x v="2"/>
    <n v="1620.87"/>
  </r>
  <r>
    <x v="29"/>
    <s v="PER"/>
    <x v="1"/>
    <x v="0"/>
    <x v="2"/>
    <x v="4"/>
    <x v="0"/>
    <n v="-9826.07"/>
  </r>
  <r>
    <x v="29"/>
    <s v="PER"/>
    <x v="1"/>
    <x v="0"/>
    <x v="2"/>
    <x v="1"/>
    <x v="3"/>
    <n v="0"/>
  </r>
  <r>
    <x v="29"/>
    <s v="PER"/>
    <x v="1"/>
    <x v="0"/>
    <x v="3"/>
    <x v="0"/>
    <x v="3"/>
    <n v="0"/>
  </r>
  <r>
    <x v="29"/>
    <s v="PER"/>
    <x v="1"/>
    <x v="0"/>
    <x v="3"/>
    <x v="3"/>
    <x v="1"/>
    <n v="1509.19"/>
  </r>
  <r>
    <x v="29"/>
    <s v="PER"/>
    <x v="1"/>
    <x v="0"/>
    <x v="3"/>
    <x v="1"/>
    <x v="2"/>
    <n v="1028.3699999999999"/>
  </r>
  <r>
    <x v="29"/>
    <s v="PER"/>
    <x v="1"/>
    <x v="0"/>
    <x v="4"/>
    <x v="5"/>
    <x v="0"/>
    <n v="61328.21"/>
  </r>
  <r>
    <x v="29"/>
    <s v="PER"/>
    <x v="1"/>
    <x v="0"/>
    <x v="4"/>
    <x v="2"/>
    <x v="1"/>
    <n v="36343.599999999999"/>
  </r>
  <r>
    <x v="29"/>
    <s v="PER"/>
    <x v="1"/>
    <x v="0"/>
    <x v="5"/>
    <x v="6"/>
    <x v="1"/>
    <n v="37306.839999999997"/>
  </r>
  <r>
    <x v="29"/>
    <s v="PER"/>
    <x v="1"/>
    <x v="0"/>
    <x v="5"/>
    <x v="1"/>
    <x v="2"/>
    <n v="1032.4000000000001"/>
  </r>
  <r>
    <x v="29"/>
    <s v="PER"/>
    <x v="1"/>
    <x v="0"/>
    <x v="5"/>
    <x v="5"/>
    <x v="2"/>
    <n v="591.71"/>
  </r>
  <r>
    <x v="29"/>
    <s v="PER"/>
    <x v="1"/>
    <x v="0"/>
    <x v="5"/>
    <x v="2"/>
    <x v="0"/>
    <n v="6690.36"/>
  </r>
  <r>
    <x v="29"/>
    <s v="PER"/>
    <x v="1"/>
    <x v="0"/>
    <x v="6"/>
    <x v="6"/>
    <x v="3"/>
    <n v="0"/>
  </r>
  <r>
    <x v="29"/>
    <s v="PER"/>
    <x v="1"/>
    <x v="0"/>
    <x v="6"/>
    <x v="3"/>
    <x v="2"/>
    <n v="1587.01"/>
  </r>
  <r>
    <x v="29"/>
    <s v="PER"/>
    <x v="1"/>
    <x v="0"/>
    <x v="6"/>
    <x v="1"/>
    <x v="2"/>
    <n v="1100.75"/>
  </r>
  <r>
    <x v="29"/>
    <s v="PER"/>
    <x v="1"/>
    <x v="0"/>
    <x v="7"/>
    <x v="0"/>
    <x v="0"/>
    <n v="32081.08"/>
  </r>
  <r>
    <x v="29"/>
    <s v="PER"/>
    <x v="1"/>
    <x v="0"/>
    <x v="7"/>
    <x v="3"/>
    <x v="3"/>
    <n v="1547.67"/>
  </r>
  <r>
    <x v="29"/>
    <s v="PER"/>
    <x v="1"/>
    <x v="0"/>
    <x v="7"/>
    <x v="5"/>
    <x v="1"/>
    <n v="1226.49"/>
  </r>
  <r>
    <x v="29"/>
    <s v="PER"/>
    <x v="1"/>
    <x v="0"/>
    <x v="7"/>
    <x v="5"/>
    <x v="3"/>
    <n v="0"/>
  </r>
  <r>
    <x v="29"/>
    <s v="PER"/>
    <x v="1"/>
    <x v="0"/>
    <x v="8"/>
    <x v="0"/>
    <x v="3"/>
    <n v="0"/>
  </r>
  <r>
    <x v="29"/>
    <s v="PER"/>
    <x v="1"/>
    <x v="0"/>
    <x v="8"/>
    <x v="4"/>
    <x v="3"/>
    <n v="0"/>
  </r>
  <r>
    <x v="29"/>
    <s v="PER"/>
    <x v="1"/>
    <x v="0"/>
    <x v="9"/>
    <x v="4"/>
    <x v="0"/>
    <n v="-10718.43"/>
  </r>
  <r>
    <x v="29"/>
    <s v="PER"/>
    <x v="1"/>
    <x v="0"/>
    <x v="10"/>
    <x v="6"/>
    <x v="0"/>
    <n v="4959.13"/>
  </r>
  <r>
    <x v="29"/>
    <s v="PER"/>
    <x v="1"/>
    <x v="0"/>
    <x v="10"/>
    <x v="0"/>
    <x v="0"/>
    <n v="33341.83"/>
  </r>
  <r>
    <x v="29"/>
    <s v="PER"/>
    <x v="1"/>
    <x v="0"/>
    <x v="10"/>
    <x v="1"/>
    <x v="0"/>
    <n v="51058.69"/>
  </r>
  <r>
    <x v="29"/>
    <s v="PER"/>
    <x v="1"/>
    <x v="0"/>
    <x v="11"/>
    <x v="1"/>
    <x v="2"/>
    <n v="1095.1300000000001"/>
  </r>
  <r>
    <x v="29"/>
    <s v="PER"/>
    <x v="1"/>
    <x v="0"/>
    <x v="12"/>
    <x v="5"/>
    <x v="3"/>
    <n v="0"/>
  </r>
  <r>
    <x v="29"/>
    <s v="PER"/>
    <x v="1"/>
    <x v="0"/>
    <x v="13"/>
    <x v="0"/>
    <x v="0"/>
    <n v="33419.699999999997"/>
  </r>
  <r>
    <x v="29"/>
    <s v="PER"/>
    <x v="1"/>
    <x v="0"/>
    <x v="13"/>
    <x v="0"/>
    <x v="2"/>
    <n v="1151.3800000000001"/>
  </r>
  <r>
    <x v="29"/>
    <s v="PER"/>
    <x v="1"/>
    <x v="0"/>
    <x v="13"/>
    <x v="3"/>
    <x v="3"/>
    <n v="1832.83"/>
  </r>
  <r>
    <x v="29"/>
    <s v="PER"/>
    <x v="1"/>
    <x v="0"/>
    <x v="13"/>
    <x v="3"/>
    <x v="2"/>
    <n v="1631.1"/>
  </r>
  <r>
    <x v="29"/>
    <s v="PER"/>
    <x v="1"/>
    <x v="0"/>
    <x v="14"/>
    <x v="3"/>
    <x v="3"/>
    <n v="1990.66"/>
  </r>
  <r>
    <x v="29"/>
    <s v="PER"/>
    <x v="1"/>
    <x v="0"/>
    <x v="14"/>
    <x v="1"/>
    <x v="3"/>
    <n v="0"/>
  </r>
  <r>
    <x v="29"/>
    <s v="PER"/>
    <x v="1"/>
    <x v="0"/>
    <x v="15"/>
    <x v="6"/>
    <x v="1"/>
    <n v="46842.53"/>
  </r>
  <r>
    <x v="29"/>
    <s v="PER"/>
    <x v="1"/>
    <x v="0"/>
    <x v="15"/>
    <x v="0"/>
    <x v="3"/>
    <n v="0"/>
  </r>
  <r>
    <x v="29"/>
    <s v="PER"/>
    <x v="1"/>
    <x v="0"/>
    <x v="15"/>
    <x v="4"/>
    <x v="1"/>
    <n v="-130.34"/>
  </r>
  <r>
    <x v="29"/>
    <s v="PER"/>
    <x v="1"/>
    <x v="0"/>
    <x v="15"/>
    <x v="5"/>
    <x v="2"/>
    <n v="733.21"/>
  </r>
  <r>
    <x v="29"/>
    <s v="PER"/>
    <x v="1"/>
    <x v="0"/>
    <x v="16"/>
    <x v="6"/>
    <x v="3"/>
    <n v="0"/>
  </r>
  <r>
    <x v="29"/>
    <s v="PER"/>
    <x v="1"/>
    <x v="0"/>
    <x v="16"/>
    <x v="5"/>
    <x v="0"/>
    <n v="67372.78"/>
  </r>
  <r>
    <x v="29"/>
    <s v="PER"/>
    <x v="1"/>
    <x v="0"/>
    <x v="17"/>
    <x v="6"/>
    <x v="1"/>
    <n v="41136.97"/>
  </r>
  <r>
    <x v="29"/>
    <s v="PER"/>
    <x v="1"/>
    <x v="0"/>
    <x v="17"/>
    <x v="6"/>
    <x v="3"/>
    <n v="0"/>
  </r>
  <r>
    <x v="29"/>
    <s v="PER"/>
    <x v="1"/>
    <x v="0"/>
    <x v="17"/>
    <x v="4"/>
    <x v="1"/>
    <n v="-113.79"/>
  </r>
  <r>
    <x v="29"/>
    <s v="PER"/>
    <x v="1"/>
    <x v="0"/>
    <x v="17"/>
    <x v="4"/>
    <x v="3"/>
    <n v="0"/>
  </r>
  <r>
    <x v="29"/>
    <s v="PER"/>
    <x v="1"/>
    <x v="0"/>
    <x v="18"/>
    <x v="3"/>
    <x v="0"/>
    <n v="34745.42"/>
  </r>
  <r>
    <x v="29"/>
    <s v="PER"/>
    <x v="1"/>
    <x v="0"/>
    <x v="18"/>
    <x v="3"/>
    <x v="2"/>
    <n v="2048.6999999999998"/>
  </r>
  <r>
    <x v="29"/>
    <s v="PER"/>
    <x v="1"/>
    <x v="0"/>
    <x v="18"/>
    <x v="5"/>
    <x v="3"/>
    <n v="0"/>
  </r>
  <r>
    <x v="29"/>
    <s v="PER"/>
    <x v="1"/>
    <x v="0"/>
    <x v="18"/>
    <x v="2"/>
    <x v="2"/>
    <n v="2786.62"/>
  </r>
  <r>
    <x v="29"/>
    <s v="PER"/>
    <x v="1"/>
    <x v="0"/>
    <x v="19"/>
    <x v="4"/>
    <x v="2"/>
    <n v="-139.97999999999999"/>
  </r>
  <r>
    <x v="29"/>
    <s v="PER"/>
    <x v="1"/>
    <x v="0"/>
    <x v="19"/>
    <x v="1"/>
    <x v="3"/>
    <n v="0"/>
  </r>
  <r>
    <x v="29"/>
    <s v="PER"/>
    <x v="1"/>
    <x v="0"/>
    <x v="20"/>
    <x v="1"/>
    <x v="2"/>
    <n v="1368.98"/>
  </r>
  <r>
    <x v="29"/>
    <s v="PER"/>
    <x v="1"/>
    <x v="0"/>
    <x v="20"/>
    <x v="5"/>
    <x v="3"/>
    <n v="0"/>
  </r>
  <r>
    <x v="29"/>
    <s v="PER"/>
    <x v="1"/>
    <x v="0"/>
    <x v="20"/>
    <x v="5"/>
    <x v="2"/>
    <n v="801.32"/>
  </r>
  <r>
    <x v="29"/>
    <s v="PER"/>
    <x v="1"/>
    <x v="0"/>
    <x v="20"/>
    <x v="2"/>
    <x v="2"/>
    <n v="2872.38"/>
  </r>
  <r>
    <x v="29"/>
    <s v="PER"/>
    <x v="1"/>
    <x v="0"/>
    <x v="21"/>
    <x v="4"/>
    <x v="1"/>
    <n v="-125.04"/>
  </r>
  <r>
    <x v="29"/>
    <s v="PER"/>
    <x v="1"/>
    <x v="0"/>
    <x v="21"/>
    <x v="5"/>
    <x v="1"/>
    <n v="1482.68"/>
  </r>
  <r>
    <x v="29"/>
    <s v="PER"/>
    <x v="1"/>
    <x v="0"/>
    <x v="21"/>
    <x v="5"/>
    <x v="3"/>
    <n v="0"/>
  </r>
  <r>
    <x v="29"/>
    <s v="PER"/>
    <x v="1"/>
    <x v="0"/>
    <x v="22"/>
    <x v="6"/>
    <x v="1"/>
    <n v="51005.1"/>
  </r>
  <r>
    <x v="29"/>
    <s v="PER"/>
    <x v="1"/>
    <x v="0"/>
    <x v="22"/>
    <x v="6"/>
    <x v="0"/>
    <n v="7398.97"/>
  </r>
  <r>
    <x v="29"/>
    <s v="PER"/>
    <x v="1"/>
    <x v="0"/>
    <x v="22"/>
    <x v="4"/>
    <x v="2"/>
    <n v="-143.41"/>
  </r>
  <r>
    <x v="29"/>
    <s v="PER"/>
    <x v="1"/>
    <x v="0"/>
    <x v="22"/>
    <x v="1"/>
    <x v="2"/>
    <n v="1582.57"/>
  </r>
  <r>
    <x v="29"/>
    <s v="PER"/>
    <x v="1"/>
    <x v="0"/>
    <x v="22"/>
    <x v="5"/>
    <x v="2"/>
    <n v="802.76"/>
  </r>
  <r>
    <x v="29"/>
    <s v="PER"/>
    <x v="1"/>
    <x v="0"/>
    <x v="23"/>
    <x v="6"/>
    <x v="0"/>
    <n v="6380.34"/>
  </r>
  <r>
    <x v="29"/>
    <s v="PER"/>
    <x v="1"/>
    <x v="0"/>
    <x v="23"/>
    <x v="0"/>
    <x v="1"/>
    <n v="3131.44"/>
  </r>
  <r>
    <x v="29"/>
    <s v="PER"/>
    <x v="1"/>
    <x v="0"/>
    <x v="23"/>
    <x v="5"/>
    <x v="0"/>
    <n v="76594.64"/>
  </r>
  <r>
    <x v="29"/>
    <s v="PER"/>
    <x v="1"/>
    <x v="0"/>
    <x v="23"/>
    <x v="5"/>
    <x v="2"/>
    <n v="803.26"/>
  </r>
  <r>
    <x v="29"/>
    <s v="PER"/>
    <x v="1"/>
    <x v="0"/>
    <x v="23"/>
    <x v="2"/>
    <x v="1"/>
    <n v="47077.63"/>
  </r>
  <r>
    <x v="29"/>
    <s v="PER"/>
    <x v="1"/>
    <x v="0"/>
    <x v="25"/>
    <x v="1"/>
    <x v="2"/>
    <n v="1488.79"/>
  </r>
  <r>
    <x v="29"/>
    <s v="PER"/>
    <x v="1"/>
    <x v="0"/>
    <x v="25"/>
    <x v="5"/>
    <x v="3"/>
    <n v="0"/>
  </r>
  <r>
    <x v="29"/>
    <s v="PER"/>
    <x v="1"/>
    <x v="0"/>
    <x v="25"/>
    <x v="2"/>
    <x v="1"/>
    <n v="39950.82"/>
  </r>
  <r>
    <x v="29"/>
    <s v="PER"/>
    <x v="1"/>
    <x v="0"/>
    <x v="25"/>
    <x v="2"/>
    <x v="2"/>
    <n v="2758.36"/>
  </r>
  <r>
    <x v="29"/>
    <s v="PER"/>
    <x v="1"/>
    <x v="0"/>
    <x v="26"/>
    <x v="0"/>
    <x v="2"/>
    <n v="1402.57"/>
  </r>
  <r>
    <x v="29"/>
    <s v="PER"/>
    <x v="1"/>
    <x v="0"/>
    <x v="26"/>
    <x v="1"/>
    <x v="1"/>
    <n v="2037.58"/>
  </r>
  <r>
    <x v="29"/>
    <s v="PER"/>
    <x v="1"/>
    <x v="0"/>
    <x v="26"/>
    <x v="2"/>
    <x v="0"/>
    <n v="8776.86"/>
  </r>
  <r>
    <x v="29"/>
    <s v="PER"/>
    <x v="1"/>
    <x v="0"/>
    <x v="26"/>
    <x v="2"/>
    <x v="2"/>
    <n v="2944.8"/>
  </r>
  <r>
    <x v="29"/>
    <s v="PER"/>
    <x v="1"/>
    <x v="0"/>
    <x v="34"/>
    <x v="3"/>
    <x v="0"/>
    <n v="39816.480000000003"/>
  </r>
  <r>
    <x v="29"/>
    <s v="PER"/>
    <x v="1"/>
    <x v="0"/>
    <x v="34"/>
    <x v="4"/>
    <x v="2"/>
    <n v="-148.56"/>
  </r>
  <r>
    <x v="29"/>
    <s v="PER"/>
    <x v="1"/>
    <x v="0"/>
    <x v="27"/>
    <x v="1"/>
    <x v="0"/>
    <n v="69792.23"/>
  </r>
  <r>
    <x v="29"/>
    <s v="PER"/>
    <x v="1"/>
    <x v="0"/>
    <x v="27"/>
    <x v="5"/>
    <x v="2"/>
    <n v="825.39"/>
  </r>
  <r>
    <x v="29"/>
    <s v="PER"/>
    <x v="1"/>
    <x v="0"/>
    <x v="28"/>
    <x v="1"/>
    <x v="3"/>
    <n v="0"/>
  </r>
  <r>
    <x v="29"/>
    <s v="PER"/>
    <x v="1"/>
    <x v="0"/>
    <x v="28"/>
    <x v="5"/>
    <x v="1"/>
    <n v="1818.08"/>
  </r>
  <r>
    <x v="29"/>
    <s v="PER"/>
    <x v="1"/>
    <x v="0"/>
    <x v="28"/>
    <x v="2"/>
    <x v="0"/>
    <n v="10583.78"/>
  </r>
  <r>
    <x v="29"/>
    <s v="PER"/>
    <x v="1"/>
    <x v="0"/>
    <x v="29"/>
    <x v="6"/>
    <x v="1"/>
    <n v="43856.87"/>
  </r>
  <r>
    <x v="29"/>
    <s v="PER"/>
    <x v="1"/>
    <x v="0"/>
    <x v="29"/>
    <x v="3"/>
    <x v="3"/>
    <n v="2018.78"/>
  </r>
  <r>
    <x v="29"/>
    <s v="PER"/>
    <x v="1"/>
    <x v="0"/>
    <x v="29"/>
    <x v="4"/>
    <x v="0"/>
    <n v="-13484.19"/>
  </r>
  <r>
    <x v="29"/>
    <s v="PER"/>
    <x v="1"/>
    <x v="0"/>
    <x v="29"/>
    <x v="4"/>
    <x v="3"/>
    <n v="0"/>
  </r>
  <r>
    <x v="29"/>
    <s v="PER"/>
    <x v="1"/>
    <x v="0"/>
    <x v="29"/>
    <x v="2"/>
    <x v="3"/>
    <n v="0"/>
  </r>
  <r>
    <x v="29"/>
    <s v="PER"/>
    <x v="1"/>
    <x v="0"/>
    <x v="30"/>
    <x v="0"/>
    <x v="0"/>
    <n v="47784.3"/>
  </r>
  <r>
    <x v="29"/>
    <s v="PER"/>
    <x v="1"/>
    <x v="0"/>
    <x v="30"/>
    <x v="0"/>
    <x v="2"/>
    <n v="1594.77"/>
  </r>
  <r>
    <x v="29"/>
    <s v="PER"/>
    <x v="1"/>
    <x v="0"/>
    <x v="30"/>
    <x v="2"/>
    <x v="2"/>
    <n v="3354.63"/>
  </r>
  <r>
    <x v="29"/>
    <s v="PER"/>
    <x v="1"/>
    <x v="0"/>
    <x v="31"/>
    <x v="6"/>
    <x v="3"/>
    <n v="0"/>
  </r>
  <r>
    <x v="29"/>
    <s v="PER"/>
    <x v="1"/>
    <x v="0"/>
    <x v="31"/>
    <x v="5"/>
    <x v="3"/>
    <n v="0"/>
  </r>
  <r>
    <x v="29"/>
    <s v="PER"/>
    <x v="1"/>
    <x v="0"/>
    <x v="31"/>
    <x v="5"/>
    <x v="2"/>
    <n v="947.76"/>
  </r>
  <r>
    <x v="29"/>
    <s v="PER"/>
    <x v="1"/>
    <x v="0"/>
    <x v="31"/>
    <x v="2"/>
    <x v="3"/>
    <n v="0"/>
  </r>
  <r>
    <x v="29"/>
    <s v="PER"/>
    <x v="1"/>
    <x v="0"/>
    <x v="32"/>
    <x v="6"/>
    <x v="2"/>
    <n v="14095.34"/>
  </r>
  <r>
    <x v="29"/>
    <s v="PER"/>
    <x v="1"/>
    <x v="0"/>
    <x v="32"/>
    <x v="4"/>
    <x v="0"/>
    <n v="-14312.89"/>
  </r>
  <r>
    <x v="29"/>
    <s v="PER"/>
    <x v="1"/>
    <x v="0"/>
    <x v="32"/>
    <x v="1"/>
    <x v="2"/>
    <n v="1496.48"/>
  </r>
  <r>
    <x v="30"/>
    <s v="PHL"/>
    <x v="3"/>
    <x v="2"/>
    <x v="0"/>
    <x v="0"/>
    <x v="1"/>
    <n v="192.72"/>
  </r>
  <r>
    <x v="30"/>
    <s v="PHL"/>
    <x v="3"/>
    <x v="2"/>
    <x v="0"/>
    <x v="0"/>
    <x v="2"/>
    <n v="89.9"/>
  </r>
  <r>
    <x v="30"/>
    <s v="PHL"/>
    <x v="3"/>
    <x v="2"/>
    <x v="1"/>
    <x v="6"/>
    <x v="0"/>
    <n v="861.09"/>
  </r>
  <r>
    <x v="30"/>
    <s v="PHL"/>
    <x v="3"/>
    <x v="2"/>
    <x v="1"/>
    <x v="6"/>
    <x v="3"/>
    <n v="0"/>
  </r>
  <r>
    <x v="30"/>
    <s v="PHL"/>
    <x v="3"/>
    <x v="2"/>
    <x v="3"/>
    <x v="3"/>
    <x v="1"/>
    <n v="85.58"/>
  </r>
  <r>
    <x v="30"/>
    <s v="PHL"/>
    <x v="3"/>
    <x v="2"/>
    <x v="3"/>
    <x v="3"/>
    <x v="0"/>
    <n v="1371.47"/>
  </r>
  <r>
    <x v="30"/>
    <s v="PHL"/>
    <x v="3"/>
    <x v="2"/>
    <x v="3"/>
    <x v="3"/>
    <x v="3"/>
    <n v="89.72"/>
  </r>
  <r>
    <x v="30"/>
    <s v="PHL"/>
    <x v="3"/>
    <x v="2"/>
    <x v="4"/>
    <x v="6"/>
    <x v="2"/>
    <n v="1782.68"/>
  </r>
  <r>
    <x v="30"/>
    <s v="PHL"/>
    <x v="3"/>
    <x v="2"/>
    <x v="4"/>
    <x v="3"/>
    <x v="2"/>
    <n v="84.43"/>
  </r>
  <r>
    <x v="30"/>
    <s v="PHL"/>
    <x v="3"/>
    <x v="2"/>
    <x v="4"/>
    <x v="5"/>
    <x v="0"/>
    <n v="6169.06"/>
  </r>
  <r>
    <x v="30"/>
    <s v="PHL"/>
    <x v="3"/>
    <x v="2"/>
    <x v="5"/>
    <x v="6"/>
    <x v="0"/>
    <n v="882.97"/>
  </r>
  <r>
    <x v="30"/>
    <s v="PHL"/>
    <x v="3"/>
    <x v="2"/>
    <x v="5"/>
    <x v="6"/>
    <x v="3"/>
    <n v="0"/>
  </r>
  <r>
    <x v="30"/>
    <s v="PHL"/>
    <x v="3"/>
    <x v="2"/>
    <x v="5"/>
    <x v="0"/>
    <x v="3"/>
    <n v="0"/>
  </r>
  <r>
    <x v="30"/>
    <s v="PHL"/>
    <x v="3"/>
    <x v="2"/>
    <x v="5"/>
    <x v="1"/>
    <x v="0"/>
    <n v="5873.66"/>
  </r>
  <r>
    <x v="30"/>
    <s v="PHL"/>
    <x v="3"/>
    <x v="2"/>
    <x v="5"/>
    <x v="5"/>
    <x v="2"/>
    <n v="62.97"/>
  </r>
  <r>
    <x v="30"/>
    <s v="PHL"/>
    <x v="3"/>
    <x v="2"/>
    <x v="6"/>
    <x v="0"/>
    <x v="2"/>
    <n v="93.2"/>
  </r>
  <r>
    <x v="30"/>
    <s v="PHL"/>
    <x v="3"/>
    <x v="2"/>
    <x v="6"/>
    <x v="4"/>
    <x v="1"/>
    <n v="-47.45"/>
  </r>
  <r>
    <x v="30"/>
    <s v="PHL"/>
    <x v="3"/>
    <x v="2"/>
    <x v="6"/>
    <x v="1"/>
    <x v="1"/>
    <n v="207.63"/>
  </r>
  <r>
    <x v="30"/>
    <s v="PHL"/>
    <x v="3"/>
    <x v="2"/>
    <x v="6"/>
    <x v="2"/>
    <x v="1"/>
    <n v="9225.8700000000008"/>
  </r>
  <r>
    <x v="30"/>
    <s v="PHL"/>
    <x v="3"/>
    <x v="2"/>
    <x v="6"/>
    <x v="2"/>
    <x v="0"/>
    <n v="1600.54"/>
  </r>
  <r>
    <x v="30"/>
    <s v="PHL"/>
    <x v="3"/>
    <x v="2"/>
    <x v="7"/>
    <x v="3"/>
    <x v="3"/>
    <n v="93.09"/>
  </r>
  <r>
    <x v="30"/>
    <s v="PHL"/>
    <x v="3"/>
    <x v="2"/>
    <x v="7"/>
    <x v="1"/>
    <x v="1"/>
    <n v="200.23"/>
  </r>
  <r>
    <x v="30"/>
    <s v="PHL"/>
    <x v="3"/>
    <x v="2"/>
    <x v="8"/>
    <x v="3"/>
    <x v="1"/>
    <n v="92.81"/>
  </r>
  <r>
    <x v="30"/>
    <s v="PHL"/>
    <x v="3"/>
    <x v="2"/>
    <x v="8"/>
    <x v="1"/>
    <x v="1"/>
    <n v="215.76"/>
  </r>
  <r>
    <x v="30"/>
    <s v="PHL"/>
    <x v="3"/>
    <x v="2"/>
    <x v="8"/>
    <x v="1"/>
    <x v="0"/>
    <n v="6559.67"/>
  </r>
  <r>
    <x v="30"/>
    <s v="PHL"/>
    <x v="3"/>
    <x v="2"/>
    <x v="8"/>
    <x v="1"/>
    <x v="3"/>
    <n v="0"/>
  </r>
  <r>
    <x v="30"/>
    <s v="PHL"/>
    <x v="3"/>
    <x v="2"/>
    <x v="8"/>
    <x v="2"/>
    <x v="2"/>
    <n v="709.88"/>
  </r>
  <r>
    <x v="30"/>
    <s v="PHL"/>
    <x v="3"/>
    <x v="2"/>
    <x v="9"/>
    <x v="6"/>
    <x v="2"/>
    <n v="1930.93"/>
  </r>
  <r>
    <x v="30"/>
    <s v="PHL"/>
    <x v="3"/>
    <x v="2"/>
    <x v="9"/>
    <x v="0"/>
    <x v="2"/>
    <n v="120.83"/>
  </r>
  <r>
    <x v="30"/>
    <s v="PHL"/>
    <x v="3"/>
    <x v="2"/>
    <x v="9"/>
    <x v="3"/>
    <x v="0"/>
    <n v="1487.29"/>
  </r>
  <r>
    <x v="30"/>
    <s v="PHL"/>
    <x v="3"/>
    <x v="2"/>
    <x v="9"/>
    <x v="5"/>
    <x v="3"/>
    <n v="0"/>
  </r>
  <r>
    <x v="30"/>
    <s v="PHL"/>
    <x v="3"/>
    <x v="2"/>
    <x v="10"/>
    <x v="4"/>
    <x v="1"/>
    <n v="-62.65"/>
  </r>
  <r>
    <x v="30"/>
    <s v="PHL"/>
    <x v="3"/>
    <x v="2"/>
    <x v="10"/>
    <x v="4"/>
    <x v="0"/>
    <n v="-5822.23"/>
  </r>
  <r>
    <x v="30"/>
    <s v="PHL"/>
    <x v="3"/>
    <x v="2"/>
    <x v="10"/>
    <x v="1"/>
    <x v="2"/>
    <n v="145.46"/>
  </r>
  <r>
    <x v="30"/>
    <s v="PHL"/>
    <x v="3"/>
    <x v="2"/>
    <x v="11"/>
    <x v="4"/>
    <x v="3"/>
    <n v="0"/>
  </r>
  <r>
    <x v="30"/>
    <s v="PHL"/>
    <x v="3"/>
    <x v="2"/>
    <x v="11"/>
    <x v="5"/>
    <x v="1"/>
    <n v="140.38999999999999"/>
  </r>
  <r>
    <x v="30"/>
    <s v="PHL"/>
    <x v="3"/>
    <x v="2"/>
    <x v="11"/>
    <x v="2"/>
    <x v="0"/>
    <n v="2123.4499999999998"/>
  </r>
  <r>
    <x v="30"/>
    <s v="PHL"/>
    <x v="3"/>
    <x v="2"/>
    <x v="12"/>
    <x v="4"/>
    <x v="2"/>
    <n v="-62.79"/>
  </r>
  <r>
    <x v="30"/>
    <s v="PHL"/>
    <x v="3"/>
    <x v="2"/>
    <x v="12"/>
    <x v="1"/>
    <x v="1"/>
    <n v="253.11"/>
  </r>
  <r>
    <x v="30"/>
    <s v="PHL"/>
    <x v="3"/>
    <x v="2"/>
    <x v="12"/>
    <x v="5"/>
    <x v="1"/>
    <n v="167.48"/>
  </r>
  <r>
    <x v="30"/>
    <s v="PHL"/>
    <x v="3"/>
    <x v="2"/>
    <x v="13"/>
    <x v="3"/>
    <x v="1"/>
    <n v="112.38"/>
  </r>
  <r>
    <x v="30"/>
    <s v="PHL"/>
    <x v="3"/>
    <x v="2"/>
    <x v="14"/>
    <x v="0"/>
    <x v="1"/>
    <n v="302.98"/>
  </r>
  <r>
    <x v="30"/>
    <s v="PHL"/>
    <x v="3"/>
    <x v="2"/>
    <x v="14"/>
    <x v="3"/>
    <x v="0"/>
    <n v="1797.24"/>
  </r>
  <r>
    <x v="30"/>
    <s v="PHL"/>
    <x v="3"/>
    <x v="2"/>
    <x v="14"/>
    <x v="5"/>
    <x v="1"/>
    <n v="156.6"/>
  </r>
  <r>
    <x v="30"/>
    <s v="PHL"/>
    <x v="3"/>
    <x v="2"/>
    <x v="14"/>
    <x v="5"/>
    <x v="0"/>
    <n v="7184.97"/>
  </r>
  <r>
    <x v="30"/>
    <s v="PHL"/>
    <x v="3"/>
    <x v="2"/>
    <x v="14"/>
    <x v="5"/>
    <x v="3"/>
    <n v="0"/>
  </r>
  <r>
    <x v="30"/>
    <s v="PHL"/>
    <x v="3"/>
    <x v="2"/>
    <x v="15"/>
    <x v="3"/>
    <x v="2"/>
    <n v="123.62"/>
  </r>
  <r>
    <x v="30"/>
    <s v="PHL"/>
    <x v="3"/>
    <x v="2"/>
    <x v="15"/>
    <x v="4"/>
    <x v="0"/>
    <n v="-6737.89"/>
  </r>
  <r>
    <x v="30"/>
    <s v="PHL"/>
    <x v="3"/>
    <x v="2"/>
    <x v="15"/>
    <x v="1"/>
    <x v="1"/>
    <n v="266.33"/>
  </r>
  <r>
    <x v="30"/>
    <s v="PHL"/>
    <x v="3"/>
    <x v="2"/>
    <x v="16"/>
    <x v="4"/>
    <x v="0"/>
    <n v="-7454.41"/>
  </r>
  <r>
    <x v="30"/>
    <s v="PHL"/>
    <x v="3"/>
    <x v="2"/>
    <x v="16"/>
    <x v="1"/>
    <x v="1"/>
    <n v="278.36"/>
  </r>
  <r>
    <x v="30"/>
    <s v="PHL"/>
    <x v="3"/>
    <x v="2"/>
    <x v="16"/>
    <x v="5"/>
    <x v="3"/>
    <n v="0"/>
  </r>
  <r>
    <x v="30"/>
    <s v="PHL"/>
    <x v="3"/>
    <x v="2"/>
    <x v="17"/>
    <x v="3"/>
    <x v="2"/>
    <n v="125.03"/>
  </r>
  <r>
    <x v="30"/>
    <s v="PHL"/>
    <x v="3"/>
    <x v="2"/>
    <x v="33"/>
    <x v="6"/>
    <x v="1"/>
    <n v="9334.01"/>
  </r>
  <r>
    <x v="30"/>
    <s v="PHL"/>
    <x v="3"/>
    <x v="2"/>
    <x v="18"/>
    <x v="4"/>
    <x v="2"/>
    <n v="-68.37"/>
  </r>
  <r>
    <x v="30"/>
    <s v="PHL"/>
    <x v="3"/>
    <x v="2"/>
    <x v="18"/>
    <x v="1"/>
    <x v="2"/>
    <n v="169.24"/>
  </r>
  <r>
    <x v="30"/>
    <s v="PHL"/>
    <x v="3"/>
    <x v="2"/>
    <x v="19"/>
    <x v="5"/>
    <x v="1"/>
    <n v="213.89"/>
  </r>
  <r>
    <x v="30"/>
    <s v="PHL"/>
    <x v="3"/>
    <x v="2"/>
    <x v="20"/>
    <x v="6"/>
    <x v="1"/>
    <n v="8200.7800000000007"/>
  </r>
  <r>
    <x v="30"/>
    <s v="PHL"/>
    <x v="3"/>
    <x v="2"/>
    <x v="20"/>
    <x v="0"/>
    <x v="1"/>
    <n v="372.88"/>
  </r>
  <r>
    <x v="30"/>
    <s v="PHL"/>
    <x v="3"/>
    <x v="2"/>
    <x v="20"/>
    <x v="0"/>
    <x v="2"/>
    <n v="154.51"/>
  </r>
  <r>
    <x v="30"/>
    <s v="PHL"/>
    <x v="3"/>
    <x v="2"/>
    <x v="20"/>
    <x v="4"/>
    <x v="3"/>
    <n v="0"/>
  </r>
  <r>
    <x v="30"/>
    <s v="PHL"/>
    <x v="3"/>
    <x v="2"/>
    <x v="20"/>
    <x v="2"/>
    <x v="3"/>
    <n v="0"/>
  </r>
  <r>
    <x v="30"/>
    <s v="PHL"/>
    <x v="3"/>
    <x v="2"/>
    <x v="21"/>
    <x v="4"/>
    <x v="1"/>
    <n v="-86.17"/>
  </r>
  <r>
    <x v="30"/>
    <s v="PHL"/>
    <x v="3"/>
    <x v="2"/>
    <x v="21"/>
    <x v="4"/>
    <x v="0"/>
    <n v="-7646.96"/>
  </r>
  <r>
    <x v="30"/>
    <s v="PHL"/>
    <x v="3"/>
    <x v="2"/>
    <x v="21"/>
    <x v="1"/>
    <x v="0"/>
    <n v="9831.42"/>
  </r>
  <r>
    <x v="30"/>
    <s v="PHL"/>
    <x v="3"/>
    <x v="2"/>
    <x v="21"/>
    <x v="1"/>
    <x v="3"/>
    <n v="0"/>
  </r>
  <r>
    <x v="30"/>
    <s v="PHL"/>
    <x v="3"/>
    <x v="2"/>
    <x v="22"/>
    <x v="6"/>
    <x v="2"/>
    <n v="2944.84"/>
  </r>
  <r>
    <x v="30"/>
    <s v="PHL"/>
    <x v="3"/>
    <x v="2"/>
    <x v="22"/>
    <x v="5"/>
    <x v="1"/>
    <n v="202.42"/>
  </r>
  <r>
    <x v="30"/>
    <s v="PHL"/>
    <x v="3"/>
    <x v="2"/>
    <x v="22"/>
    <x v="2"/>
    <x v="0"/>
    <n v="2746.45"/>
  </r>
  <r>
    <x v="30"/>
    <s v="PHL"/>
    <x v="3"/>
    <x v="2"/>
    <x v="23"/>
    <x v="4"/>
    <x v="1"/>
    <n v="-71.430000000000007"/>
  </r>
  <r>
    <x v="30"/>
    <s v="PHL"/>
    <x v="3"/>
    <x v="2"/>
    <x v="23"/>
    <x v="2"/>
    <x v="0"/>
    <n v="2691.36"/>
  </r>
  <r>
    <x v="30"/>
    <s v="PHL"/>
    <x v="3"/>
    <x v="2"/>
    <x v="23"/>
    <x v="2"/>
    <x v="2"/>
    <n v="972.86"/>
  </r>
  <r>
    <x v="30"/>
    <s v="PHL"/>
    <x v="3"/>
    <x v="2"/>
    <x v="24"/>
    <x v="3"/>
    <x v="3"/>
    <n v="161.32"/>
  </r>
  <r>
    <x v="30"/>
    <s v="PHL"/>
    <x v="3"/>
    <x v="2"/>
    <x v="24"/>
    <x v="5"/>
    <x v="3"/>
    <n v="0"/>
  </r>
  <r>
    <x v="30"/>
    <s v="PHL"/>
    <x v="3"/>
    <x v="2"/>
    <x v="24"/>
    <x v="5"/>
    <x v="2"/>
    <n v="106.72"/>
  </r>
  <r>
    <x v="30"/>
    <s v="PHL"/>
    <x v="3"/>
    <x v="2"/>
    <x v="24"/>
    <x v="2"/>
    <x v="0"/>
    <n v="3055.23"/>
  </r>
  <r>
    <x v="30"/>
    <s v="PHL"/>
    <x v="3"/>
    <x v="2"/>
    <x v="25"/>
    <x v="6"/>
    <x v="0"/>
    <n v="1677.26"/>
  </r>
  <r>
    <x v="30"/>
    <s v="PHL"/>
    <x v="3"/>
    <x v="2"/>
    <x v="25"/>
    <x v="3"/>
    <x v="3"/>
    <n v="161.47"/>
  </r>
  <r>
    <x v="30"/>
    <s v="PHL"/>
    <x v="3"/>
    <x v="2"/>
    <x v="25"/>
    <x v="2"/>
    <x v="1"/>
    <n v="18246.689999999999"/>
  </r>
  <r>
    <x v="30"/>
    <s v="PHL"/>
    <x v="3"/>
    <x v="2"/>
    <x v="26"/>
    <x v="6"/>
    <x v="3"/>
    <n v="0"/>
  </r>
  <r>
    <x v="30"/>
    <s v="PHL"/>
    <x v="3"/>
    <x v="2"/>
    <x v="26"/>
    <x v="1"/>
    <x v="3"/>
    <n v="0"/>
  </r>
  <r>
    <x v="30"/>
    <s v="PHL"/>
    <x v="3"/>
    <x v="2"/>
    <x v="26"/>
    <x v="5"/>
    <x v="3"/>
    <n v="0"/>
  </r>
  <r>
    <x v="30"/>
    <s v="PHL"/>
    <x v="3"/>
    <x v="2"/>
    <x v="34"/>
    <x v="6"/>
    <x v="1"/>
    <n v="10869.16"/>
  </r>
  <r>
    <x v="30"/>
    <s v="PHL"/>
    <x v="3"/>
    <x v="2"/>
    <x v="34"/>
    <x v="6"/>
    <x v="2"/>
    <n v="3199.48"/>
  </r>
  <r>
    <x v="30"/>
    <s v="PHL"/>
    <x v="3"/>
    <x v="2"/>
    <x v="34"/>
    <x v="1"/>
    <x v="0"/>
    <n v="10103.11"/>
  </r>
  <r>
    <x v="30"/>
    <s v="PHL"/>
    <x v="3"/>
    <x v="2"/>
    <x v="27"/>
    <x v="6"/>
    <x v="1"/>
    <n v="12555.95"/>
  </r>
  <r>
    <x v="30"/>
    <s v="PHL"/>
    <x v="3"/>
    <x v="2"/>
    <x v="27"/>
    <x v="6"/>
    <x v="3"/>
    <n v="0"/>
  </r>
  <r>
    <x v="30"/>
    <s v="PHL"/>
    <x v="3"/>
    <x v="2"/>
    <x v="27"/>
    <x v="3"/>
    <x v="2"/>
    <n v="162.83000000000001"/>
  </r>
  <r>
    <x v="30"/>
    <s v="PHL"/>
    <x v="3"/>
    <x v="2"/>
    <x v="27"/>
    <x v="4"/>
    <x v="0"/>
    <n v="-8982.52"/>
  </r>
  <r>
    <x v="30"/>
    <s v="PHL"/>
    <x v="3"/>
    <x v="2"/>
    <x v="27"/>
    <x v="1"/>
    <x v="1"/>
    <n v="365.72"/>
  </r>
  <r>
    <x v="30"/>
    <s v="PHL"/>
    <x v="3"/>
    <x v="2"/>
    <x v="27"/>
    <x v="1"/>
    <x v="0"/>
    <n v="11199.66"/>
  </r>
  <r>
    <x v="30"/>
    <s v="PHL"/>
    <x v="3"/>
    <x v="2"/>
    <x v="28"/>
    <x v="6"/>
    <x v="3"/>
    <n v="0"/>
  </r>
  <r>
    <x v="30"/>
    <s v="PHL"/>
    <x v="3"/>
    <x v="2"/>
    <x v="28"/>
    <x v="6"/>
    <x v="2"/>
    <n v="3374.22"/>
  </r>
  <r>
    <x v="30"/>
    <s v="PHL"/>
    <x v="3"/>
    <x v="2"/>
    <x v="28"/>
    <x v="4"/>
    <x v="1"/>
    <n v="-97.79"/>
  </r>
  <r>
    <x v="30"/>
    <s v="PHL"/>
    <x v="3"/>
    <x v="2"/>
    <x v="28"/>
    <x v="1"/>
    <x v="1"/>
    <n v="419.24"/>
  </r>
  <r>
    <x v="30"/>
    <s v="PHL"/>
    <x v="3"/>
    <x v="2"/>
    <x v="28"/>
    <x v="5"/>
    <x v="1"/>
    <n v="237.47"/>
  </r>
  <r>
    <x v="30"/>
    <s v="PHL"/>
    <x v="3"/>
    <x v="2"/>
    <x v="28"/>
    <x v="5"/>
    <x v="0"/>
    <n v="11648.98"/>
  </r>
  <r>
    <x v="30"/>
    <s v="PHL"/>
    <x v="3"/>
    <x v="2"/>
    <x v="29"/>
    <x v="6"/>
    <x v="2"/>
    <n v="3363.09"/>
  </r>
  <r>
    <x v="30"/>
    <s v="PHL"/>
    <x v="3"/>
    <x v="2"/>
    <x v="29"/>
    <x v="0"/>
    <x v="3"/>
    <n v="0"/>
  </r>
  <r>
    <x v="30"/>
    <s v="PHL"/>
    <x v="3"/>
    <x v="2"/>
    <x v="30"/>
    <x v="6"/>
    <x v="1"/>
    <n v="11548.93"/>
  </r>
  <r>
    <x v="30"/>
    <s v="PHL"/>
    <x v="3"/>
    <x v="2"/>
    <x v="30"/>
    <x v="4"/>
    <x v="0"/>
    <n v="-9110.6"/>
  </r>
  <r>
    <x v="30"/>
    <s v="PHL"/>
    <x v="3"/>
    <x v="2"/>
    <x v="30"/>
    <x v="4"/>
    <x v="3"/>
    <n v="0"/>
  </r>
  <r>
    <x v="30"/>
    <s v="PHL"/>
    <x v="3"/>
    <x v="2"/>
    <x v="30"/>
    <x v="2"/>
    <x v="1"/>
    <n v="18233.71"/>
  </r>
  <r>
    <x v="30"/>
    <s v="PHL"/>
    <x v="3"/>
    <x v="2"/>
    <x v="31"/>
    <x v="0"/>
    <x v="1"/>
    <n v="468.01"/>
  </r>
  <r>
    <x v="30"/>
    <s v="PHL"/>
    <x v="3"/>
    <x v="2"/>
    <x v="31"/>
    <x v="4"/>
    <x v="1"/>
    <n v="-103.89"/>
  </r>
  <r>
    <x v="30"/>
    <s v="PHL"/>
    <x v="3"/>
    <x v="2"/>
    <x v="31"/>
    <x v="4"/>
    <x v="0"/>
    <n v="-9370.48"/>
  </r>
  <r>
    <x v="30"/>
    <s v="PHL"/>
    <x v="3"/>
    <x v="2"/>
    <x v="31"/>
    <x v="1"/>
    <x v="2"/>
    <n v="259.27"/>
  </r>
  <r>
    <x v="30"/>
    <s v="PHL"/>
    <x v="3"/>
    <x v="2"/>
    <x v="32"/>
    <x v="6"/>
    <x v="1"/>
    <n v="12466.8"/>
  </r>
  <r>
    <x v="30"/>
    <s v="PHL"/>
    <x v="3"/>
    <x v="2"/>
    <x v="32"/>
    <x v="1"/>
    <x v="3"/>
    <n v="0"/>
  </r>
  <r>
    <x v="31"/>
    <s v="POL"/>
    <x v="4"/>
    <x v="1"/>
    <x v="0"/>
    <x v="0"/>
    <x v="2"/>
    <n v="1076.76"/>
  </r>
  <r>
    <x v="31"/>
    <s v="POL"/>
    <x v="4"/>
    <x v="1"/>
    <x v="0"/>
    <x v="5"/>
    <x v="3"/>
    <n v="0"/>
  </r>
  <r>
    <x v="31"/>
    <s v="POL"/>
    <x v="4"/>
    <x v="1"/>
    <x v="0"/>
    <x v="2"/>
    <x v="1"/>
    <n v="30520.3"/>
  </r>
  <r>
    <x v="31"/>
    <s v="POL"/>
    <x v="4"/>
    <x v="1"/>
    <x v="0"/>
    <x v="2"/>
    <x v="0"/>
    <n v="5458.13"/>
  </r>
  <r>
    <x v="31"/>
    <s v="POL"/>
    <x v="4"/>
    <x v="1"/>
    <x v="0"/>
    <x v="2"/>
    <x v="3"/>
    <n v="0"/>
  </r>
  <r>
    <x v="31"/>
    <s v="POL"/>
    <x v="4"/>
    <x v="1"/>
    <x v="1"/>
    <x v="6"/>
    <x v="0"/>
    <n v="14861.24"/>
  </r>
  <r>
    <x v="31"/>
    <s v="POL"/>
    <x v="4"/>
    <x v="1"/>
    <x v="1"/>
    <x v="1"/>
    <x v="2"/>
    <n v="370.73"/>
  </r>
  <r>
    <x v="31"/>
    <s v="POL"/>
    <x v="4"/>
    <x v="1"/>
    <x v="2"/>
    <x v="6"/>
    <x v="1"/>
    <n v="111905.55"/>
  </r>
  <r>
    <x v="31"/>
    <s v="POL"/>
    <x v="4"/>
    <x v="1"/>
    <x v="2"/>
    <x v="1"/>
    <x v="1"/>
    <n v="586.36"/>
  </r>
  <r>
    <x v="31"/>
    <s v="POL"/>
    <x v="4"/>
    <x v="1"/>
    <x v="2"/>
    <x v="2"/>
    <x v="3"/>
    <n v="0"/>
  </r>
  <r>
    <x v="31"/>
    <s v="POL"/>
    <x v="4"/>
    <x v="1"/>
    <x v="3"/>
    <x v="6"/>
    <x v="1"/>
    <n v="84546.13"/>
  </r>
  <r>
    <x v="31"/>
    <s v="POL"/>
    <x v="4"/>
    <x v="1"/>
    <x v="3"/>
    <x v="6"/>
    <x v="0"/>
    <n v="11921.75"/>
  </r>
  <r>
    <x v="31"/>
    <s v="POL"/>
    <x v="4"/>
    <x v="1"/>
    <x v="4"/>
    <x v="2"/>
    <x v="0"/>
    <n v="5294.12"/>
  </r>
  <r>
    <x v="31"/>
    <s v="POL"/>
    <x v="4"/>
    <x v="1"/>
    <x v="5"/>
    <x v="6"/>
    <x v="1"/>
    <n v="119048.15"/>
  </r>
  <r>
    <x v="31"/>
    <s v="POL"/>
    <x v="4"/>
    <x v="1"/>
    <x v="5"/>
    <x v="0"/>
    <x v="1"/>
    <n v="2939.04"/>
  </r>
  <r>
    <x v="31"/>
    <s v="POL"/>
    <x v="4"/>
    <x v="1"/>
    <x v="5"/>
    <x v="0"/>
    <x v="2"/>
    <n v="1221.2"/>
  </r>
  <r>
    <x v="31"/>
    <s v="POL"/>
    <x v="4"/>
    <x v="1"/>
    <x v="5"/>
    <x v="4"/>
    <x v="2"/>
    <n v="-625.85"/>
  </r>
  <r>
    <x v="31"/>
    <s v="POL"/>
    <x v="4"/>
    <x v="1"/>
    <x v="5"/>
    <x v="5"/>
    <x v="0"/>
    <n v="146073.10999999999"/>
  </r>
  <r>
    <x v="31"/>
    <s v="POL"/>
    <x v="4"/>
    <x v="1"/>
    <x v="5"/>
    <x v="5"/>
    <x v="2"/>
    <n v="1455.23"/>
  </r>
  <r>
    <x v="31"/>
    <s v="POL"/>
    <x v="4"/>
    <x v="1"/>
    <x v="6"/>
    <x v="3"/>
    <x v="1"/>
    <n v="2177.67"/>
  </r>
  <r>
    <x v="31"/>
    <s v="POL"/>
    <x v="4"/>
    <x v="1"/>
    <x v="7"/>
    <x v="0"/>
    <x v="3"/>
    <n v="0"/>
  </r>
  <r>
    <x v="31"/>
    <s v="POL"/>
    <x v="4"/>
    <x v="1"/>
    <x v="7"/>
    <x v="1"/>
    <x v="0"/>
    <n v="19035.330000000002"/>
  </r>
  <r>
    <x v="31"/>
    <s v="POL"/>
    <x v="4"/>
    <x v="1"/>
    <x v="7"/>
    <x v="2"/>
    <x v="3"/>
    <n v="0"/>
  </r>
  <r>
    <x v="31"/>
    <s v="POL"/>
    <x v="4"/>
    <x v="1"/>
    <x v="8"/>
    <x v="5"/>
    <x v="1"/>
    <n v="2855.77"/>
  </r>
  <r>
    <x v="31"/>
    <s v="POL"/>
    <x v="4"/>
    <x v="1"/>
    <x v="8"/>
    <x v="2"/>
    <x v="0"/>
    <n v="5377.43"/>
  </r>
  <r>
    <x v="31"/>
    <s v="POL"/>
    <x v="4"/>
    <x v="1"/>
    <x v="9"/>
    <x v="0"/>
    <x v="2"/>
    <n v="1181.1199999999999"/>
  </r>
  <r>
    <x v="31"/>
    <s v="POL"/>
    <x v="4"/>
    <x v="1"/>
    <x v="9"/>
    <x v="4"/>
    <x v="3"/>
    <n v="0"/>
  </r>
  <r>
    <x v="31"/>
    <s v="POL"/>
    <x v="4"/>
    <x v="1"/>
    <x v="9"/>
    <x v="1"/>
    <x v="0"/>
    <n v="16582.97"/>
  </r>
  <r>
    <x v="31"/>
    <s v="POL"/>
    <x v="4"/>
    <x v="1"/>
    <x v="9"/>
    <x v="5"/>
    <x v="0"/>
    <n v="126432.24"/>
  </r>
  <r>
    <x v="31"/>
    <s v="POL"/>
    <x v="4"/>
    <x v="1"/>
    <x v="10"/>
    <x v="0"/>
    <x v="1"/>
    <n v="2803.29"/>
  </r>
  <r>
    <x v="31"/>
    <s v="POL"/>
    <x v="4"/>
    <x v="1"/>
    <x v="10"/>
    <x v="0"/>
    <x v="3"/>
    <n v="0"/>
  </r>
  <r>
    <x v="31"/>
    <s v="POL"/>
    <x v="4"/>
    <x v="1"/>
    <x v="10"/>
    <x v="4"/>
    <x v="1"/>
    <n v="-588.69000000000005"/>
  </r>
  <r>
    <x v="31"/>
    <s v="POL"/>
    <x v="4"/>
    <x v="1"/>
    <x v="10"/>
    <x v="5"/>
    <x v="1"/>
    <n v="2815.6"/>
  </r>
  <r>
    <x v="31"/>
    <s v="POL"/>
    <x v="4"/>
    <x v="1"/>
    <x v="11"/>
    <x v="4"/>
    <x v="1"/>
    <n v="-563.28"/>
  </r>
  <r>
    <x v="31"/>
    <s v="POL"/>
    <x v="4"/>
    <x v="1"/>
    <x v="11"/>
    <x v="2"/>
    <x v="0"/>
    <n v="5146.2299999999996"/>
  </r>
  <r>
    <x v="31"/>
    <s v="POL"/>
    <x v="4"/>
    <x v="1"/>
    <x v="12"/>
    <x v="6"/>
    <x v="3"/>
    <n v="0"/>
  </r>
  <r>
    <x v="31"/>
    <s v="POL"/>
    <x v="4"/>
    <x v="1"/>
    <x v="12"/>
    <x v="5"/>
    <x v="3"/>
    <n v="0"/>
  </r>
  <r>
    <x v="31"/>
    <s v="POL"/>
    <x v="4"/>
    <x v="1"/>
    <x v="13"/>
    <x v="0"/>
    <x v="1"/>
    <n v="2940.85"/>
  </r>
  <r>
    <x v="31"/>
    <s v="POL"/>
    <x v="4"/>
    <x v="1"/>
    <x v="13"/>
    <x v="4"/>
    <x v="1"/>
    <n v="-561.01"/>
  </r>
  <r>
    <x v="31"/>
    <s v="POL"/>
    <x v="4"/>
    <x v="1"/>
    <x v="14"/>
    <x v="6"/>
    <x v="0"/>
    <n v="15434.97"/>
  </r>
  <r>
    <x v="31"/>
    <s v="POL"/>
    <x v="4"/>
    <x v="1"/>
    <x v="14"/>
    <x v="2"/>
    <x v="3"/>
    <n v="0"/>
  </r>
  <r>
    <x v="31"/>
    <s v="POL"/>
    <x v="4"/>
    <x v="1"/>
    <x v="15"/>
    <x v="0"/>
    <x v="1"/>
    <n v="3074.3"/>
  </r>
  <r>
    <x v="31"/>
    <s v="POL"/>
    <x v="4"/>
    <x v="1"/>
    <x v="15"/>
    <x v="0"/>
    <x v="0"/>
    <n v="39647.800000000003"/>
  </r>
  <r>
    <x v="31"/>
    <s v="POL"/>
    <x v="4"/>
    <x v="1"/>
    <x v="15"/>
    <x v="3"/>
    <x v="1"/>
    <n v="2300.9299999999998"/>
  </r>
  <r>
    <x v="31"/>
    <s v="POL"/>
    <x v="4"/>
    <x v="1"/>
    <x v="15"/>
    <x v="2"/>
    <x v="1"/>
    <n v="30938.38"/>
  </r>
  <r>
    <x v="31"/>
    <s v="POL"/>
    <x v="4"/>
    <x v="1"/>
    <x v="16"/>
    <x v="0"/>
    <x v="0"/>
    <n v="35210.54"/>
  </r>
  <r>
    <x v="31"/>
    <s v="POL"/>
    <x v="4"/>
    <x v="1"/>
    <x v="16"/>
    <x v="4"/>
    <x v="3"/>
    <n v="0"/>
  </r>
  <r>
    <x v="31"/>
    <s v="POL"/>
    <x v="4"/>
    <x v="1"/>
    <x v="16"/>
    <x v="5"/>
    <x v="2"/>
    <n v="1499.28"/>
  </r>
  <r>
    <x v="31"/>
    <s v="POL"/>
    <x v="4"/>
    <x v="1"/>
    <x v="17"/>
    <x v="4"/>
    <x v="0"/>
    <n v="-54791.56"/>
  </r>
  <r>
    <x v="31"/>
    <s v="POL"/>
    <x v="4"/>
    <x v="1"/>
    <x v="17"/>
    <x v="2"/>
    <x v="0"/>
    <n v="5415.94"/>
  </r>
  <r>
    <x v="31"/>
    <s v="POL"/>
    <x v="4"/>
    <x v="1"/>
    <x v="33"/>
    <x v="0"/>
    <x v="1"/>
    <n v="3046.27"/>
  </r>
  <r>
    <x v="31"/>
    <s v="POL"/>
    <x v="4"/>
    <x v="1"/>
    <x v="33"/>
    <x v="4"/>
    <x v="3"/>
    <n v="0"/>
  </r>
  <r>
    <x v="31"/>
    <s v="POL"/>
    <x v="4"/>
    <x v="1"/>
    <x v="33"/>
    <x v="4"/>
    <x v="2"/>
    <n v="-631.1"/>
  </r>
  <r>
    <x v="31"/>
    <s v="POL"/>
    <x v="4"/>
    <x v="1"/>
    <x v="18"/>
    <x v="6"/>
    <x v="2"/>
    <n v="30110.22"/>
  </r>
  <r>
    <x v="31"/>
    <s v="POL"/>
    <x v="4"/>
    <x v="1"/>
    <x v="18"/>
    <x v="4"/>
    <x v="0"/>
    <n v="-55988.7"/>
  </r>
  <r>
    <x v="31"/>
    <s v="POL"/>
    <x v="4"/>
    <x v="1"/>
    <x v="18"/>
    <x v="4"/>
    <x v="2"/>
    <n v="-562.05999999999995"/>
  </r>
  <r>
    <x v="31"/>
    <s v="POL"/>
    <x v="4"/>
    <x v="1"/>
    <x v="19"/>
    <x v="6"/>
    <x v="0"/>
    <n v="13734.52"/>
  </r>
  <r>
    <x v="31"/>
    <s v="POL"/>
    <x v="4"/>
    <x v="1"/>
    <x v="19"/>
    <x v="6"/>
    <x v="2"/>
    <n v="29230.639999999999"/>
  </r>
  <r>
    <x v="31"/>
    <s v="POL"/>
    <x v="4"/>
    <x v="1"/>
    <x v="19"/>
    <x v="4"/>
    <x v="3"/>
    <n v="0"/>
  </r>
  <r>
    <x v="31"/>
    <s v="POL"/>
    <x v="4"/>
    <x v="1"/>
    <x v="19"/>
    <x v="2"/>
    <x v="1"/>
    <n v="29539.67"/>
  </r>
  <r>
    <x v="31"/>
    <s v="POL"/>
    <x v="4"/>
    <x v="1"/>
    <x v="20"/>
    <x v="3"/>
    <x v="2"/>
    <n v="2138.4899999999998"/>
  </r>
  <r>
    <x v="31"/>
    <s v="POL"/>
    <x v="4"/>
    <x v="1"/>
    <x v="20"/>
    <x v="1"/>
    <x v="2"/>
    <n v="412.76"/>
  </r>
  <r>
    <x v="31"/>
    <s v="POL"/>
    <x v="4"/>
    <x v="1"/>
    <x v="20"/>
    <x v="2"/>
    <x v="3"/>
    <n v="0"/>
  </r>
  <r>
    <x v="31"/>
    <s v="POL"/>
    <x v="4"/>
    <x v="1"/>
    <x v="21"/>
    <x v="3"/>
    <x v="0"/>
    <n v="40540.06"/>
  </r>
  <r>
    <x v="31"/>
    <s v="POL"/>
    <x v="4"/>
    <x v="1"/>
    <x v="21"/>
    <x v="4"/>
    <x v="1"/>
    <n v="-601.36"/>
  </r>
  <r>
    <x v="31"/>
    <s v="POL"/>
    <x v="4"/>
    <x v="1"/>
    <x v="21"/>
    <x v="1"/>
    <x v="3"/>
    <n v="0"/>
  </r>
  <r>
    <x v="31"/>
    <s v="POL"/>
    <x v="4"/>
    <x v="1"/>
    <x v="22"/>
    <x v="4"/>
    <x v="0"/>
    <n v="-54252.94"/>
  </r>
  <r>
    <x v="31"/>
    <s v="POL"/>
    <x v="4"/>
    <x v="1"/>
    <x v="22"/>
    <x v="4"/>
    <x v="3"/>
    <n v="0"/>
  </r>
  <r>
    <x v="31"/>
    <s v="POL"/>
    <x v="4"/>
    <x v="1"/>
    <x v="22"/>
    <x v="2"/>
    <x v="3"/>
    <n v="0"/>
  </r>
  <r>
    <x v="31"/>
    <s v="POL"/>
    <x v="4"/>
    <x v="1"/>
    <x v="22"/>
    <x v="2"/>
    <x v="2"/>
    <n v="1895.58"/>
  </r>
  <r>
    <x v="31"/>
    <s v="POL"/>
    <x v="4"/>
    <x v="1"/>
    <x v="23"/>
    <x v="5"/>
    <x v="3"/>
    <n v="0"/>
  </r>
  <r>
    <x v="31"/>
    <s v="POL"/>
    <x v="4"/>
    <x v="1"/>
    <x v="24"/>
    <x v="6"/>
    <x v="2"/>
    <n v="28908.14"/>
  </r>
  <r>
    <x v="31"/>
    <s v="POL"/>
    <x v="4"/>
    <x v="1"/>
    <x v="24"/>
    <x v="0"/>
    <x v="3"/>
    <n v="0"/>
  </r>
  <r>
    <x v="31"/>
    <s v="POL"/>
    <x v="4"/>
    <x v="1"/>
    <x v="24"/>
    <x v="4"/>
    <x v="0"/>
    <n v="-49611.98"/>
  </r>
  <r>
    <x v="31"/>
    <s v="POL"/>
    <x v="4"/>
    <x v="1"/>
    <x v="24"/>
    <x v="5"/>
    <x v="1"/>
    <n v="2574.9499999999998"/>
  </r>
  <r>
    <x v="31"/>
    <s v="POL"/>
    <x v="4"/>
    <x v="1"/>
    <x v="25"/>
    <x v="1"/>
    <x v="1"/>
    <n v="515.55999999999995"/>
  </r>
  <r>
    <x v="31"/>
    <s v="POL"/>
    <x v="4"/>
    <x v="1"/>
    <x v="25"/>
    <x v="1"/>
    <x v="0"/>
    <n v="15996.37"/>
  </r>
  <r>
    <x v="31"/>
    <s v="POL"/>
    <x v="4"/>
    <x v="1"/>
    <x v="26"/>
    <x v="6"/>
    <x v="1"/>
    <n v="111125.09"/>
  </r>
  <r>
    <x v="31"/>
    <s v="POL"/>
    <x v="4"/>
    <x v="1"/>
    <x v="26"/>
    <x v="0"/>
    <x v="2"/>
    <n v="1196.26"/>
  </r>
  <r>
    <x v="31"/>
    <s v="POL"/>
    <x v="4"/>
    <x v="1"/>
    <x v="26"/>
    <x v="2"/>
    <x v="1"/>
    <n v="26301.08"/>
  </r>
  <r>
    <x v="31"/>
    <s v="POL"/>
    <x v="4"/>
    <x v="1"/>
    <x v="26"/>
    <x v="2"/>
    <x v="2"/>
    <n v="1698.38"/>
  </r>
  <r>
    <x v="31"/>
    <s v="POL"/>
    <x v="4"/>
    <x v="1"/>
    <x v="34"/>
    <x v="1"/>
    <x v="2"/>
    <n v="411.61"/>
  </r>
  <r>
    <x v="31"/>
    <s v="POL"/>
    <x v="4"/>
    <x v="1"/>
    <x v="27"/>
    <x v="3"/>
    <x v="1"/>
    <n v="1965.68"/>
  </r>
  <r>
    <x v="31"/>
    <s v="POL"/>
    <x v="4"/>
    <x v="1"/>
    <x v="27"/>
    <x v="1"/>
    <x v="1"/>
    <n v="577.27"/>
  </r>
  <r>
    <x v="31"/>
    <s v="POL"/>
    <x v="4"/>
    <x v="1"/>
    <x v="27"/>
    <x v="1"/>
    <x v="0"/>
    <n v="19404.88"/>
  </r>
  <r>
    <x v="31"/>
    <s v="POL"/>
    <x v="4"/>
    <x v="1"/>
    <x v="27"/>
    <x v="2"/>
    <x v="0"/>
    <n v="4877.08"/>
  </r>
  <r>
    <x v="31"/>
    <s v="POL"/>
    <x v="4"/>
    <x v="1"/>
    <x v="28"/>
    <x v="2"/>
    <x v="3"/>
    <n v="0"/>
  </r>
  <r>
    <x v="31"/>
    <s v="POL"/>
    <x v="4"/>
    <x v="1"/>
    <x v="29"/>
    <x v="4"/>
    <x v="0"/>
    <n v="-50743.63"/>
  </r>
  <r>
    <x v="31"/>
    <s v="POL"/>
    <x v="4"/>
    <x v="1"/>
    <x v="30"/>
    <x v="3"/>
    <x v="2"/>
    <n v="1930.33"/>
  </r>
  <r>
    <x v="31"/>
    <s v="POL"/>
    <x v="4"/>
    <x v="1"/>
    <x v="30"/>
    <x v="1"/>
    <x v="1"/>
    <n v="481.83"/>
  </r>
  <r>
    <x v="31"/>
    <s v="POL"/>
    <x v="4"/>
    <x v="1"/>
    <x v="30"/>
    <x v="1"/>
    <x v="2"/>
    <n v="338.11"/>
  </r>
  <r>
    <x v="31"/>
    <s v="POL"/>
    <x v="4"/>
    <x v="1"/>
    <x v="31"/>
    <x v="6"/>
    <x v="0"/>
    <n v="11810.05"/>
  </r>
  <r>
    <x v="31"/>
    <s v="POL"/>
    <x v="4"/>
    <x v="1"/>
    <x v="31"/>
    <x v="6"/>
    <x v="2"/>
    <n v="26318.080000000002"/>
  </r>
  <r>
    <x v="31"/>
    <s v="POL"/>
    <x v="4"/>
    <x v="1"/>
    <x v="31"/>
    <x v="3"/>
    <x v="0"/>
    <n v="27274.560000000001"/>
  </r>
  <r>
    <x v="31"/>
    <s v="POL"/>
    <x v="4"/>
    <x v="1"/>
    <x v="31"/>
    <x v="3"/>
    <x v="3"/>
    <n v="1816.02"/>
  </r>
  <r>
    <x v="31"/>
    <s v="POL"/>
    <x v="4"/>
    <x v="1"/>
    <x v="31"/>
    <x v="4"/>
    <x v="1"/>
    <n v="-447.94"/>
  </r>
  <r>
    <x v="31"/>
    <s v="POL"/>
    <x v="4"/>
    <x v="1"/>
    <x v="31"/>
    <x v="1"/>
    <x v="0"/>
    <n v="15631.37"/>
  </r>
  <r>
    <x v="31"/>
    <s v="POL"/>
    <x v="4"/>
    <x v="1"/>
    <x v="31"/>
    <x v="5"/>
    <x v="0"/>
    <n v="111100.65"/>
  </r>
  <r>
    <x v="31"/>
    <s v="POL"/>
    <x v="4"/>
    <x v="1"/>
    <x v="31"/>
    <x v="2"/>
    <x v="3"/>
    <n v="0"/>
  </r>
  <r>
    <x v="31"/>
    <s v="POL"/>
    <x v="4"/>
    <x v="1"/>
    <x v="32"/>
    <x v="4"/>
    <x v="2"/>
    <n v="-448.25"/>
  </r>
  <r>
    <x v="31"/>
    <s v="POL"/>
    <x v="4"/>
    <x v="1"/>
    <x v="32"/>
    <x v="1"/>
    <x v="2"/>
    <n v="332.4"/>
  </r>
  <r>
    <x v="32"/>
    <s v="QAT"/>
    <x v="3"/>
    <x v="1"/>
    <x v="0"/>
    <x v="1"/>
    <x v="2"/>
    <n v="268.32"/>
  </r>
  <r>
    <x v="32"/>
    <s v="QAT"/>
    <x v="3"/>
    <x v="1"/>
    <x v="0"/>
    <x v="5"/>
    <x v="3"/>
    <n v="0"/>
  </r>
  <r>
    <x v="32"/>
    <s v="QAT"/>
    <x v="3"/>
    <x v="1"/>
    <x v="1"/>
    <x v="0"/>
    <x v="1"/>
    <n v="726.06"/>
  </r>
  <r>
    <x v="32"/>
    <s v="QAT"/>
    <x v="3"/>
    <x v="1"/>
    <x v="1"/>
    <x v="0"/>
    <x v="0"/>
    <n v="8554.4500000000007"/>
  </r>
  <r>
    <x v="32"/>
    <s v="QAT"/>
    <x v="3"/>
    <x v="1"/>
    <x v="1"/>
    <x v="3"/>
    <x v="3"/>
    <n v="2370.8200000000002"/>
  </r>
  <r>
    <x v="32"/>
    <s v="QAT"/>
    <x v="3"/>
    <x v="1"/>
    <x v="2"/>
    <x v="2"/>
    <x v="1"/>
    <n v="1568.42"/>
  </r>
  <r>
    <x v="32"/>
    <s v="QAT"/>
    <x v="3"/>
    <x v="1"/>
    <x v="2"/>
    <x v="2"/>
    <x v="3"/>
    <n v="0"/>
  </r>
  <r>
    <x v="32"/>
    <s v="QAT"/>
    <x v="3"/>
    <x v="1"/>
    <x v="3"/>
    <x v="4"/>
    <x v="1"/>
    <n v="107.93"/>
  </r>
  <r>
    <x v="32"/>
    <s v="QAT"/>
    <x v="3"/>
    <x v="1"/>
    <x v="3"/>
    <x v="1"/>
    <x v="1"/>
    <n v="415.21"/>
  </r>
  <r>
    <x v="32"/>
    <s v="QAT"/>
    <x v="3"/>
    <x v="1"/>
    <x v="3"/>
    <x v="2"/>
    <x v="1"/>
    <n v="1780.92"/>
  </r>
  <r>
    <x v="32"/>
    <s v="QAT"/>
    <x v="3"/>
    <x v="1"/>
    <x v="4"/>
    <x v="0"/>
    <x v="2"/>
    <n v="300.55"/>
  </r>
  <r>
    <x v="32"/>
    <s v="QAT"/>
    <x v="3"/>
    <x v="1"/>
    <x v="4"/>
    <x v="4"/>
    <x v="0"/>
    <n v="10420.51"/>
  </r>
  <r>
    <x v="32"/>
    <s v="QAT"/>
    <x v="3"/>
    <x v="1"/>
    <x v="4"/>
    <x v="1"/>
    <x v="0"/>
    <n v="13003.11"/>
  </r>
  <r>
    <x v="32"/>
    <s v="QAT"/>
    <x v="3"/>
    <x v="1"/>
    <x v="5"/>
    <x v="0"/>
    <x v="0"/>
    <n v="8205.49"/>
  </r>
  <r>
    <x v="32"/>
    <s v="QAT"/>
    <x v="3"/>
    <x v="1"/>
    <x v="5"/>
    <x v="2"/>
    <x v="3"/>
    <n v="0"/>
  </r>
  <r>
    <x v="32"/>
    <s v="QAT"/>
    <x v="3"/>
    <x v="1"/>
    <x v="6"/>
    <x v="6"/>
    <x v="3"/>
    <n v="0"/>
  </r>
  <r>
    <x v="32"/>
    <s v="QAT"/>
    <x v="3"/>
    <x v="1"/>
    <x v="6"/>
    <x v="6"/>
    <x v="2"/>
    <n v="2374.0100000000002"/>
  </r>
  <r>
    <x v="32"/>
    <s v="QAT"/>
    <x v="3"/>
    <x v="1"/>
    <x v="7"/>
    <x v="0"/>
    <x v="3"/>
    <n v="0"/>
  </r>
  <r>
    <x v="32"/>
    <s v="QAT"/>
    <x v="3"/>
    <x v="1"/>
    <x v="7"/>
    <x v="0"/>
    <x v="2"/>
    <n v="287.39"/>
  </r>
  <r>
    <x v="32"/>
    <s v="QAT"/>
    <x v="3"/>
    <x v="1"/>
    <x v="7"/>
    <x v="4"/>
    <x v="3"/>
    <n v="0"/>
  </r>
  <r>
    <x v="32"/>
    <s v="QAT"/>
    <x v="3"/>
    <x v="1"/>
    <x v="7"/>
    <x v="4"/>
    <x v="2"/>
    <n v="107.48"/>
  </r>
  <r>
    <x v="32"/>
    <s v="QAT"/>
    <x v="3"/>
    <x v="1"/>
    <x v="7"/>
    <x v="1"/>
    <x v="0"/>
    <n v="12662.05"/>
  </r>
  <r>
    <x v="32"/>
    <s v="QAT"/>
    <x v="3"/>
    <x v="1"/>
    <x v="7"/>
    <x v="5"/>
    <x v="0"/>
    <n v="11713.42"/>
  </r>
  <r>
    <x v="32"/>
    <s v="QAT"/>
    <x v="3"/>
    <x v="1"/>
    <x v="7"/>
    <x v="5"/>
    <x v="3"/>
    <n v="0"/>
  </r>
  <r>
    <x v="32"/>
    <s v="QAT"/>
    <x v="3"/>
    <x v="1"/>
    <x v="7"/>
    <x v="2"/>
    <x v="0"/>
    <n v="364.64"/>
  </r>
  <r>
    <x v="32"/>
    <s v="QAT"/>
    <x v="3"/>
    <x v="1"/>
    <x v="7"/>
    <x v="2"/>
    <x v="3"/>
    <n v="0"/>
  </r>
  <r>
    <x v="32"/>
    <s v="QAT"/>
    <x v="3"/>
    <x v="1"/>
    <x v="8"/>
    <x v="2"/>
    <x v="0"/>
    <n v="388.21"/>
  </r>
  <r>
    <x v="32"/>
    <s v="QAT"/>
    <x v="3"/>
    <x v="1"/>
    <x v="9"/>
    <x v="0"/>
    <x v="1"/>
    <n v="681.03"/>
  </r>
  <r>
    <x v="32"/>
    <s v="QAT"/>
    <x v="3"/>
    <x v="1"/>
    <x v="9"/>
    <x v="4"/>
    <x v="1"/>
    <n v="114.65"/>
  </r>
  <r>
    <x v="32"/>
    <s v="QAT"/>
    <x v="3"/>
    <x v="1"/>
    <x v="9"/>
    <x v="4"/>
    <x v="3"/>
    <n v="0"/>
  </r>
  <r>
    <x v="32"/>
    <s v="QAT"/>
    <x v="3"/>
    <x v="1"/>
    <x v="9"/>
    <x v="1"/>
    <x v="2"/>
    <n v="297.58999999999997"/>
  </r>
  <r>
    <x v="32"/>
    <s v="QAT"/>
    <x v="3"/>
    <x v="1"/>
    <x v="9"/>
    <x v="5"/>
    <x v="2"/>
    <n v="110.5"/>
  </r>
  <r>
    <x v="32"/>
    <s v="QAT"/>
    <x v="3"/>
    <x v="1"/>
    <x v="9"/>
    <x v="2"/>
    <x v="0"/>
    <n v="338.39"/>
  </r>
  <r>
    <x v="32"/>
    <s v="QAT"/>
    <x v="3"/>
    <x v="1"/>
    <x v="10"/>
    <x v="6"/>
    <x v="2"/>
    <n v="2469.9299999999998"/>
  </r>
  <r>
    <x v="32"/>
    <s v="QAT"/>
    <x v="3"/>
    <x v="1"/>
    <x v="10"/>
    <x v="0"/>
    <x v="3"/>
    <n v="0"/>
  </r>
  <r>
    <x v="32"/>
    <s v="QAT"/>
    <x v="3"/>
    <x v="1"/>
    <x v="10"/>
    <x v="1"/>
    <x v="1"/>
    <n v="432.31"/>
  </r>
  <r>
    <x v="32"/>
    <s v="QAT"/>
    <x v="3"/>
    <x v="1"/>
    <x v="11"/>
    <x v="6"/>
    <x v="2"/>
    <n v="2448.12"/>
  </r>
  <r>
    <x v="32"/>
    <s v="QAT"/>
    <x v="3"/>
    <x v="1"/>
    <x v="11"/>
    <x v="0"/>
    <x v="3"/>
    <n v="0"/>
  </r>
  <r>
    <x v="32"/>
    <s v="QAT"/>
    <x v="3"/>
    <x v="1"/>
    <x v="12"/>
    <x v="3"/>
    <x v="2"/>
    <n v="3000.2"/>
  </r>
  <r>
    <x v="32"/>
    <s v="QAT"/>
    <x v="3"/>
    <x v="1"/>
    <x v="12"/>
    <x v="4"/>
    <x v="2"/>
    <n v="130.91999999999999"/>
  </r>
  <r>
    <x v="32"/>
    <s v="QAT"/>
    <x v="3"/>
    <x v="1"/>
    <x v="12"/>
    <x v="5"/>
    <x v="0"/>
    <n v="12893.8"/>
  </r>
  <r>
    <x v="32"/>
    <s v="QAT"/>
    <x v="3"/>
    <x v="1"/>
    <x v="13"/>
    <x v="3"/>
    <x v="1"/>
    <n v="2730.16"/>
  </r>
  <r>
    <x v="32"/>
    <s v="QAT"/>
    <x v="3"/>
    <x v="1"/>
    <x v="13"/>
    <x v="3"/>
    <x v="2"/>
    <n v="2972.01"/>
  </r>
  <r>
    <x v="32"/>
    <s v="QAT"/>
    <x v="3"/>
    <x v="1"/>
    <x v="13"/>
    <x v="2"/>
    <x v="3"/>
    <n v="0"/>
  </r>
  <r>
    <x v="32"/>
    <s v="QAT"/>
    <x v="3"/>
    <x v="1"/>
    <x v="13"/>
    <x v="2"/>
    <x v="2"/>
    <n v="118.98"/>
  </r>
  <r>
    <x v="32"/>
    <s v="QAT"/>
    <x v="3"/>
    <x v="1"/>
    <x v="15"/>
    <x v="5"/>
    <x v="2"/>
    <n v="123.87"/>
  </r>
  <r>
    <x v="32"/>
    <s v="QAT"/>
    <x v="3"/>
    <x v="1"/>
    <x v="16"/>
    <x v="3"/>
    <x v="0"/>
    <n v="49401.2"/>
  </r>
  <r>
    <x v="32"/>
    <s v="QAT"/>
    <x v="3"/>
    <x v="1"/>
    <x v="16"/>
    <x v="1"/>
    <x v="2"/>
    <n v="299.06"/>
  </r>
  <r>
    <x v="32"/>
    <s v="QAT"/>
    <x v="3"/>
    <x v="1"/>
    <x v="16"/>
    <x v="2"/>
    <x v="2"/>
    <n v="118.84"/>
  </r>
  <r>
    <x v="32"/>
    <s v="QAT"/>
    <x v="3"/>
    <x v="1"/>
    <x v="17"/>
    <x v="1"/>
    <x v="3"/>
    <n v="0"/>
  </r>
  <r>
    <x v="32"/>
    <s v="QAT"/>
    <x v="3"/>
    <x v="1"/>
    <x v="33"/>
    <x v="6"/>
    <x v="1"/>
    <n v="9418.75"/>
  </r>
  <r>
    <x v="32"/>
    <s v="QAT"/>
    <x v="3"/>
    <x v="1"/>
    <x v="33"/>
    <x v="3"/>
    <x v="3"/>
    <n v="2942.48"/>
  </r>
  <r>
    <x v="32"/>
    <s v="QAT"/>
    <x v="3"/>
    <x v="1"/>
    <x v="33"/>
    <x v="3"/>
    <x v="2"/>
    <n v="2794.61"/>
  </r>
  <r>
    <x v="32"/>
    <s v="QAT"/>
    <x v="3"/>
    <x v="1"/>
    <x v="33"/>
    <x v="4"/>
    <x v="1"/>
    <n v="126.62"/>
  </r>
  <r>
    <x v="32"/>
    <s v="QAT"/>
    <x v="3"/>
    <x v="1"/>
    <x v="33"/>
    <x v="2"/>
    <x v="1"/>
    <n v="1938.72"/>
  </r>
  <r>
    <x v="32"/>
    <s v="QAT"/>
    <x v="3"/>
    <x v="1"/>
    <x v="33"/>
    <x v="2"/>
    <x v="3"/>
    <n v="0"/>
  </r>
  <r>
    <x v="32"/>
    <s v="QAT"/>
    <x v="3"/>
    <x v="1"/>
    <x v="33"/>
    <x v="2"/>
    <x v="2"/>
    <n v="117.69"/>
  </r>
  <r>
    <x v="32"/>
    <s v="QAT"/>
    <x v="3"/>
    <x v="1"/>
    <x v="18"/>
    <x v="6"/>
    <x v="3"/>
    <n v="0"/>
  </r>
  <r>
    <x v="32"/>
    <s v="QAT"/>
    <x v="3"/>
    <x v="1"/>
    <x v="18"/>
    <x v="0"/>
    <x v="2"/>
    <n v="313.44"/>
  </r>
  <r>
    <x v="32"/>
    <s v="QAT"/>
    <x v="3"/>
    <x v="1"/>
    <x v="18"/>
    <x v="3"/>
    <x v="0"/>
    <n v="48512.63"/>
  </r>
  <r>
    <x v="32"/>
    <s v="QAT"/>
    <x v="3"/>
    <x v="1"/>
    <x v="19"/>
    <x v="3"/>
    <x v="0"/>
    <n v="44127.63"/>
  </r>
  <r>
    <x v="32"/>
    <s v="QAT"/>
    <x v="3"/>
    <x v="1"/>
    <x v="19"/>
    <x v="4"/>
    <x v="1"/>
    <n v="108.41"/>
  </r>
  <r>
    <x v="32"/>
    <s v="QAT"/>
    <x v="3"/>
    <x v="1"/>
    <x v="20"/>
    <x v="1"/>
    <x v="2"/>
    <n v="291.77999999999997"/>
  </r>
  <r>
    <x v="32"/>
    <s v="QAT"/>
    <x v="3"/>
    <x v="1"/>
    <x v="20"/>
    <x v="5"/>
    <x v="3"/>
    <n v="0"/>
  </r>
  <r>
    <x v="32"/>
    <s v="QAT"/>
    <x v="3"/>
    <x v="1"/>
    <x v="21"/>
    <x v="6"/>
    <x v="0"/>
    <n v="1293.29"/>
  </r>
  <r>
    <x v="32"/>
    <s v="QAT"/>
    <x v="3"/>
    <x v="1"/>
    <x v="21"/>
    <x v="0"/>
    <x v="0"/>
    <n v="10214.459999999999"/>
  </r>
  <r>
    <x v="32"/>
    <s v="QAT"/>
    <x v="3"/>
    <x v="1"/>
    <x v="21"/>
    <x v="3"/>
    <x v="1"/>
    <n v="2850.23"/>
  </r>
  <r>
    <x v="32"/>
    <s v="QAT"/>
    <x v="3"/>
    <x v="1"/>
    <x v="21"/>
    <x v="3"/>
    <x v="0"/>
    <n v="43694.49"/>
  </r>
  <r>
    <x v="32"/>
    <s v="QAT"/>
    <x v="3"/>
    <x v="1"/>
    <x v="21"/>
    <x v="4"/>
    <x v="1"/>
    <n v="127.81"/>
  </r>
  <r>
    <x v="32"/>
    <s v="QAT"/>
    <x v="3"/>
    <x v="1"/>
    <x v="21"/>
    <x v="5"/>
    <x v="1"/>
    <n v="265.13"/>
  </r>
  <r>
    <x v="32"/>
    <s v="QAT"/>
    <x v="3"/>
    <x v="1"/>
    <x v="21"/>
    <x v="5"/>
    <x v="2"/>
    <n v="118.6"/>
  </r>
  <r>
    <x v="32"/>
    <s v="QAT"/>
    <x v="3"/>
    <x v="1"/>
    <x v="22"/>
    <x v="3"/>
    <x v="0"/>
    <n v="48416.78"/>
  </r>
  <r>
    <x v="32"/>
    <s v="QAT"/>
    <x v="3"/>
    <x v="1"/>
    <x v="23"/>
    <x v="4"/>
    <x v="0"/>
    <n v="10194.14"/>
  </r>
  <r>
    <x v="32"/>
    <s v="QAT"/>
    <x v="3"/>
    <x v="1"/>
    <x v="23"/>
    <x v="1"/>
    <x v="2"/>
    <n v="303.37"/>
  </r>
  <r>
    <x v="32"/>
    <s v="QAT"/>
    <x v="3"/>
    <x v="1"/>
    <x v="24"/>
    <x v="6"/>
    <x v="2"/>
    <n v="2276.36"/>
  </r>
  <r>
    <x v="32"/>
    <s v="QAT"/>
    <x v="3"/>
    <x v="1"/>
    <x v="24"/>
    <x v="3"/>
    <x v="0"/>
    <n v="46112.24"/>
  </r>
  <r>
    <x v="32"/>
    <s v="QAT"/>
    <x v="3"/>
    <x v="1"/>
    <x v="24"/>
    <x v="1"/>
    <x v="2"/>
    <n v="287.56"/>
  </r>
  <r>
    <x v="32"/>
    <s v="QAT"/>
    <x v="3"/>
    <x v="1"/>
    <x v="24"/>
    <x v="2"/>
    <x v="0"/>
    <n v="362.99"/>
  </r>
  <r>
    <x v="32"/>
    <s v="QAT"/>
    <x v="3"/>
    <x v="1"/>
    <x v="25"/>
    <x v="0"/>
    <x v="1"/>
    <n v="773.14"/>
  </r>
  <r>
    <x v="32"/>
    <s v="QAT"/>
    <x v="3"/>
    <x v="1"/>
    <x v="25"/>
    <x v="0"/>
    <x v="3"/>
    <n v="0"/>
  </r>
  <r>
    <x v="32"/>
    <s v="QAT"/>
    <x v="3"/>
    <x v="1"/>
    <x v="25"/>
    <x v="5"/>
    <x v="3"/>
    <n v="0"/>
  </r>
  <r>
    <x v="32"/>
    <s v="QAT"/>
    <x v="3"/>
    <x v="1"/>
    <x v="25"/>
    <x v="2"/>
    <x v="1"/>
    <n v="2066.94"/>
  </r>
  <r>
    <x v="32"/>
    <s v="QAT"/>
    <x v="3"/>
    <x v="1"/>
    <x v="26"/>
    <x v="0"/>
    <x v="1"/>
    <n v="806.3"/>
  </r>
  <r>
    <x v="32"/>
    <s v="QAT"/>
    <x v="3"/>
    <x v="1"/>
    <x v="26"/>
    <x v="2"/>
    <x v="3"/>
    <n v="0"/>
  </r>
  <r>
    <x v="32"/>
    <s v="QAT"/>
    <x v="3"/>
    <x v="1"/>
    <x v="34"/>
    <x v="2"/>
    <x v="3"/>
    <n v="0"/>
  </r>
  <r>
    <x v="32"/>
    <s v="QAT"/>
    <x v="3"/>
    <x v="1"/>
    <x v="27"/>
    <x v="6"/>
    <x v="2"/>
    <n v="2236.86"/>
  </r>
  <r>
    <x v="32"/>
    <s v="QAT"/>
    <x v="3"/>
    <x v="1"/>
    <x v="27"/>
    <x v="0"/>
    <x v="1"/>
    <n v="648.29999999999995"/>
  </r>
  <r>
    <x v="32"/>
    <s v="QAT"/>
    <x v="3"/>
    <x v="1"/>
    <x v="28"/>
    <x v="3"/>
    <x v="1"/>
    <n v="2495.0700000000002"/>
  </r>
  <r>
    <x v="32"/>
    <s v="QAT"/>
    <x v="3"/>
    <x v="1"/>
    <x v="28"/>
    <x v="4"/>
    <x v="3"/>
    <n v="0"/>
  </r>
  <r>
    <x v="32"/>
    <s v="QAT"/>
    <x v="3"/>
    <x v="1"/>
    <x v="29"/>
    <x v="0"/>
    <x v="0"/>
    <n v="10588.78"/>
  </r>
  <r>
    <x v="32"/>
    <s v="QAT"/>
    <x v="3"/>
    <x v="1"/>
    <x v="29"/>
    <x v="1"/>
    <x v="1"/>
    <n v="450.36"/>
  </r>
  <r>
    <x v="32"/>
    <s v="QAT"/>
    <x v="3"/>
    <x v="1"/>
    <x v="29"/>
    <x v="1"/>
    <x v="3"/>
    <n v="0"/>
  </r>
  <r>
    <x v="32"/>
    <s v="QAT"/>
    <x v="3"/>
    <x v="1"/>
    <x v="29"/>
    <x v="5"/>
    <x v="0"/>
    <n v="13135.76"/>
  </r>
  <r>
    <x v="32"/>
    <s v="QAT"/>
    <x v="3"/>
    <x v="1"/>
    <x v="30"/>
    <x v="6"/>
    <x v="3"/>
    <n v="0"/>
  </r>
  <r>
    <x v="32"/>
    <s v="QAT"/>
    <x v="3"/>
    <x v="1"/>
    <x v="30"/>
    <x v="1"/>
    <x v="0"/>
    <n v="13046.42"/>
  </r>
  <r>
    <x v="32"/>
    <s v="QAT"/>
    <x v="3"/>
    <x v="1"/>
    <x v="31"/>
    <x v="0"/>
    <x v="3"/>
    <n v="0"/>
  </r>
  <r>
    <x v="32"/>
    <s v="QAT"/>
    <x v="3"/>
    <x v="1"/>
    <x v="31"/>
    <x v="5"/>
    <x v="2"/>
    <n v="95.25"/>
  </r>
  <r>
    <x v="32"/>
    <s v="QAT"/>
    <x v="3"/>
    <x v="1"/>
    <x v="32"/>
    <x v="3"/>
    <x v="1"/>
    <n v="2354.35"/>
  </r>
  <r>
    <x v="32"/>
    <s v="QAT"/>
    <x v="3"/>
    <x v="1"/>
    <x v="32"/>
    <x v="1"/>
    <x v="1"/>
    <n v="321.10000000000002"/>
  </r>
  <r>
    <x v="32"/>
    <s v="QAT"/>
    <x v="3"/>
    <x v="1"/>
    <x v="32"/>
    <x v="5"/>
    <x v="1"/>
    <n v="199"/>
  </r>
  <r>
    <x v="32"/>
    <s v="QAT"/>
    <x v="3"/>
    <x v="1"/>
    <x v="32"/>
    <x v="5"/>
    <x v="3"/>
    <n v="0"/>
  </r>
  <r>
    <x v="32"/>
    <s v="QAT"/>
    <x v="3"/>
    <x v="1"/>
    <x v="32"/>
    <x v="2"/>
    <x v="2"/>
    <n v="102.41"/>
  </r>
  <r>
    <x v="33"/>
    <s v="RUS"/>
    <x v="4"/>
    <x v="0"/>
    <x v="0"/>
    <x v="6"/>
    <x v="0"/>
    <n v="64383.48"/>
  </r>
  <r>
    <x v="33"/>
    <s v="RUS"/>
    <x v="4"/>
    <x v="0"/>
    <x v="0"/>
    <x v="0"/>
    <x v="0"/>
    <n v="136563.6"/>
  </r>
  <r>
    <x v="33"/>
    <s v="RUS"/>
    <x v="4"/>
    <x v="0"/>
    <x v="0"/>
    <x v="0"/>
    <x v="3"/>
    <n v="0"/>
  </r>
  <r>
    <x v="33"/>
    <s v="RUS"/>
    <x v="4"/>
    <x v="0"/>
    <x v="0"/>
    <x v="0"/>
    <x v="2"/>
    <n v="4385.5"/>
  </r>
  <r>
    <x v="33"/>
    <s v="RUS"/>
    <x v="4"/>
    <x v="0"/>
    <x v="1"/>
    <x v="6"/>
    <x v="0"/>
    <n v="65206.6"/>
  </r>
  <r>
    <x v="33"/>
    <s v="RUS"/>
    <x v="4"/>
    <x v="0"/>
    <x v="1"/>
    <x v="6"/>
    <x v="3"/>
    <n v="0"/>
  </r>
  <r>
    <x v="33"/>
    <s v="RUS"/>
    <x v="4"/>
    <x v="0"/>
    <x v="1"/>
    <x v="3"/>
    <x v="0"/>
    <n v="159257.24"/>
  </r>
  <r>
    <x v="33"/>
    <s v="RUS"/>
    <x v="4"/>
    <x v="0"/>
    <x v="1"/>
    <x v="4"/>
    <x v="1"/>
    <n v="-1708.83"/>
  </r>
  <r>
    <x v="33"/>
    <s v="RUS"/>
    <x v="4"/>
    <x v="0"/>
    <x v="1"/>
    <x v="1"/>
    <x v="1"/>
    <n v="20403.259999999998"/>
  </r>
  <r>
    <x v="33"/>
    <s v="RUS"/>
    <x v="4"/>
    <x v="0"/>
    <x v="1"/>
    <x v="5"/>
    <x v="1"/>
    <n v="2275.09"/>
  </r>
  <r>
    <x v="33"/>
    <s v="RUS"/>
    <x v="4"/>
    <x v="0"/>
    <x v="1"/>
    <x v="2"/>
    <x v="3"/>
    <n v="0"/>
  </r>
  <r>
    <x v="33"/>
    <s v="RUS"/>
    <x v="4"/>
    <x v="0"/>
    <x v="2"/>
    <x v="6"/>
    <x v="1"/>
    <n v="400123.97"/>
  </r>
  <r>
    <x v="33"/>
    <s v="RUS"/>
    <x v="4"/>
    <x v="0"/>
    <x v="2"/>
    <x v="0"/>
    <x v="1"/>
    <n v="9194.23"/>
  </r>
  <r>
    <x v="33"/>
    <s v="RUS"/>
    <x v="4"/>
    <x v="0"/>
    <x v="2"/>
    <x v="4"/>
    <x v="0"/>
    <n v="-139594.56"/>
  </r>
  <r>
    <x v="33"/>
    <s v="RUS"/>
    <x v="4"/>
    <x v="0"/>
    <x v="2"/>
    <x v="1"/>
    <x v="1"/>
    <n v="16573.169999999998"/>
  </r>
  <r>
    <x v="33"/>
    <s v="RUS"/>
    <x v="4"/>
    <x v="0"/>
    <x v="3"/>
    <x v="6"/>
    <x v="2"/>
    <n v="122287.44"/>
  </r>
  <r>
    <x v="33"/>
    <s v="RUS"/>
    <x v="4"/>
    <x v="0"/>
    <x v="3"/>
    <x v="5"/>
    <x v="2"/>
    <n v="1057.71"/>
  </r>
  <r>
    <x v="33"/>
    <s v="RUS"/>
    <x v="4"/>
    <x v="0"/>
    <x v="4"/>
    <x v="0"/>
    <x v="3"/>
    <n v="0"/>
  </r>
  <r>
    <x v="33"/>
    <s v="RUS"/>
    <x v="4"/>
    <x v="0"/>
    <x v="4"/>
    <x v="2"/>
    <x v="1"/>
    <n v="645540.63"/>
  </r>
  <r>
    <x v="33"/>
    <s v="RUS"/>
    <x v="4"/>
    <x v="0"/>
    <x v="5"/>
    <x v="4"/>
    <x v="2"/>
    <n v="-1982.15"/>
  </r>
  <r>
    <x v="33"/>
    <s v="RUS"/>
    <x v="4"/>
    <x v="0"/>
    <x v="5"/>
    <x v="2"/>
    <x v="0"/>
    <n v="116420.56"/>
  </r>
  <r>
    <x v="33"/>
    <s v="RUS"/>
    <x v="4"/>
    <x v="0"/>
    <x v="6"/>
    <x v="6"/>
    <x v="2"/>
    <n v="141328.03"/>
  </r>
  <r>
    <x v="33"/>
    <s v="RUS"/>
    <x v="4"/>
    <x v="0"/>
    <x v="7"/>
    <x v="6"/>
    <x v="1"/>
    <n v="471874.86"/>
  </r>
  <r>
    <x v="33"/>
    <s v="RUS"/>
    <x v="4"/>
    <x v="0"/>
    <x v="7"/>
    <x v="6"/>
    <x v="0"/>
    <n v="67081.03"/>
  </r>
  <r>
    <x v="33"/>
    <s v="RUS"/>
    <x v="4"/>
    <x v="0"/>
    <x v="7"/>
    <x v="6"/>
    <x v="3"/>
    <n v="0"/>
  </r>
  <r>
    <x v="33"/>
    <s v="RUS"/>
    <x v="4"/>
    <x v="0"/>
    <x v="7"/>
    <x v="1"/>
    <x v="3"/>
    <n v="0"/>
  </r>
  <r>
    <x v="33"/>
    <s v="RUS"/>
    <x v="4"/>
    <x v="0"/>
    <x v="8"/>
    <x v="0"/>
    <x v="3"/>
    <n v="0"/>
  </r>
  <r>
    <x v="33"/>
    <s v="RUS"/>
    <x v="4"/>
    <x v="0"/>
    <x v="8"/>
    <x v="4"/>
    <x v="0"/>
    <n v="-177326.23"/>
  </r>
  <r>
    <x v="33"/>
    <s v="RUS"/>
    <x v="4"/>
    <x v="0"/>
    <x v="8"/>
    <x v="4"/>
    <x v="2"/>
    <n v="-1817.18"/>
  </r>
  <r>
    <x v="33"/>
    <s v="RUS"/>
    <x v="4"/>
    <x v="0"/>
    <x v="8"/>
    <x v="5"/>
    <x v="3"/>
    <n v="0"/>
  </r>
  <r>
    <x v="33"/>
    <s v="RUS"/>
    <x v="4"/>
    <x v="0"/>
    <x v="10"/>
    <x v="4"/>
    <x v="1"/>
    <n v="-2025.22"/>
  </r>
  <r>
    <x v="33"/>
    <s v="RUS"/>
    <x v="4"/>
    <x v="0"/>
    <x v="11"/>
    <x v="3"/>
    <x v="1"/>
    <n v="12332.69"/>
  </r>
  <r>
    <x v="33"/>
    <s v="RUS"/>
    <x v="4"/>
    <x v="0"/>
    <x v="11"/>
    <x v="3"/>
    <x v="3"/>
    <n v="11781.44"/>
  </r>
  <r>
    <x v="33"/>
    <s v="RUS"/>
    <x v="4"/>
    <x v="0"/>
    <x v="11"/>
    <x v="1"/>
    <x v="3"/>
    <n v="0"/>
  </r>
  <r>
    <x v="33"/>
    <s v="RUS"/>
    <x v="4"/>
    <x v="0"/>
    <x v="11"/>
    <x v="5"/>
    <x v="1"/>
    <n v="2508.83"/>
  </r>
  <r>
    <x v="33"/>
    <s v="RUS"/>
    <x v="4"/>
    <x v="0"/>
    <x v="12"/>
    <x v="6"/>
    <x v="0"/>
    <n v="69223.09"/>
  </r>
  <r>
    <x v="33"/>
    <s v="RUS"/>
    <x v="4"/>
    <x v="0"/>
    <x v="12"/>
    <x v="0"/>
    <x v="0"/>
    <n v="138890.28"/>
  </r>
  <r>
    <x v="33"/>
    <s v="RUS"/>
    <x v="4"/>
    <x v="0"/>
    <x v="12"/>
    <x v="3"/>
    <x v="1"/>
    <n v="11587.39"/>
  </r>
  <r>
    <x v="33"/>
    <s v="RUS"/>
    <x v="4"/>
    <x v="0"/>
    <x v="12"/>
    <x v="5"/>
    <x v="3"/>
    <n v="0"/>
  </r>
  <r>
    <x v="33"/>
    <s v="RUS"/>
    <x v="4"/>
    <x v="0"/>
    <x v="13"/>
    <x v="6"/>
    <x v="2"/>
    <n v="143503.1"/>
  </r>
  <r>
    <x v="33"/>
    <s v="RUS"/>
    <x v="4"/>
    <x v="0"/>
    <x v="13"/>
    <x v="3"/>
    <x v="2"/>
    <n v="11820.21"/>
  </r>
  <r>
    <x v="33"/>
    <s v="RUS"/>
    <x v="4"/>
    <x v="0"/>
    <x v="14"/>
    <x v="4"/>
    <x v="0"/>
    <n v="-207795.11"/>
  </r>
  <r>
    <x v="33"/>
    <s v="RUS"/>
    <x v="4"/>
    <x v="0"/>
    <x v="14"/>
    <x v="2"/>
    <x v="0"/>
    <n v="145420.01999999999"/>
  </r>
  <r>
    <x v="33"/>
    <s v="RUS"/>
    <x v="4"/>
    <x v="0"/>
    <x v="14"/>
    <x v="2"/>
    <x v="2"/>
    <n v="47824.28"/>
  </r>
  <r>
    <x v="33"/>
    <s v="RUS"/>
    <x v="4"/>
    <x v="0"/>
    <x v="15"/>
    <x v="0"/>
    <x v="3"/>
    <n v="0"/>
  </r>
  <r>
    <x v="33"/>
    <s v="RUS"/>
    <x v="4"/>
    <x v="0"/>
    <x v="15"/>
    <x v="2"/>
    <x v="2"/>
    <n v="55253.55"/>
  </r>
  <r>
    <x v="33"/>
    <s v="RUS"/>
    <x v="4"/>
    <x v="0"/>
    <x v="16"/>
    <x v="0"/>
    <x v="1"/>
    <n v="10806.88"/>
  </r>
  <r>
    <x v="33"/>
    <s v="RUS"/>
    <x v="4"/>
    <x v="0"/>
    <x v="16"/>
    <x v="0"/>
    <x v="2"/>
    <n v="4496.07"/>
  </r>
  <r>
    <x v="33"/>
    <s v="RUS"/>
    <x v="4"/>
    <x v="0"/>
    <x v="16"/>
    <x v="3"/>
    <x v="1"/>
    <n v="11572.77"/>
  </r>
  <r>
    <x v="33"/>
    <s v="RUS"/>
    <x v="4"/>
    <x v="0"/>
    <x v="16"/>
    <x v="4"/>
    <x v="1"/>
    <n v="-2039.15"/>
  </r>
  <r>
    <x v="33"/>
    <s v="RUS"/>
    <x v="4"/>
    <x v="0"/>
    <x v="16"/>
    <x v="1"/>
    <x v="0"/>
    <n v="694226.45"/>
  </r>
  <r>
    <x v="33"/>
    <s v="RUS"/>
    <x v="4"/>
    <x v="0"/>
    <x v="16"/>
    <x v="5"/>
    <x v="0"/>
    <n v="120828.13"/>
  </r>
  <r>
    <x v="33"/>
    <s v="RUS"/>
    <x v="4"/>
    <x v="0"/>
    <x v="16"/>
    <x v="5"/>
    <x v="3"/>
    <n v="0"/>
  </r>
  <r>
    <x v="33"/>
    <s v="RUS"/>
    <x v="4"/>
    <x v="0"/>
    <x v="17"/>
    <x v="6"/>
    <x v="2"/>
    <n v="167820.45"/>
  </r>
  <r>
    <x v="33"/>
    <s v="RUS"/>
    <x v="4"/>
    <x v="0"/>
    <x v="17"/>
    <x v="3"/>
    <x v="3"/>
    <n v="13054.76"/>
  </r>
  <r>
    <x v="33"/>
    <s v="RUS"/>
    <x v="4"/>
    <x v="0"/>
    <x v="17"/>
    <x v="3"/>
    <x v="2"/>
    <n v="12427.08"/>
  </r>
  <r>
    <x v="33"/>
    <s v="RUS"/>
    <x v="4"/>
    <x v="0"/>
    <x v="17"/>
    <x v="4"/>
    <x v="2"/>
    <n v="-1871.35"/>
  </r>
  <r>
    <x v="33"/>
    <s v="RUS"/>
    <x v="4"/>
    <x v="0"/>
    <x v="17"/>
    <x v="1"/>
    <x v="3"/>
    <n v="0"/>
  </r>
  <r>
    <x v="33"/>
    <s v="RUS"/>
    <x v="4"/>
    <x v="0"/>
    <x v="17"/>
    <x v="5"/>
    <x v="3"/>
    <n v="0"/>
  </r>
  <r>
    <x v="33"/>
    <s v="RUS"/>
    <x v="4"/>
    <x v="0"/>
    <x v="33"/>
    <x v="5"/>
    <x v="0"/>
    <n v="145243.87"/>
  </r>
  <r>
    <x v="33"/>
    <s v="RUS"/>
    <x v="4"/>
    <x v="0"/>
    <x v="18"/>
    <x v="4"/>
    <x v="0"/>
    <n v="-224623.67"/>
  </r>
  <r>
    <x v="33"/>
    <s v="RUS"/>
    <x v="4"/>
    <x v="0"/>
    <x v="19"/>
    <x v="4"/>
    <x v="0"/>
    <n v="-230457.58"/>
  </r>
  <r>
    <x v="33"/>
    <s v="RUS"/>
    <x v="4"/>
    <x v="0"/>
    <x v="19"/>
    <x v="5"/>
    <x v="0"/>
    <n v="143696.15"/>
  </r>
  <r>
    <x v="33"/>
    <s v="RUS"/>
    <x v="4"/>
    <x v="0"/>
    <x v="20"/>
    <x v="6"/>
    <x v="1"/>
    <n v="543384.07999999996"/>
  </r>
  <r>
    <x v="33"/>
    <s v="RUS"/>
    <x v="4"/>
    <x v="0"/>
    <x v="20"/>
    <x v="4"/>
    <x v="3"/>
    <n v="0"/>
  </r>
  <r>
    <x v="33"/>
    <s v="RUS"/>
    <x v="4"/>
    <x v="0"/>
    <x v="21"/>
    <x v="4"/>
    <x v="3"/>
    <n v="0"/>
  </r>
  <r>
    <x v="33"/>
    <s v="RUS"/>
    <x v="4"/>
    <x v="0"/>
    <x v="21"/>
    <x v="4"/>
    <x v="2"/>
    <n v="-2316.7199999999998"/>
  </r>
  <r>
    <x v="33"/>
    <s v="RUS"/>
    <x v="4"/>
    <x v="0"/>
    <x v="21"/>
    <x v="2"/>
    <x v="3"/>
    <n v="0"/>
  </r>
  <r>
    <x v="33"/>
    <s v="RUS"/>
    <x v="4"/>
    <x v="0"/>
    <x v="22"/>
    <x v="6"/>
    <x v="3"/>
    <n v="0"/>
  </r>
  <r>
    <x v="33"/>
    <s v="RUS"/>
    <x v="4"/>
    <x v="0"/>
    <x v="22"/>
    <x v="0"/>
    <x v="2"/>
    <n v="5711.28"/>
  </r>
  <r>
    <x v="33"/>
    <s v="RUS"/>
    <x v="4"/>
    <x v="0"/>
    <x v="22"/>
    <x v="4"/>
    <x v="1"/>
    <n v="-2202.7600000000002"/>
  </r>
  <r>
    <x v="33"/>
    <s v="RUS"/>
    <x v="4"/>
    <x v="0"/>
    <x v="22"/>
    <x v="4"/>
    <x v="2"/>
    <n v="-2456.0500000000002"/>
  </r>
  <r>
    <x v="33"/>
    <s v="RUS"/>
    <x v="4"/>
    <x v="0"/>
    <x v="22"/>
    <x v="1"/>
    <x v="1"/>
    <n v="24275.01"/>
  </r>
  <r>
    <x v="33"/>
    <s v="RUS"/>
    <x v="4"/>
    <x v="0"/>
    <x v="23"/>
    <x v="2"/>
    <x v="3"/>
    <n v="0"/>
  </r>
  <r>
    <x v="33"/>
    <s v="RUS"/>
    <x v="4"/>
    <x v="0"/>
    <x v="24"/>
    <x v="3"/>
    <x v="1"/>
    <n v="12887.31"/>
  </r>
  <r>
    <x v="33"/>
    <s v="RUS"/>
    <x v="4"/>
    <x v="0"/>
    <x v="24"/>
    <x v="1"/>
    <x v="3"/>
    <n v="0"/>
  </r>
  <r>
    <x v="33"/>
    <s v="RUS"/>
    <x v="4"/>
    <x v="0"/>
    <x v="25"/>
    <x v="0"/>
    <x v="1"/>
    <n v="12363.34"/>
  </r>
  <r>
    <x v="33"/>
    <s v="RUS"/>
    <x v="4"/>
    <x v="0"/>
    <x v="25"/>
    <x v="4"/>
    <x v="2"/>
    <n v="-1956.53"/>
  </r>
  <r>
    <x v="33"/>
    <s v="RUS"/>
    <x v="4"/>
    <x v="0"/>
    <x v="25"/>
    <x v="1"/>
    <x v="1"/>
    <n v="23473.46"/>
  </r>
  <r>
    <x v="33"/>
    <s v="RUS"/>
    <x v="4"/>
    <x v="0"/>
    <x v="25"/>
    <x v="1"/>
    <x v="2"/>
    <n v="15703.46"/>
  </r>
  <r>
    <x v="33"/>
    <s v="RUS"/>
    <x v="4"/>
    <x v="0"/>
    <x v="25"/>
    <x v="5"/>
    <x v="3"/>
    <n v="0"/>
  </r>
  <r>
    <x v="33"/>
    <s v="RUS"/>
    <x v="4"/>
    <x v="0"/>
    <x v="25"/>
    <x v="2"/>
    <x v="2"/>
    <n v="50116.02"/>
  </r>
  <r>
    <x v="33"/>
    <s v="RUS"/>
    <x v="4"/>
    <x v="0"/>
    <x v="26"/>
    <x v="6"/>
    <x v="1"/>
    <n v="567288.01"/>
  </r>
  <r>
    <x v="33"/>
    <s v="RUS"/>
    <x v="4"/>
    <x v="0"/>
    <x v="26"/>
    <x v="6"/>
    <x v="3"/>
    <n v="0"/>
  </r>
  <r>
    <x v="33"/>
    <s v="RUS"/>
    <x v="4"/>
    <x v="0"/>
    <x v="26"/>
    <x v="4"/>
    <x v="2"/>
    <n v="-1952.45"/>
  </r>
  <r>
    <x v="33"/>
    <s v="RUS"/>
    <x v="4"/>
    <x v="0"/>
    <x v="26"/>
    <x v="5"/>
    <x v="2"/>
    <n v="1256.6199999999999"/>
  </r>
  <r>
    <x v="33"/>
    <s v="RUS"/>
    <x v="4"/>
    <x v="0"/>
    <x v="26"/>
    <x v="2"/>
    <x v="3"/>
    <n v="0"/>
  </r>
  <r>
    <x v="33"/>
    <s v="RUS"/>
    <x v="4"/>
    <x v="0"/>
    <x v="34"/>
    <x v="3"/>
    <x v="1"/>
    <n v="12091.67"/>
  </r>
  <r>
    <x v="33"/>
    <s v="RUS"/>
    <x v="4"/>
    <x v="0"/>
    <x v="34"/>
    <x v="1"/>
    <x v="3"/>
    <n v="0"/>
  </r>
  <r>
    <x v="33"/>
    <s v="RUS"/>
    <x v="4"/>
    <x v="0"/>
    <x v="34"/>
    <x v="2"/>
    <x v="0"/>
    <n v="160666.59"/>
  </r>
  <r>
    <x v="33"/>
    <s v="RUS"/>
    <x v="4"/>
    <x v="0"/>
    <x v="27"/>
    <x v="4"/>
    <x v="3"/>
    <n v="0"/>
  </r>
  <r>
    <x v="33"/>
    <s v="RUS"/>
    <x v="4"/>
    <x v="0"/>
    <x v="27"/>
    <x v="2"/>
    <x v="2"/>
    <n v="48834.55"/>
  </r>
  <r>
    <x v="33"/>
    <s v="RUS"/>
    <x v="4"/>
    <x v="0"/>
    <x v="28"/>
    <x v="4"/>
    <x v="1"/>
    <n v="-2186.64"/>
  </r>
  <r>
    <x v="33"/>
    <s v="RUS"/>
    <x v="4"/>
    <x v="0"/>
    <x v="28"/>
    <x v="1"/>
    <x v="1"/>
    <n v="23213.54"/>
  </r>
  <r>
    <x v="33"/>
    <s v="RUS"/>
    <x v="4"/>
    <x v="0"/>
    <x v="28"/>
    <x v="1"/>
    <x v="0"/>
    <n v="721166.29"/>
  </r>
  <r>
    <x v="33"/>
    <s v="RUS"/>
    <x v="4"/>
    <x v="0"/>
    <x v="28"/>
    <x v="2"/>
    <x v="0"/>
    <n v="172315.77"/>
  </r>
  <r>
    <x v="33"/>
    <s v="RUS"/>
    <x v="4"/>
    <x v="0"/>
    <x v="29"/>
    <x v="6"/>
    <x v="1"/>
    <n v="576461.84"/>
  </r>
  <r>
    <x v="33"/>
    <s v="RUS"/>
    <x v="4"/>
    <x v="0"/>
    <x v="29"/>
    <x v="3"/>
    <x v="3"/>
    <n v="13277.92"/>
  </r>
  <r>
    <x v="33"/>
    <s v="RUS"/>
    <x v="4"/>
    <x v="0"/>
    <x v="30"/>
    <x v="0"/>
    <x v="0"/>
    <n v="151143.62"/>
  </r>
  <r>
    <x v="33"/>
    <s v="RUS"/>
    <x v="4"/>
    <x v="0"/>
    <x v="30"/>
    <x v="2"/>
    <x v="2"/>
    <n v="46711.47"/>
  </r>
  <r>
    <x v="33"/>
    <s v="RUS"/>
    <x v="4"/>
    <x v="0"/>
    <x v="31"/>
    <x v="0"/>
    <x v="3"/>
    <n v="0"/>
  </r>
  <r>
    <x v="33"/>
    <s v="RUS"/>
    <x v="4"/>
    <x v="0"/>
    <x v="31"/>
    <x v="1"/>
    <x v="3"/>
    <n v="0"/>
  </r>
  <r>
    <x v="33"/>
    <s v="RUS"/>
    <x v="4"/>
    <x v="0"/>
    <x v="32"/>
    <x v="0"/>
    <x v="0"/>
    <n v="161296.70000000001"/>
  </r>
  <r>
    <x v="33"/>
    <s v="RUS"/>
    <x v="4"/>
    <x v="0"/>
    <x v="32"/>
    <x v="1"/>
    <x v="2"/>
    <n v="16735.599999999999"/>
  </r>
  <r>
    <x v="34"/>
    <s v="SAU"/>
    <x v="3"/>
    <x v="1"/>
    <x v="0"/>
    <x v="6"/>
    <x v="0"/>
    <n v="8380.61"/>
  </r>
  <r>
    <x v="34"/>
    <s v="SAU"/>
    <x v="3"/>
    <x v="1"/>
    <x v="0"/>
    <x v="0"/>
    <x v="2"/>
    <n v="5462.21"/>
  </r>
  <r>
    <x v="34"/>
    <s v="SAU"/>
    <x v="3"/>
    <x v="1"/>
    <x v="0"/>
    <x v="1"/>
    <x v="1"/>
    <n v="4669.91"/>
  </r>
  <r>
    <x v="34"/>
    <s v="SAU"/>
    <x v="3"/>
    <x v="1"/>
    <x v="1"/>
    <x v="6"/>
    <x v="2"/>
    <n v="14863.12"/>
  </r>
  <r>
    <x v="34"/>
    <s v="SAU"/>
    <x v="3"/>
    <x v="1"/>
    <x v="1"/>
    <x v="5"/>
    <x v="0"/>
    <n v="110115.58"/>
  </r>
  <r>
    <x v="34"/>
    <s v="SAU"/>
    <x v="3"/>
    <x v="1"/>
    <x v="1"/>
    <x v="2"/>
    <x v="3"/>
    <n v="0"/>
  </r>
  <r>
    <x v="34"/>
    <s v="SAU"/>
    <x v="3"/>
    <x v="1"/>
    <x v="2"/>
    <x v="0"/>
    <x v="0"/>
    <n v="173961.08"/>
  </r>
  <r>
    <x v="34"/>
    <s v="SAU"/>
    <x v="3"/>
    <x v="1"/>
    <x v="2"/>
    <x v="3"/>
    <x v="3"/>
    <n v="4136.4399999999996"/>
  </r>
  <r>
    <x v="34"/>
    <s v="SAU"/>
    <x v="3"/>
    <x v="1"/>
    <x v="2"/>
    <x v="4"/>
    <x v="2"/>
    <n v="-1061.6300000000001"/>
  </r>
  <r>
    <x v="34"/>
    <s v="SAU"/>
    <x v="3"/>
    <x v="1"/>
    <x v="3"/>
    <x v="4"/>
    <x v="3"/>
    <n v="0"/>
  </r>
  <r>
    <x v="34"/>
    <s v="SAU"/>
    <x v="3"/>
    <x v="1"/>
    <x v="3"/>
    <x v="4"/>
    <x v="2"/>
    <n v="-1074.97"/>
  </r>
  <r>
    <x v="34"/>
    <s v="SAU"/>
    <x v="3"/>
    <x v="1"/>
    <x v="3"/>
    <x v="1"/>
    <x v="3"/>
    <n v="0"/>
  </r>
  <r>
    <x v="34"/>
    <s v="SAU"/>
    <x v="3"/>
    <x v="1"/>
    <x v="3"/>
    <x v="5"/>
    <x v="2"/>
    <n v="1405.4"/>
  </r>
  <r>
    <x v="34"/>
    <s v="SAU"/>
    <x v="3"/>
    <x v="1"/>
    <x v="4"/>
    <x v="6"/>
    <x v="1"/>
    <n v="57230.54"/>
  </r>
  <r>
    <x v="34"/>
    <s v="SAU"/>
    <x v="3"/>
    <x v="1"/>
    <x v="4"/>
    <x v="6"/>
    <x v="0"/>
    <n v="8397.86"/>
  </r>
  <r>
    <x v="34"/>
    <s v="SAU"/>
    <x v="3"/>
    <x v="1"/>
    <x v="4"/>
    <x v="4"/>
    <x v="3"/>
    <n v="0"/>
  </r>
  <r>
    <x v="34"/>
    <s v="SAU"/>
    <x v="3"/>
    <x v="1"/>
    <x v="5"/>
    <x v="6"/>
    <x v="1"/>
    <n v="57916.23"/>
  </r>
  <r>
    <x v="34"/>
    <s v="SAU"/>
    <x v="3"/>
    <x v="1"/>
    <x v="6"/>
    <x v="5"/>
    <x v="0"/>
    <n v="121480.44"/>
  </r>
  <r>
    <x v="34"/>
    <s v="SAU"/>
    <x v="3"/>
    <x v="1"/>
    <x v="6"/>
    <x v="2"/>
    <x v="3"/>
    <n v="0"/>
  </r>
  <r>
    <x v="34"/>
    <s v="SAU"/>
    <x v="3"/>
    <x v="1"/>
    <x v="7"/>
    <x v="0"/>
    <x v="2"/>
    <n v="6120.48"/>
  </r>
  <r>
    <x v="34"/>
    <s v="SAU"/>
    <x v="3"/>
    <x v="1"/>
    <x v="7"/>
    <x v="1"/>
    <x v="1"/>
    <n v="6038.25"/>
  </r>
  <r>
    <x v="34"/>
    <s v="SAU"/>
    <x v="3"/>
    <x v="1"/>
    <x v="7"/>
    <x v="5"/>
    <x v="0"/>
    <n v="143594.01999999999"/>
  </r>
  <r>
    <x v="34"/>
    <s v="SAU"/>
    <x v="3"/>
    <x v="1"/>
    <x v="7"/>
    <x v="2"/>
    <x v="3"/>
    <n v="0"/>
  </r>
  <r>
    <x v="34"/>
    <s v="SAU"/>
    <x v="3"/>
    <x v="1"/>
    <x v="8"/>
    <x v="6"/>
    <x v="2"/>
    <n v="18309.79"/>
  </r>
  <r>
    <x v="34"/>
    <s v="SAU"/>
    <x v="3"/>
    <x v="1"/>
    <x v="8"/>
    <x v="4"/>
    <x v="1"/>
    <n v="-910.11"/>
  </r>
  <r>
    <x v="34"/>
    <s v="SAU"/>
    <x v="3"/>
    <x v="1"/>
    <x v="8"/>
    <x v="5"/>
    <x v="0"/>
    <n v="146218.4"/>
  </r>
  <r>
    <x v="34"/>
    <s v="SAU"/>
    <x v="3"/>
    <x v="1"/>
    <x v="9"/>
    <x v="0"/>
    <x v="3"/>
    <n v="0"/>
  </r>
  <r>
    <x v="34"/>
    <s v="SAU"/>
    <x v="3"/>
    <x v="1"/>
    <x v="9"/>
    <x v="3"/>
    <x v="2"/>
    <n v="4303.5600000000004"/>
  </r>
  <r>
    <x v="34"/>
    <s v="SAU"/>
    <x v="3"/>
    <x v="1"/>
    <x v="9"/>
    <x v="1"/>
    <x v="3"/>
    <n v="0"/>
  </r>
  <r>
    <x v="34"/>
    <s v="SAU"/>
    <x v="3"/>
    <x v="1"/>
    <x v="10"/>
    <x v="3"/>
    <x v="0"/>
    <n v="76690.95"/>
  </r>
  <r>
    <x v="34"/>
    <s v="SAU"/>
    <x v="3"/>
    <x v="1"/>
    <x v="11"/>
    <x v="0"/>
    <x v="3"/>
    <n v="0"/>
  </r>
  <r>
    <x v="34"/>
    <s v="SAU"/>
    <x v="3"/>
    <x v="1"/>
    <x v="11"/>
    <x v="3"/>
    <x v="3"/>
    <n v="5051.13"/>
  </r>
  <r>
    <x v="34"/>
    <s v="SAU"/>
    <x v="3"/>
    <x v="1"/>
    <x v="12"/>
    <x v="6"/>
    <x v="1"/>
    <n v="58000.32"/>
  </r>
  <r>
    <x v="34"/>
    <s v="SAU"/>
    <x v="3"/>
    <x v="1"/>
    <x v="12"/>
    <x v="3"/>
    <x v="0"/>
    <n v="75195.69"/>
  </r>
  <r>
    <x v="34"/>
    <s v="SAU"/>
    <x v="3"/>
    <x v="1"/>
    <x v="12"/>
    <x v="5"/>
    <x v="0"/>
    <n v="123801.74"/>
  </r>
  <r>
    <x v="34"/>
    <s v="SAU"/>
    <x v="3"/>
    <x v="1"/>
    <x v="13"/>
    <x v="6"/>
    <x v="2"/>
    <n v="17923.63"/>
  </r>
  <r>
    <x v="34"/>
    <s v="SAU"/>
    <x v="3"/>
    <x v="1"/>
    <x v="13"/>
    <x v="4"/>
    <x v="3"/>
    <n v="0"/>
  </r>
  <r>
    <x v="34"/>
    <s v="SAU"/>
    <x v="3"/>
    <x v="1"/>
    <x v="13"/>
    <x v="2"/>
    <x v="2"/>
    <n v="405.23"/>
  </r>
  <r>
    <x v="34"/>
    <s v="SAU"/>
    <x v="3"/>
    <x v="1"/>
    <x v="15"/>
    <x v="6"/>
    <x v="0"/>
    <n v="8533.2099999999991"/>
  </r>
  <r>
    <x v="34"/>
    <s v="SAU"/>
    <x v="3"/>
    <x v="1"/>
    <x v="15"/>
    <x v="0"/>
    <x v="2"/>
    <n v="5467.6"/>
  </r>
  <r>
    <x v="34"/>
    <s v="SAU"/>
    <x v="3"/>
    <x v="1"/>
    <x v="15"/>
    <x v="4"/>
    <x v="2"/>
    <n v="-1031.6400000000001"/>
  </r>
  <r>
    <x v="34"/>
    <s v="SAU"/>
    <x v="3"/>
    <x v="1"/>
    <x v="15"/>
    <x v="5"/>
    <x v="1"/>
    <n v="2522.27"/>
  </r>
  <r>
    <x v="34"/>
    <s v="SAU"/>
    <x v="3"/>
    <x v="1"/>
    <x v="15"/>
    <x v="5"/>
    <x v="0"/>
    <n v="126497.23"/>
  </r>
  <r>
    <x v="34"/>
    <s v="SAU"/>
    <x v="3"/>
    <x v="1"/>
    <x v="15"/>
    <x v="2"/>
    <x v="1"/>
    <n v="5971.35"/>
  </r>
  <r>
    <x v="34"/>
    <s v="SAU"/>
    <x v="3"/>
    <x v="1"/>
    <x v="17"/>
    <x v="6"/>
    <x v="3"/>
    <n v="0"/>
  </r>
  <r>
    <x v="34"/>
    <s v="SAU"/>
    <x v="3"/>
    <x v="1"/>
    <x v="17"/>
    <x v="2"/>
    <x v="2"/>
    <n v="426"/>
  </r>
  <r>
    <x v="34"/>
    <s v="SAU"/>
    <x v="3"/>
    <x v="1"/>
    <x v="33"/>
    <x v="6"/>
    <x v="0"/>
    <n v="8010.55"/>
  </r>
  <r>
    <x v="34"/>
    <s v="SAU"/>
    <x v="3"/>
    <x v="1"/>
    <x v="33"/>
    <x v="3"/>
    <x v="3"/>
    <n v="3868.16"/>
  </r>
  <r>
    <x v="34"/>
    <s v="SAU"/>
    <x v="3"/>
    <x v="1"/>
    <x v="33"/>
    <x v="4"/>
    <x v="3"/>
    <n v="0"/>
  </r>
  <r>
    <x v="34"/>
    <s v="SAU"/>
    <x v="3"/>
    <x v="1"/>
    <x v="33"/>
    <x v="5"/>
    <x v="0"/>
    <n v="122844.01"/>
  </r>
  <r>
    <x v="34"/>
    <s v="SAU"/>
    <x v="3"/>
    <x v="1"/>
    <x v="18"/>
    <x v="0"/>
    <x v="1"/>
    <n v="14403.52"/>
  </r>
  <r>
    <x v="34"/>
    <s v="SAU"/>
    <x v="3"/>
    <x v="1"/>
    <x v="18"/>
    <x v="0"/>
    <x v="3"/>
    <n v="0"/>
  </r>
  <r>
    <x v="34"/>
    <s v="SAU"/>
    <x v="3"/>
    <x v="1"/>
    <x v="18"/>
    <x v="1"/>
    <x v="2"/>
    <n v="3341.55"/>
  </r>
  <r>
    <x v="34"/>
    <s v="SAU"/>
    <x v="3"/>
    <x v="1"/>
    <x v="18"/>
    <x v="5"/>
    <x v="0"/>
    <n v="134153.88"/>
  </r>
  <r>
    <x v="34"/>
    <s v="SAU"/>
    <x v="3"/>
    <x v="1"/>
    <x v="19"/>
    <x v="6"/>
    <x v="3"/>
    <n v="0"/>
  </r>
  <r>
    <x v="34"/>
    <s v="SAU"/>
    <x v="3"/>
    <x v="1"/>
    <x v="20"/>
    <x v="6"/>
    <x v="2"/>
    <n v="17806.59"/>
  </r>
  <r>
    <x v="34"/>
    <s v="SAU"/>
    <x v="3"/>
    <x v="1"/>
    <x v="20"/>
    <x v="3"/>
    <x v="0"/>
    <n v="84183.41"/>
  </r>
  <r>
    <x v="34"/>
    <s v="SAU"/>
    <x v="3"/>
    <x v="1"/>
    <x v="20"/>
    <x v="4"/>
    <x v="1"/>
    <n v="-919.86"/>
  </r>
  <r>
    <x v="34"/>
    <s v="SAU"/>
    <x v="3"/>
    <x v="1"/>
    <x v="21"/>
    <x v="6"/>
    <x v="2"/>
    <n v="14965.86"/>
  </r>
  <r>
    <x v="34"/>
    <s v="SAU"/>
    <x v="3"/>
    <x v="1"/>
    <x v="21"/>
    <x v="3"/>
    <x v="0"/>
    <n v="75814.460000000006"/>
  </r>
  <r>
    <x v="34"/>
    <s v="SAU"/>
    <x v="3"/>
    <x v="1"/>
    <x v="22"/>
    <x v="6"/>
    <x v="3"/>
    <n v="0"/>
  </r>
  <r>
    <x v="34"/>
    <s v="SAU"/>
    <x v="3"/>
    <x v="1"/>
    <x v="22"/>
    <x v="1"/>
    <x v="0"/>
    <n v="154689.65"/>
  </r>
  <r>
    <x v="34"/>
    <s v="SAU"/>
    <x v="3"/>
    <x v="1"/>
    <x v="22"/>
    <x v="5"/>
    <x v="1"/>
    <n v="2475.38"/>
  </r>
  <r>
    <x v="34"/>
    <s v="SAU"/>
    <x v="3"/>
    <x v="1"/>
    <x v="22"/>
    <x v="2"/>
    <x v="1"/>
    <n v="5713.41"/>
  </r>
  <r>
    <x v="34"/>
    <s v="SAU"/>
    <x v="3"/>
    <x v="1"/>
    <x v="23"/>
    <x v="6"/>
    <x v="3"/>
    <n v="0"/>
  </r>
  <r>
    <x v="34"/>
    <s v="SAU"/>
    <x v="3"/>
    <x v="1"/>
    <x v="23"/>
    <x v="1"/>
    <x v="0"/>
    <n v="162676.63"/>
  </r>
  <r>
    <x v="34"/>
    <s v="SAU"/>
    <x v="3"/>
    <x v="1"/>
    <x v="23"/>
    <x v="1"/>
    <x v="2"/>
    <n v="3223.34"/>
  </r>
  <r>
    <x v="34"/>
    <s v="SAU"/>
    <x v="3"/>
    <x v="1"/>
    <x v="23"/>
    <x v="2"/>
    <x v="3"/>
    <n v="0"/>
  </r>
  <r>
    <x v="34"/>
    <s v="SAU"/>
    <x v="3"/>
    <x v="1"/>
    <x v="24"/>
    <x v="1"/>
    <x v="1"/>
    <n v="4701.1000000000004"/>
  </r>
  <r>
    <x v="34"/>
    <s v="SAU"/>
    <x v="3"/>
    <x v="1"/>
    <x v="24"/>
    <x v="5"/>
    <x v="3"/>
    <n v="0"/>
  </r>
  <r>
    <x v="34"/>
    <s v="SAU"/>
    <x v="3"/>
    <x v="1"/>
    <x v="25"/>
    <x v="0"/>
    <x v="1"/>
    <n v="10293.07"/>
  </r>
  <r>
    <x v="34"/>
    <s v="SAU"/>
    <x v="3"/>
    <x v="1"/>
    <x v="26"/>
    <x v="4"/>
    <x v="2"/>
    <n v="-878.22"/>
  </r>
  <r>
    <x v="34"/>
    <s v="SAU"/>
    <x v="3"/>
    <x v="1"/>
    <x v="26"/>
    <x v="5"/>
    <x v="0"/>
    <n v="111628.89"/>
  </r>
  <r>
    <x v="34"/>
    <s v="SAU"/>
    <x v="3"/>
    <x v="1"/>
    <x v="34"/>
    <x v="3"/>
    <x v="2"/>
    <n v="3550.53"/>
  </r>
  <r>
    <x v="34"/>
    <s v="SAU"/>
    <x v="3"/>
    <x v="1"/>
    <x v="34"/>
    <x v="5"/>
    <x v="1"/>
    <n v="2006.59"/>
  </r>
  <r>
    <x v="34"/>
    <s v="SAU"/>
    <x v="3"/>
    <x v="1"/>
    <x v="34"/>
    <x v="5"/>
    <x v="0"/>
    <n v="93909.55"/>
  </r>
  <r>
    <x v="34"/>
    <s v="SAU"/>
    <x v="3"/>
    <x v="1"/>
    <x v="27"/>
    <x v="6"/>
    <x v="1"/>
    <n v="44356.18"/>
  </r>
  <r>
    <x v="34"/>
    <s v="SAU"/>
    <x v="3"/>
    <x v="1"/>
    <x v="27"/>
    <x v="6"/>
    <x v="0"/>
    <n v="6660.3"/>
  </r>
  <r>
    <x v="34"/>
    <s v="SAU"/>
    <x v="3"/>
    <x v="1"/>
    <x v="27"/>
    <x v="3"/>
    <x v="3"/>
    <n v="3416.37"/>
  </r>
  <r>
    <x v="34"/>
    <s v="SAU"/>
    <x v="3"/>
    <x v="1"/>
    <x v="27"/>
    <x v="4"/>
    <x v="0"/>
    <n v="-69686.259999999995"/>
  </r>
  <r>
    <x v="34"/>
    <s v="SAU"/>
    <x v="3"/>
    <x v="1"/>
    <x v="27"/>
    <x v="1"/>
    <x v="3"/>
    <n v="0"/>
  </r>
  <r>
    <x v="34"/>
    <s v="SAU"/>
    <x v="3"/>
    <x v="1"/>
    <x v="28"/>
    <x v="1"/>
    <x v="3"/>
    <n v="0"/>
  </r>
  <r>
    <x v="34"/>
    <s v="SAU"/>
    <x v="3"/>
    <x v="1"/>
    <x v="28"/>
    <x v="2"/>
    <x v="1"/>
    <n v="4222.34"/>
  </r>
  <r>
    <x v="34"/>
    <s v="SAU"/>
    <x v="3"/>
    <x v="1"/>
    <x v="29"/>
    <x v="2"/>
    <x v="3"/>
    <n v="0"/>
  </r>
  <r>
    <x v="34"/>
    <s v="SAU"/>
    <x v="3"/>
    <x v="1"/>
    <x v="30"/>
    <x v="0"/>
    <x v="1"/>
    <n v="9034.02"/>
  </r>
  <r>
    <x v="34"/>
    <s v="SAU"/>
    <x v="3"/>
    <x v="1"/>
    <x v="30"/>
    <x v="2"/>
    <x v="1"/>
    <n v="3812.43"/>
  </r>
  <r>
    <x v="34"/>
    <s v="SAU"/>
    <x v="3"/>
    <x v="1"/>
    <x v="31"/>
    <x v="0"/>
    <x v="3"/>
    <n v="0"/>
  </r>
  <r>
    <x v="34"/>
    <s v="SAU"/>
    <x v="3"/>
    <x v="1"/>
    <x v="31"/>
    <x v="4"/>
    <x v="1"/>
    <n v="-662.7"/>
  </r>
  <r>
    <x v="34"/>
    <s v="SAU"/>
    <x v="3"/>
    <x v="1"/>
    <x v="31"/>
    <x v="4"/>
    <x v="3"/>
    <n v="0"/>
  </r>
  <r>
    <x v="34"/>
    <s v="SAU"/>
    <x v="3"/>
    <x v="1"/>
    <x v="31"/>
    <x v="1"/>
    <x v="2"/>
    <n v="2421.54"/>
  </r>
  <r>
    <x v="34"/>
    <s v="SAU"/>
    <x v="3"/>
    <x v="1"/>
    <x v="32"/>
    <x v="6"/>
    <x v="3"/>
    <n v="0"/>
  </r>
  <r>
    <x v="34"/>
    <s v="SAU"/>
    <x v="3"/>
    <x v="1"/>
    <x v="32"/>
    <x v="1"/>
    <x v="2"/>
    <n v="2533.9299999999998"/>
  </r>
  <r>
    <x v="35"/>
    <s v="SGP"/>
    <x v="3"/>
    <x v="1"/>
    <x v="0"/>
    <x v="0"/>
    <x v="1"/>
    <n v="189.5"/>
  </r>
  <r>
    <x v="35"/>
    <s v="SGP"/>
    <x v="3"/>
    <x v="1"/>
    <x v="0"/>
    <x v="0"/>
    <x v="0"/>
    <n v="2362.33"/>
  </r>
  <r>
    <x v="35"/>
    <s v="SGP"/>
    <x v="3"/>
    <x v="1"/>
    <x v="0"/>
    <x v="1"/>
    <x v="1"/>
    <n v="5485.47"/>
  </r>
  <r>
    <x v="35"/>
    <s v="SGP"/>
    <x v="3"/>
    <x v="1"/>
    <x v="1"/>
    <x v="6"/>
    <x v="0"/>
    <n v="2599.7600000000002"/>
  </r>
  <r>
    <x v="35"/>
    <s v="SGP"/>
    <x v="3"/>
    <x v="1"/>
    <x v="2"/>
    <x v="4"/>
    <x v="2"/>
    <n v="-35.619999999999997"/>
  </r>
  <r>
    <x v="35"/>
    <s v="SGP"/>
    <x v="3"/>
    <x v="1"/>
    <x v="2"/>
    <x v="1"/>
    <x v="3"/>
    <n v="0"/>
  </r>
  <r>
    <x v="35"/>
    <s v="SGP"/>
    <x v="3"/>
    <x v="1"/>
    <x v="3"/>
    <x v="0"/>
    <x v="1"/>
    <n v="175.52"/>
  </r>
  <r>
    <x v="35"/>
    <s v="SGP"/>
    <x v="3"/>
    <x v="1"/>
    <x v="3"/>
    <x v="0"/>
    <x v="0"/>
    <n v="2096.38"/>
  </r>
  <r>
    <x v="35"/>
    <s v="SGP"/>
    <x v="3"/>
    <x v="1"/>
    <x v="3"/>
    <x v="0"/>
    <x v="3"/>
    <n v="0"/>
  </r>
  <r>
    <x v="35"/>
    <s v="SGP"/>
    <x v="3"/>
    <x v="1"/>
    <x v="3"/>
    <x v="4"/>
    <x v="2"/>
    <n v="-31.4"/>
  </r>
  <r>
    <x v="35"/>
    <s v="SGP"/>
    <x v="3"/>
    <x v="1"/>
    <x v="4"/>
    <x v="3"/>
    <x v="3"/>
    <n v="5183.12"/>
  </r>
  <r>
    <x v="35"/>
    <s v="SGP"/>
    <x v="3"/>
    <x v="1"/>
    <x v="4"/>
    <x v="4"/>
    <x v="0"/>
    <n v="-3737.03"/>
  </r>
  <r>
    <x v="35"/>
    <s v="SGP"/>
    <x v="3"/>
    <x v="1"/>
    <x v="4"/>
    <x v="1"/>
    <x v="0"/>
    <n v="150326.16"/>
  </r>
  <r>
    <x v="35"/>
    <s v="SGP"/>
    <x v="3"/>
    <x v="1"/>
    <x v="5"/>
    <x v="3"/>
    <x v="3"/>
    <n v="5106.07"/>
  </r>
  <r>
    <x v="35"/>
    <s v="SGP"/>
    <x v="3"/>
    <x v="1"/>
    <x v="5"/>
    <x v="4"/>
    <x v="0"/>
    <n v="-3689.29"/>
  </r>
  <r>
    <x v="35"/>
    <s v="SGP"/>
    <x v="3"/>
    <x v="1"/>
    <x v="5"/>
    <x v="1"/>
    <x v="1"/>
    <n v="4263.4399999999996"/>
  </r>
  <r>
    <x v="35"/>
    <s v="SGP"/>
    <x v="3"/>
    <x v="1"/>
    <x v="6"/>
    <x v="6"/>
    <x v="2"/>
    <n v="4969.67"/>
  </r>
  <r>
    <x v="35"/>
    <s v="SGP"/>
    <x v="3"/>
    <x v="1"/>
    <x v="6"/>
    <x v="0"/>
    <x v="1"/>
    <n v="177.01"/>
  </r>
  <r>
    <x v="35"/>
    <s v="SGP"/>
    <x v="3"/>
    <x v="1"/>
    <x v="6"/>
    <x v="5"/>
    <x v="1"/>
    <n v="2432.9699999999998"/>
  </r>
  <r>
    <x v="35"/>
    <s v="SGP"/>
    <x v="3"/>
    <x v="1"/>
    <x v="6"/>
    <x v="2"/>
    <x v="2"/>
    <n v="3268.94"/>
  </r>
  <r>
    <x v="35"/>
    <s v="SGP"/>
    <x v="3"/>
    <x v="1"/>
    <x v="7"/>
    <x v="3"/>
    <x v="2"/>
    <n v="5623.55"/>
  </r>
  <r>
    <x v="35"/>
    <s v="SGP"/>
    <x v="3"/>
    <x v="1"/>
    <x v="7"/>
    <x v="4"/>
    <x v="3"/>
    <n v="0"/>
  </r>
  <r>
    <x v="35"/>
    <s v="SGP"/>
    <x v="3"/>
    <x v="1"/>
    <x v="7"/>
    <x v="1"/>
    <x v="1"/>
    <n v="5220.29"/>
  </r>
  <r>
    <x v="35"/>
    <s v="SGP"/>
    <x v="3"/>
    <x v="1"/>
    <x v="7"/>
    <x v="1"/>
    <x v="2"/>
    <n v="3443.45"/>
  </r>
  <r>
    <x v="35"/>
    <s v="SGP"/>
    <x v="3"/>
    <x v="1"/>
    <x v="7"/>
    <x v="2"/>
    <x v="0"/>
    <n v="13563.78"/>
  </r>
  <r>
    <x v="35"/>
    <s v="SGP"/>
    <x v="3"/>
    <x v="1"/>
    <x v="8"/>
    <x v="6"/>
    <x v="1"/>
    <n v="17124.060000000001"/>
  </r>
  <r>
    <x v="35"/>
    <s v="SGP"/>
    <x v="3"/>
    <x v="1"/>
    <x v="8"/>
    <x v="0"/>
    <x v="1"/>
    <n v="174.91"/>
  </r>
  <r>
    <x v="35"/>
    <s v="SGP"/>
    <x v="3"/>
    <x v="1"/>
    <x v="8"/>
    <x v="4"/>
    <x v="1"/>
    <n v="-38.270000000000003"/>
  </r>
  <r>
    <x v="35"/>
    <s v="SGP"/>
    <x v="3"/>
    <x v="1"/>
    <x v="9"/>
    <x v="0"/>
    <x v="3"/>
    <n v="0"/>
  </r>
  <r>
    <x v="35"/>
    <s v="SGP"/>
    <x v="3"/>
    <x v="1"/>
    <x v="9"/>
    <x v="3"/>
    <x v="1"/>
    <n v="4949.17"/>
  </r>
  <r>
    <x v="35"/>
    <s v="SGP"/>
    <x v="3"/>
    <x v="1"/>
    <x v="9"/>
    <x v="4"/>
    <x v="2"/>
    <n v="-37.47"/>
  </r>
  <r>
    <x v="35"/>
    <s v="SGP"/>
    <x v="3"/>
    <x v="1"/>
    <x v="9"/>
    <x v="1"/>
    <x v="3"/>
    <n v="0"/>
  </r>
  <r>
    <x v="35"/>
    <s v="SGP"/>
    <x v="3"/>
    <x v="1"/>
    <x v="9"/>
    <x v="5"/>
    <x v="2"/>
    <n v="1343.7"/>
  </r>
  <r>
    <x v="35"/>
    <s v="SGP"/>
    <x v="3"/>
    <x v="1"/>
    <x v="10"/>
    <x v="6"/>
    <x v="0"/>
    <n v="2756.66"/>
  </r>
  <r>
    <x v="35"/>
    <s v="SGP"/>
    <x v="3"/>
    <x v="1"/>
    <x v="10"/>
    <x v="6"/>
    <x v="2"/>
    <n v="5041.83"/>
  </r>
  <r>
    <x v="35"/>
    <s v="SGP"/>
    <x v="3"/>
    <x v="1"/>
    <x v="10"/>
    <x v="4"/>
    <x v="2"/>
    <n v="-40.33"/>
  </r>
  <r>
    <x v="35"/>
    <s v="SGP"/>
    <x v="3"/>
    <x v="1"/>
    <x v="11"/>
    <x v="6"/>
    <x v="3"/>
    <n v="0"/>
  </r>
  <r>
    <x v="35"/>
    <s v="SGP"/>
    <x v="3"/>
    <x v="1"/>
    <x v="11"/>
    <x v="1"/>
    <x v="3"/>
    <n v="0"/>
  </r>
  <r>
    <x v="35"/>
    <s v="SGP"/>
    <x v="3"/>
    <x v="1"/>
    <x v="12"/>
    <x v="0"/>
    <x v="1"/>
    <n v="178.24"/>
  </r>
  <r>
    <x v="35"/>
    <s v="SGP"/>
    <x v="3"/>
    <x v="1"/>
    <x v="12"/>
    <x v="0"/>
    <x v="2"/>
    <n v="72.72"/>
  </r>
  <r>
    <x v="35"/>
    <s v="SGP"/>
    <x v="3"/>
    <x v="1"/>
    <x v="12"/>
    <x v="5"/>
    <x v="0"/>
    <n v="135774.25"/>
  </r>
  <r>
    <x v="35"/>
    <s v="SGP"/>
    <x v="3"/>
    <x v="1"/>
    <x v="12"/>
    <x v="2"/>
    <x v="1"/>
    <n v="64558.05"/>
  </r>
  <r>
    <x v="35"/>
    <s v="SGP"/>
    <x v="3"/>
    <x v="1"/>
    <x v="13"/>
    <x v="0"/>
    <x v="2"/>
    <n v="79.53"/>
  </r>
  <r>
    <x v="35"/>
    <s v="SGP"/>
    <x v="3"/>
    <x v="1"/>
    <x v="13"/>
    <x v="3"/>
    <x v="3"/>
    <n v="5865.37"/>
  </r>
  <r>
    <x v="35"/>
    <s v="SGP"/>
    <x v="3"/>
    <x v="1"/>
    <x v="13"/>
    <x v="5"/>
    <x v="2"/>
    <n v="1400.26"/>
  </r>
  <r>
    <x v="35"/>
    <s v="SGP"/>
    <x v="3"/>
    <x v="1"/>
    <x v="14"/>
    <x v="0"/>
    <x v="3"/>
    <n v="0"/>
  </r>
  <r>
    <x v="35"/>
    <s v="SGP"/>
    <x v="3"/>
    <x v="1"/>
    <x v="14"/>
    <x v="3"/>
    <x v="0"/>
    <n v="83978.53"/>
  </r>
  <r>
    <x v="35"/>
    <s v="SGP"/>
    <x v="3"/>
    <x v="1"/>
    <x v="14"/>
    <x v="4"/>
    <x v="2"/>
    <n v="-36.26"/>
  </r>
  <r>
    <x v="35"/>
    <s v="SGP"/>
    <x v="3"/>
    <x v="1"/>
    <x v="15"/>
    <x v="2"/>
    <x v="3"/>
    <n v="0"/>
  </r>
  <r>
    <x v="35"/>
    <s v="SGP"/>
    <x v="3"/>
    <x v="1"/>
    <x v="16"/>
    <x v="6"/>
    <x v="1"/>
    <n v="19594.34"/>
  </r>
  <r>
    <x v="35"/>
    <s v="SGP"/>
    <x v="3"/>
    <x v="1"/>
    <x v="16"/>
    <x v="3"/>
    <x v="2"/>
    <n v="5057.1099999999997"/>
  </r>
  <r>
    <x v="35"/>
    <s v="SGP"/>
    <x v="3"/>
    <x v="1"/>
    <x v="16"/>
    <x v="5"/>
    <x v="1"/>
    <n v="2584.5"/>
  </r>
  <r>
    <x v="35"/>
    <s v="SGP"/>
    <x v="3"/>
    <x v="1"/>
    <x v="16"/>
    <x v="2"/>
    <x v="3"/>
    <n v="0"/>
  </r>
  <r>
    <x v="35"/>
    <s v="SGP"/>
    <x v="3"/>
    <x v="1"/>
    <x v="17"/>
    <x v="0"/>
    <x v="2"/>
    <n v="88.82"/>
  </r>
  <r>
    <x v="35"/>
    <s v="SGP"/>
    <x v="3"/>
    <x v="1"/>
    <x v="33"/>
    <x v="6"/>
    <x v="2"/>
    <n v="6039.59"/>
  </r>
  <r>
    <x v="35"/>
    <s v="SGP"/>
    <x v="3"/>
    <x v="1"/>
    <x v="33"/>
    <x v="0"/>
    <x v="1"/>
    <n v="202"/>
  </r>
  <r>
    <x v="35"/>
    <s v="SGP"/>
    <x v="3"/>
    <x v="1"/>
    <x v="33"/>
    <x v="3"/>
    <x v="3"/>
    <n v="6490.92"/>
  </r>
  <r>
    <x v="35"/>
    <s v="SGP"/>
    <x v="3"/>
    <x v="1"/>
    <x v="18"/>
    <x v="5"/>
    <x v="0"/>
    <n v="147033.97"/>
  </r>
  <r>
    <x v="35"/>
    <s v="SGP"/>
    <x v="3"/>
    <x v="1"/>
    <x v="19"/>
    <x v="6"/>
    <x v="1"/>
    <n v="22157.46"/>
  </r>
  <r>
    <x v="35"/>
    <s v="SGP"/>
    <x v="3"/>
    <x v="1"/>
    <x v="19"/>
    <x v="0"/>
    <x v="1"/>
    <n v="221.64"/>
  </r>
  <r>
    <x v="35"/>
    <s v="SGP"/>
    <x v="3"/>
    <x v="1"/>
    <x v="19"/>
    <x v="3"/>
    <x v="3"/>
    <n v="6038.72"/>
  </r>
  <r>
    <x v="35"/>
    <s v="SGP"/>
    <x v="3"/>
    <x v="1"/>
    <x v="19"/>
    <x v="4"/>
    <x v="3"/>
    <n v="0"/>
  </r>
  <r>
    <x v="35"/>
    <s v="SGP"/>
    <x v="3"/>
    <x v="1"/>
    <x v="20"/>
    <x v="6"/>
    <x v="0"/>
    <n v="2941.73"/>
  </r>
  <r>
    <x v="35"/>
    <s v="SGP"/>
    <x v="3"/>
    <x v="1"/>
    <x v="20"/>
    <x v="0"/>
    <x v="1"/>
    <n v="204.99"/>
  </r>
  <r>
    <x v="35"/>
    <s v="SGP"/>
    <x v="3"/>
    <x v="1"/>
    <x v="20"/>
    <x v="4"/>
    <x v="2"/>
    <n v="-40.89"/>
  </r>
  <r>
    <x v="35"/>
    <s v="SGP"/>
    <x v="3"/>
    <x v="1"/>
    <x v="20"/>
    <x v="1"/>
    <x v="2"/>
    <n v="3315.27"/>
  </r>
  <r>
    <x v="35"/>
    <s v="SGP"/>
    <x v="3"/>
    <x v="1"/>
    <x v="20"/>
    <x v="2"/>
    <x v="3"/>
    <n v="0"/>
  </r>
  <r>
    <x v="35"/>
    <s v="SGP"/>
    <x v="3"/>
    <x v="1"/>
    <x v="20"/>
    <x v="2"/>
    <x v="2"/>
    <n v="4354.32"/>
  </r>
  <r>
    <x v="35"/>
    <s v="SGP"/>
    <x v="3"/>
    <x v="1"/>
    <x v="21"/>
    <x v="3"/>
    <x v="2"/>
    <n v="5769"/>
  </r>
  <r>
    <x v="35"/>
    <s v="SGP"/>
    <x v="3"/>
    <x v="1"/>
    <x v="21"/>
    <x v="2"/>
    <x v="1"/>
    <n v="72721.679999999993"/>
  </r>
  <r>
    <x v="35"/>
    <s v="SGP"/>
    <x v="3"/>
    <x v="1"/>
    <x v="21"/>
    <x v="2"/>
    <x v="2"/>
    <n v="4783.63"/>
  </r>
  <r>
    <x v="35"/>
    <s v="SGP"/>
    <x v="3"/>
    <x v="1"/>
    <x v="22"/>
    <x v="0"/>
    <x v="1"/>
    <n v="196.17"/>
  </r>
  <r>
    <x v="35"/>
    <s v="SGP"/>
    <x v="3"/>
    <x v="1"/>
    <x v="22"/>
    <x v="1"/>
    <x v="2"/>
    <n v="3416.35"/>
  </r>
  <r>
    <x v="35"/>
    <s v="SGP"/>
    <x v="3"/>
    <x v="1"/>
    <x v="23"/>
    <x v="4"/>
    <x v="0"/>
    <n v="-3863.32"/>
  </r>
  <r>
    <x v="35"/>
    <s v="SGP"/>
    <x v="3"/>
    <x v="1"/>
    <x v="23"/>
    <x v="4"/>
    <x v="2"/>
    <n v="-43.22"/>
  </r>
  <r>
    <x v="35"/>
    <s v="SGP"/>
    <x v="3"/>
    <x v="1"/>
    <x v="23"/>
    <x v="5"/>
    <x v="0"/>
    <n v="157141.47"/>
  </r>
  <r>
    <x v="35"/>
    <s v="SGP"/>
    <x v="3"/>
    <x v="1"/>
    <x v="23"/>
    <x v="2"/>
    <x v="0"/>
    <n v="12330.82"/>
  </r>
  <r>
    <x v="35"/>
    <s v="SGP"/>
    <x v="3"/>
    <x v="1"/>
    <x v="23"/>
    <x v="2"/>
    <x v="2"/>
    <n v="4329.5"/>
  </r>
  <r>
    <x v="35"/>
    <s v="SGP"/>
    <x v="3"/>
    <x v="1"/>
    <x v="24"/>
    <x v="0"/>
    <x v="1"/>
    <n v="200"/>
  </r>
  <r>
    <x v="35"/>
    <s v="SGP"/>
    <x v="3"/>
    <x v="1"/>
    <x v="24"/>
    <x v="1"/>
    <x v="2"/>
    <n v="3166.54"/>
  </r>
  <r>
    <x v="35"/>
    <s v="SGP"/>
    <x v="3"/>
    <x v="1"/>
    <x v="24"/>
    <x v="2"/>
    <x v="1"/>
    <n v="67080.44"/>
  </r>
  <r>
    <x v="35"/>
    <s v="SGP"/>
    <x v="3"/>
    <x v="1"/>
    <x v="24"/>
    <x v="2"/>
    <x v="3"/>
    <n v="0"/>
  </r>
  <r>
    <x v="35"/>
    <s v="SGP"/>
    <x v="3"/>
    <x v="1"/>
    <x v="25"/>
    <x v="0"/>
    <x v="0"/>
    <n v="2104.11"/>
  </r>
  <r>
    <x v="35"/>
    <s v="SGP"/>
    <x v="3"/>
    <x v="1"/>
    <x v="25"/>
    <x v="0"/>
    <x v="2"/>
    <n v="69.48"/>
  </r>
  <r>
    <x v="35"/>
    <s v="SGP"/>
    <x v="3"/>
    <x v="1"/>
    <x v="25"/>
    <x v="5"/>
    <x v="3"/>
    <n v="0"/>
  </r>
  <r>
    <x v="35"/>
    <s v="SGP"/>
    <x v="3"/>
    <x v="1"/>
    <x v="26"/>
    <x v="4"/>
    <x v="1"/>
    <n v="-40.18"/>
  </r>
  <r>
    <x v="35"/>
    <s v="SGP"/>
    <x v="3"/>
    <x v="1"/>
    <x v="26"/>
    <x v="5"/>
    <x v="2"/>
    <n v="1379.74"/>
  </r>
  <r>
    <x v="35"/>
    <s v="SGP"/>
    <x v="3"/>
    <x v="1"/>
    <x v="26"/>
    <x v="2"/>
    <x v="3"/>
    <n v="0"/>
  </r>
  <r>
    <x v="35"/>
    <s v="SGP"/>
    <x v="3"/>
    <x v="1"/>
    <x v="34"/>
    <x v="4"/>
    <x v="3"/>
    <n v="0"/>
  </r>
  <r>
    <x v="35"/>
    <s v="SGP"/>
    <x v="3"/>
    <x v="1"/>
    <x v="34"/>
    <x v="1"/>
    <x v="3"/>
    <n v="0"/>
  </r>
  <r>
    <x v="35"/>
    <s v="SGP"/>
    <x v="3"/>
    <x v="1"/>
    <x v="27"/>
    <x v="6"/>
    <x v="2"/>
    <n v="5033.3500000000004"/>
  </r>
  <r>
    <x v="35"/>
    <s v="SGP"/>
    <x v="3"/>
    <x v="1"/>
    <x v="27"/>
    <x v="0"/>
    <x v="1"/>
    <n v="188.36"/>
  </r>
  <r>
    <x v="35"/>
    <s v="SGP"/>
    <x v="3"/>
    <x v="1"/>
    <x v="28"/>
    <x v="6"/>
    <x v="2"/>
    <n v="5140.45"/>
  </r>
  <r>
    <x v="35"/>
    <s v="SGP"/>
    <x v="3"/>
    <x v="1"/>
    <x v="28"/>
    <x v="5"/>
    <x v="1"/>
    <n v="2412.4899999999998"/>
  </r>
  <r>
    <x v="35"/>
    <s v="SGP"/>
    <x v="3"/>
    <x v="1"/>
    <x v="29"/>
    <x v="6"/>
    <x v="3"/>
    <n v="0"/>
  </r>
  <r>
    <x v="35"/>
    <s v="SGP"/>
    <x v="3"/>
    <x v="1"/>
    <x v="29"/>
    <x v="4"/>
    <x v="1"/>
    <n v="-42.69"/>
  </r>
  <r>
    <x v="35"/>
    <s v="SGP"/>
    <x v="3"/>
    <x v="1"/>
    <x v="29"/>
    <x v="4"/>
    <x v="2"/>
    <n v="-42.05"/>
  </r>
  <r>
    <x v="35"/>
    <s v="SGP"/>
    <x v="3"/>
    <x v="1"/>
    <x v="29"/>
    <x v="5"/>
    <x v="1"/>
    <n v="2792.86"/>
  </r>
  <r>
    <x v="35"/>
    <s v="SGP"/>
    <x v="3"/>
    <x v="1"/>
    <x v="29"/>
    <x v="5"/>
    <x v="2"/>
    <n v="1549.33"/>
  </r>
  <r>
    <x v="35"/>
    <s v="SGP"/>
    <x v="3"/>
    <x v="1"/>
    <x v="29"/>
    <x v="2"/>
    <x v="3"/>
    <n v="0"/>
  </r>
  <r>
    <x v="35"/>
    <s v="SGP"/>
    <x v="3"/>
    <x v="1"/>
    <x v="30"/>
    <x v="0"/>
    <x v="0"/>
    <n v="2215.4499999999998"/>
  </r>
  <r>
    <x v="35"/>
    <s v="SGP"/>
    <x v="3"/>
    <x v="1"/>
    <x v="30"/>
    <x v="0"/>
    <x v="3"/>
    <n v="0"/>
  </r>
  <r>
    <x v="35"/>
    <s v="SGP"/>
    <x v="3"/>
    <x v="1"/>
    <x v="30"/>
    <x v="1"/>
    <x v="1"/>
    <n v="5024.29"/>
  </r>
  <r>
    <x v="35"/>
    <s v="SGP"/>
    <x v="3"/>
    <x v="1"/>
    <x v="30"/>
    <x v="1"/>
    <x v="0"/>
    <n v="167535.04000000001"/>
  </r>
  <r>
    <x v="35"/>
    <s v="SGP"/>
    <x v="3"/>
    <x v="1"/>
    <x v="31"/>
    <x v="6"/>
    <x v="1"/>
    <n v="17039.060000000001"/>
  </r>
  <r>
    <x v="35"/>
    <s v="SGP"/>
    <x v="3"/>
    <x v="1"/>
    <x v="31"/>
    <x v="0"/>
    <x v="0"/>
    <n v="1968.46"/>
  </r>
  <r>
    <x v="35"/>
    <s v="SGP"/>
    <x v="3"/>
    <x v="1"/>
    <x v="32"/>
    <x v="2"/>
    <x v="3"/>
    <n v="0"/>
  </r>
  <r>
    <x v="36"/>
    <s v="ZAF"/>
    <x v="0"/>
    <x v="0"/>
    <x v="0"/>
    <x v="5"/>
    <x v="0"/>
    <n v="117978.56"/>
  </r>
  <r>
    <x v="36"/>
    <s v="ZAF"/>
    <x v="0"/>
    <x v="0"/>
    <x v="1"/>
    <x v="3"/>
    <x v="3"/>
    <n v="1340.35"/>
  </r>
  <r>
    <x v="36"/>
    <s v="ZAF"/>
    <x v="0"/>
    <x v="0"/>
    <x v="1"/>
    <x v="4"/>
    <x v="1"/>
    <n v="277.18"/>
  </r>
  <r>
    <x v="36"/>
    <s v="ZAF"/>
    <x v="0"/>
    <x v="0"/>
    <x v="1"/>
    <x v="1"/>
    <x v="2"/>
    <n v="4024.17"/>
  </r>
  <r>
    <x v="36"/>
    <s v="ZAF"/>
    <x v="0"/>
    <x v="0"/>
    <x v="1"/>
    <x v="5"/>
    <x v="3"/>
    <n v="0"/>
  </r>
  <r>
    <x v="36"/>
    <s v="ZAF"/>
    <x v="0"/>
    <x v="0"/>
    <x v="1"/>
    <x v="5"/>
    <x v="2"/>
    <n v="1184.76"/>
  </r>
  <r>
    <x v="36"/>
    <s v="ZAF"/>
    <x v="0"/>
    <x v="0"/>
    <x v="2"/>
    <x v="4"/>
    <x v="0"/>
    <n v="26419.38"/>
  </r>
  <r>
    <x v="36"/>
    <s v="ZAF"/>
    <x v="0"/>
    <x v="0"/>
    <x v="2"/>
    <x v="1"/>
    <x v="3"/>
    <n v="0"/>
  </r>
  <r>
    <x v="36"/>
    <s v="ZAF"/>
    <x v="0"/>
    <x v="0"/>
    <x v="3"/>
    <x v="0"/>
    <x v="1"/>
    <n v="940.77"/>
  </r>
  <r>
    <x v="36"/>
    <s v="ZAF"/>
    <x v="0"/>
    <x v="0"/>
    <x v="3"/>
    <x v="1"/>
    <x v="3"/>
    <n v="0"/>
  </r>
  <r>
    <x v="36"/>
    <s v="ZAF"/>
    <x v="0"/>
    <x v="0"/>
    <x v="4"/>
    <x v="0"/>
    <x v="0"/>
    <n v="10573.48"/>
  </r>
  <r>
    <x v="36"/>
    <s v="ZAF"/>
    <x v="0"/>
    <x v="0"/>
    <x v="4"/>
    <x v="3"/>
    <x v="0"/>
    <n v="22452.3"/>
  </r>
  <r>
    <x v="36"/>
    <s v="ZAF"/>
    <x v="0"/>
    <x v="0"/>
    <x v="4"/>
    <x v="1"/>
    <x v="3"/>
    <n v="0"/>
  </r>
  <r>
    <x v="36"/>
    <s v="ZAF"/>
    <x v="0"/>
    <x v="0"/>
    <x v="6"/>
    <x v="6"/>
    <x v="2"/>
    <n v="3876.6"/>
  </r>
  <r>
    <x v="36"/>
    <s v="ZAF"/>
    <x v="0"/>
    <x v="0"/>
    <x v="6"/>
    <x v="3"/>
    <x v="2"/>
    <n v="1391.97"/>
  </r>
  <r>
    <x v="36"/>
    <s v="ZAF"/>
    <x v="0"/>
    <x v="0"/>
    <x v="6"/>
    <x v="4"/>
    <x v="2"/>
    <n v="316.8"/>
  </r>
  <r>
    <x v="36"/>
    <s v="ZAF"/>
    <x v="0"/>
    <x v="0"/>
    <x v="6"/>
    <x v="1"/>
    <x v="0"/>
    <n v="195684.29"/>
  </r>
  <r>
    <x v="36"/>
    <s v="ZAF"/>
    <x v="0"/>
    <x v="0"/>
    <x v="7"/>
    <x v="4"/>
    <x v="3"/>
    <n v="0"/>
  </r>
  <r>
    <x v="36"/>
    <s v="ZAF"/>
    <x v="0"/>
    <x v="0"/>
    <x v="7"/>
    <x v="1"/>
    <x v="1"/>
    <n v="5882.85"/>
  </r>
  <r>
    <x v="36"/>
    <s v="ZAF"/>
    <x v="0"/>
    <x v="0"/>
    <x v="7"/>
    <x v="1"/>
    <x v="3"/>
    <n v="0"/>
  </r>
  <r>
    <x v="36"/>
    <s v="ZAF"/>
    <x v="0"/>
    <x v="0"/>
    <x v="8"/>
    <x v="6"/>
    <x v="1"/>
    <n v="11888.44"/>
  </r>
  <r>
    <x v="36"/>
    <s v="ZAF"/>
    <x v="0"/>
    <x v="0"/>
    <x v="9"/>
    <x v="0"/>
    <x v="1"/>
    <n v="926.4"/>
  </r>
  <r>
    <x v="36"/>
    <s v="ZAF"/>
    <x v="0"/>
    <x v="0"/>
    <x v="9"/>
    <x v="4"/>
    <x v="1"/>
    <n v="305.16000000000003"/>
  </r>
  <r>
    <x v="36"/>
    <s v="ZAF"/>
    <x v="0"/>
    <x v="0"/>
    <x v="9"/>
    <x v="4"/>
    <x v="3"/>
    <n v="0"/>
  </r>
  <r>
    <x v="36"/>
    <s v="ZAF"/>
    <x v="0"/>
    <x v="0"/>
    <x v="10"/>
    <x v="6"/>
    <x v="3"/>
    <n v="0"/>
  </r>
  <r>
    <x v="36"/>
    <s v="ZAF"/>
    <x v="0"/>
    <x v="0"/>
    <x v="10"/>
    <x v="4"/>
    <x v="2"/>
    <n v="347.05"/>
  </r>
  <r>
    <x v="36"/>
    <s v="ZAF"/>
    <x v="0"/>
    <x v="0"/>
    <x v="10"/>
    <x v="2"/>
    <x v="3"/>
    <n v="0"/>
  </r>
  <r>
    <x v="36"/>
    <s v="ZAF"/>
    <x v="0"/>
    <x v="0"/>
    <x v="11"/>
    <x v="3"/>
    <x v="0"/>
    <n v="24843.599999999999"/>
  </r>
  <r>
    <x v="36"/>
    <s v="ZAF"/>
    <x v="0"/>
    <x v="0"/>
    <x v="11"/>
    <x v="4"/>
    <x v="1"/>
    <n v="310.89999999999998"/>
  </r>
  <r>
    <x v="36"/>
    <s v="ZAF"/>
    <x v="0"/>
    <x v="0"/>
    <x v="11"/>
    <x v="4"/>
    <x v="2"/>
    <n v="362.63"/>
  </r>
  <r>
    <x v="36"/>
    <s v="ZAF"/>
    <x v="0"/>
    <x v="0"/>
    <x v="11"/>
    <x v="1"/>
    <x v="2"/>
    <n v="4952.5"/>
  </r>
  <r>
    <x v="36"/>
    <s v="ZAF"/>
    <x v="0"/>
    <x v="0"/>
    <x v="12"/>
    <x v="0"/>
    <x v="1"/>
    <n v="1125.28"/>
  </r>
  <r>
    <x v="36"/>
    <s v="ZAF"/>
    <x v="0"/>
    <x v="0"/>
    <x v="12"/>
    <x v="4"/>
    <x v="3"/>
    <n v="0"/>
  </r>
  <r>
    <x v="36"/>
    <s v="ZAF"/>
    <x v="0"/>
    <x v="0"/>
    <x v="12"/>
    <x v="4"/>
    <x v="2"/>
    <n v="366.12"/>
  </r>
  <r>
    <x v="36"/>
    <s v="ZAF"/>
    <x v="0"/>
    <x v="0"/>
    <x v="12"/>
    <x v="2"/>
    <x v="3"/>
    <n v="0"/>
  </r>
  <r>
    <x v="36"/>
    <s v="ZAF"/>
    <x v="0"/>
    <x v="0"/>
    <x v="13"/>
    <x v="4"/>
    <x v="3"/>
    <n v="0"/>
  </r>
  <r>
    <x v="36"/>
    <s v="ZAF"/>
    <x v="0"/>
    <x v="0"/>
    <x v="13"/>
    <x v="2"/>
    <x v="0"/>
    <n v="52733.11"/>
  </r>
  <r>
    <x v="36"/>
    <s v="ZAF"/>
    <x v="0"/>
    <x v="0"/>
    <x v="14"/>
    <x v="4"/>
    <x v="1"/>
    <n v="348.88"/>
  </r>
  <r>
    <x v="36"/>
    <s v="ZAF"/>
    <x v="0"/>
    <x v="0"/>
    <x v="15"/>
    <x v="6"/>
    <x v="0"/>
    <n v="2078.71"/>
  </r>
  <r>
    <x v="36"/>
    <s v="ZAF"/>
    <x v="0"/>
    <x v="0"/>
    <x v="15"/>
    <x v="4"/>
    <x v="3"/>
    <n v="0"/>
  </r>
  <r>
    <x v="36"/>
    <s v="ZAF"/>
    <x v="0"/>
    <x v="0"/>
    <x v="15"/>
    <x v="2"/>
    <x v="3"/>
    <n v="0"/>
  </r>
  <r>
    <x v="36"/>
    <s v="ZAF"/>
    <x v="0"/>
    <x v="0"/>
    <x v="16"/>
    <x v="3"/>
    <x v="0"/>
    <n v="29674.5"/>
  </r>
  <r>
    <x v="36"/>
    <s v="ZAF"/>
    <x v="0"/>
    <x v="0"/>
    <x v="16"/>
    <x v="3"/>
    <x v="3"/>
    <n v="1803.97"/>
  </r>
  <r>
    <x v="36"/>
    <s v="ZAF"/>
    <x v="0"/>
    <x v="0"/>
    <x v="17"/>
    <x v="6"/>
    <x v="1"/>
    <n v="15560.57"/>
  </r>
  <r>
    <x v="36"/>
    <s v="ZAF"/>
    <x v="0"/>
    <x v="0"/>
    <x v="17"/>
    <x v="0"/>
    <x v="0"/>
    <n v="14881.32"/>
  </r>
  <r>
    <x v="36"/>
    <s v="ZAF"/>
    <x v="0"/>
    <x v="0"/>
    <x v="17"/>
    <x v="3"/>
    <x v="3"/>
    <n v="1829.58"/>
  </r>
  <r>
    <x v="36"/>
    <s v="ZAF"/>
    <x v="0"/>
    <x v="0"/>
    <x v="33"/>
    <x v="4"/>
    <x v="2"/>
    <n v="430.95"/>
  </r>
  <r>
    <x v="36"/>
    <s v="ZAF"/>
    <x v="0"/>
    <x v="0"/>
    <x v="33"/>
    <x v="1"/>
    <x v="1"/>
    <n v="8254.2900000000009"/>
  </r>
  <r>
    <x v="36"/>
    <s v="ZAF"/>
    <x v="0"/>
    <x v="0"/>
    <x v="33"/>
    <x v="2"/>
    <x v="0"/>
    <n v="47664.98"/>
  </r>
  <r>
    <x v="36"/>
    <s v="ZAF"/>
    <x v="0"/>
    <x v="0"/>
    <x v="18"/>
    <x v="1"/>
    <x v="1"/>
    <n v="6997.78"/>
  </r>
  <r>
    <x v="36"/>
    <s v="ZAF"/>
    <x v="0"/>
    <x v="0"/>
    <x v="18"/>
    <x v="5"/>
    <x v="0"/>
    <n v="151863.97"/>
  </r>
  <r>
    <x v="36"/>
    <s v="ZAF"/>
    <x v="0"/>
    <x v="0"/>
    <x v="18"/>
    <x v="2"/>
    <x v="1"/>
    <n v="280204.84000000003"/>
  </r>
  <r>
    <x v="36"/>
    <s v="ZAF"/>
    <x v="0"/>
    <x v="0"/>
    <x v="18"/>
    <x v="2"/>
    <x v="0"/>
    <n v="47147.55"/>
  </r>
  <r>
    <x v="36"/>
    <s v="ZAF"/>
    <x v="0"/>
    <x v="0"/>
    <x v="18"/>
    <x v="2"/>
    <x v="3"/>
    <n v="0"/>
  </r>
  <r>
    <x v="36"/>
    <s v="ZAF"/>
    <x v="0"/>
    <x v="0"/>
    <x v="19"/>
    <x v="4"/>
    <x v="1"/>
    <n v="396.18"/>
  </r>
  <r>
    <x v="36"/>
    <s v="ZAF"/>
    <x v="0"/>
    <x v="0"/>
    <x v="19"/>
    <x v="1"/>
    <x v="0"/>
    <n v="271358.40000000002"/>
  </r>
  <r>
    <x v="36"/>
    <s v="ZAF"/>
    <x v="0"/>
    <x v="0"/>
    <x v="20"/>
    <x v="6"/>
    <x v="0"/>
    <n v="2346.59"/>
  </r>
  <r>
    <x v="36"/>
    <s v="ZAF"/>
    <x v="0"/>
    <x v="0"/>
    <x v="20"/>
    <x v="6"/>
    <x v="3"/>
    <n v="0"/>
  </r>
  <r>
    <x v="36"/>
    <s v="ZAF"/>
    <x v="0"/>
    <x v="0"/>
    <x v="20"/>
    <x v="5"/>
    <x v="1"/>
    <n v="3274.57"/>
  </r>
  <r>
    <x v="36"/>
    <s v="ZAF"/>
    <x v="0"/>
    <x v="0"/>
    <x v="20"/>
    <x v="5"/>
    <x v="0"/>
    <n v="159003.78"/>
  </r>
  <r>
    <x v="36"/>
    <s v="ZAF"/>
    <x v="0"/>
    <x v="0"/>
    <x v="20"/>
    <x v="2"/>
    <x v="2"/>
    <n v="19068.86"/>
  </r>
  <r>
    <x v="36"/>
    <s v="ZAF"/>
    <x v="0"/>
    <x v="0"/>
    <x v="21"/>
    <x v="3"/>
    <x v="3"/>
    <n v="1661.75"/>
  </r>
  <r>
    <x v="36"/>
    <s v="ZAF"/>
    <x v="0"/>
    <x v="0"/>
    <x v="21"/>
    <x v="1"/>
    <x v="1"/>
    <n v="7430.75"/>
  </r>
  <r>
    <x v="36"/>
    <s v="ZAF"/>
    <x v="0"/>
    <x v="0"/>
    <x v="22"/>
    <x v="2"/>
    <x v="0"/>
    <n v="55494.400000000001"/>
  </r>
  <r>
    <x v="36"/>
    <s v="ZAF"/>
    <x v="0"/>
    <x v="0"/>
    <x v="24"/>
    <x v="6"/>
    <x v="0"/>
    <n v="2185.46"/>
  </r>
  <r>
    <x v="36"/>
    <s v="ZAF"/>
    <x v="0"/>
    <x v="0"/>
    <x v="24"/>
    <x v="6"/>
    <x v="3"/>
    <n v="0"/>
  </r>
  <r>
    <x v="36"/>
    <s v="ZAF"/>
    <x v="0"/>
    <x v="0"/>
    <x v="24"/>
    <x v="3"/>
    <x v="2"/>
    <n v="1837.95"/>
  </r>
  <r>
    <x v="36"/>
    <s v="ZAF"/>
    <x v="0"/>
    <x v="0"/>
    <x v="25"/>
    <x v="0"/>
    <x v="3"/>
    <n v="0"/>
  </r>
  <r>
    <x v="36"/>
    <s v="ZAF"/>
    <x v="0"/>
    <x v="0"/>
    <x v="25"/>
    <x v="3"/>
    <x v="1"/>
    <n v="1986.48"/>
  </r>
  <r>
    <x v="36"/>
    <s v="ZAF"/>
    <x v="0"/>
    <x v="0"/>
    <x v="25"/>
    <x v="4"/>
    <x v="0"/>
    <n v="41770.54"/>
  </r>
  <r>
    <x v="36"/>
    <s v="ZAF"/>
    <x v="0"/>
    <x v="0"/>
    <x v="25"/>
    <x v="1"/>
    <x v="0"/>
    <n v="231653.79"/>
  </r>
  <r>
    <x v="36"/>
    <s v="ZAF"/>
    <x v="0"/>
    <x v="0"/>
    <x v="25"/>
    <x v="5"/>
    <x v="0"/>
    <n v="165131.82999999999"/>
  </r>
  <r>
    <x v="36"/>
    <s v="ZAF"/>
    <x v="0"/>
    <x v="0"/>
    <x v="26"/>
    <x v="1"/>
    <x v="0"/>
    <n v="263002.40999999997"/>
  </r>
  <r>
    <x v="36"/>
    <s v="ZAF"/>
    <x v="0"/>
    <x v="0"/>
    <x v="26"/>
    <x v="2"/>
    <x v="2"/>
    <n v="18299.59"/>
  </r>
  <r>
    <x v="36"/>
    <s v="ZAF"/>
    <x v="0"/>
    <x v="0"/>
    <x v="34"/>
    <x v="0"/>
    <x v="0"/>
    <n v="16053.53"/>
  </r>
  <r>
    <x v="36"/>
    <s v="ZAF"/>
    <x v="0"/>
    <x v="0"/>
    <x v="34"/>
    <x v="2"/>
    <x v="1"/>
    <n v="286520.01"/>
  </r>
  <r>
    <x v="36"/>
    <s v="ZAF"/>
    <x v="0"/>
    <x v="0"/>
    <x v="27"/>
    <x v="0"/>
    <x v="3"/>
    <n v="0"/>
  </r>
  <r>
    <x v="36"/>
    <s v="ZAF"/>
    <x v="0"/>
    <x v="0"/>
    <x v="27"/>
    <x v="4"/>
    <x v="2"/>
    <n v="409.48"/>
  </r>
  <r>
    <x v="36"/>
    <s v="ZAF"/>
    <x v="0"/>
    <x v="0"/>
    <x v="27"/>
    <x v="1"/>
    <x v="1"/>
    <n v="8470.17"/>
  </r>
  <r>
    <x v="36"/>
    <s v="ZAF"/>
    <x v="0"/>
    <x v="0"/>
    <x v="27"/>
    <x v="5"/>
    <x v="3"/>
    <n v="0"/>
  </r>
  <r>
    <x v="36"/>
    <s v="ZAF"/>
    <x v="0"/>
    <x v="0"/>
    <x v="27"/>
    <x v="2"/>
    <x v="3"/>
    <n v="0"/>
  </r>
  <r>
    <x v="36"/>
    <s v="ZAF"/>
    <x v="0"/>
    <x v="0"/>
    <x v="28"/>
    <x v="3"/>
    <x v="3"/>
    <n v="1959.62"/>
  </r>
  <r>
    <x v="36"/>
    <s v="ZAF"/>
    <x v="0"/>
    <x v="0"/>
    <x v="28"/>
    <x v="5"/>
    <x v="3"/>
    <n v="0"/>
  </r>
  <r>
    <x v="36"/>
    <s v="ZAF"/>
    <x v="0"/>
    <x v="0"/>
    <x v="29"/>
    <x v="6"/>
    <x v="0"/>
    <n v="2592.65"/>
  </r>
  <r>
    <x v="36"/>
    <s v="ZAF"/>
    <x v="0"/>
    <x v="0"/>
    <x v="29"/>
    <x v="4"/>
    <x v="3"/>
    <n v="0"/>
  </r>
  <r>
    <x v="36"/>
    <s v="ZAF"/>
    <x v="0"/>
    <x v="0"/>
    <x v="29"/>
    <x v="5"/>
    <x v="3"/>
    <n v="0"/>
  </r>
  <r>
    <x v="36"/>
    <s v="ZAF"/>
    <x v="0"/>
    <x v="0"/>
    <x v="29"/>
    <x v="2"/>
    <x v="0"/>
    <n v="55873.96"/>
  </r>
  <r>
    <x v="36"/>
    <s v="ZAF"/>
    <x v="0"/>
    <x v="0"/>
    <x v="30"/>
    <x v="3"/>
    <x v="0"/>
    <n v="32868.480000000003"/>
  </r>
  <r>
    <x v="36"/>
    <s v="ZAF"/>
    <x v="0"/>
    <x v="0"/>
    <x v="30"/>
    <x v="1"/>
    <x v="0"/>
    <n v="287813.09999999998"/>
  </r>
  <r>
    <x v="36"/>
    <s v="ZAF"/>
    <x v="0"/>
    <x v="0"/>
    <x v="30"/>
    <x v="1"/>
    <x v="2"/>
    <n v="5662.07"/>
  </r>
  <r>
    <x v="36"/>
    <s v="ZAF"/>
    <x v="0"/>
    <x v="0"/>
    <x v="30"/>
    <x v="5"/>
    <x v="0"/>
    <n v="180062.78"/>
  </r>
  <r>
    <x v="36"/>
    <s v="ZAF"/>
    <x v="0"/>
    <x v="0"/>
    <x v="31"/>
    <x v="6"/>
    <x v="3"/>
    <n v="0"/>
  </r>
  <r>
    <x v="36"/>
    <s v="ZAF"/>
    <x v="0"/>
    <x v="0"/>
    <x v="31"/>
    <x v="3"/>
    <x v="1"/>
    <n v="2046.27"/>
  </r>
  <r>
    <x v="36"/>
    <s v="ZAF"/>
    <x v="0"/>
    <x v="0"/>
    <x v="31"/>
    <x v="3"/>
    <x v="2"/>
    <n v="2021.72"/>
  </r>
  <r>
    <x v="36"/>
    <s v="ZAF"/>
    <x v="0"/>
    <x v="0"/>
    <x v="31"/>
    <x v="2"/>
    <x v="0"/>
    <n v="55587.11"/>
  </r>
  <r>
    <x v="36"/>
    <s v="ZAF"/>
    <x v="0"/>
    <x v="0"/>
    <x v="32"/>
    <x v="0"/>
    <x v="0"/>
    <n v="15138.39"/>
  </r>
  <r>
    <x v="36"/>
    <s v="ZAF"/>
    <x v="0"/>
    <x v="0"/>
    <x v="32"/>
    <x v="0"/>
    <x v="2"/>
    <n v="490.9"/>
  </r>
  <r>
    <x v="36"/>
    <s v="ZAF"/>
    <x v="0"/>
    <x v="0"/>
    <x v="32"/>
    <x v="1"/>
    <x v="0"/>
    <n v="245333.53"/>
  </r>
  <r>
    <x v="36"/>
    <s v="ZAF"/>
    <x v="0"/>
    <x v="0"/>
    <x v="32"/>
    <x v="2"/>
    <x v="3"/>
    <n v="0"/>
  </r>
  <r>
    <x v="37"/>
    <s v="KOR"/>
    <x v="3"/>
    <x v="1"/>
    <x v="0"/>
    <x v="4"/>
    <x v="0"/>
    <n v="-58658.27"/>
  </r>
  <r>
    <x v="37"/>
    <s v="KOR"/>
    <x v="3"/>
    <x v="1"/>
    <x v="0"/>
    <x v="4"/>
    <x v="2"/>
    <n v="-610.01"/>
  </r>
  <r>
    <x v="37"/>
    <s v="KOR"/>
    <x v="3"/>
    <x v="1"/>
    <x v="1"/>
    <x v="6"/>
    <x v="1"/>
    <n v="109316.17"/>
  </r>
  <r>
    <x v="37"/>
    <s v="KOR"/>
    <x v="3"/>
    <x v="1"/>
    <x v="1"/>
    <x v="5"/>
    <x v="3"/>
    <n v="0"/>
  </r>
  <r>
    <x v="37"/>
    <s v="KOR"/>
    <x v="3"/>
    <x v="1"/>
    <x v="2"/>
    <x v="4"/>
    <x v="1"/>
    <n v="-556.89"/>
  </r>
  <r>
    <x v="37"/>
    <s v="KOR"/>
    <x v="3"/>
    <x v="1"/>
    <x v="2"/>
    <x v="4"/>
    <x v="2"/>
    <n v="-627.29999999999995"/>
  </r>
  <r>
    <x v="37"/>
    <s v="KOR"/>
    <x v="3"/>
    <x v="1"/>
    <x v="3"/>
    <x v="0"/>
    <x v="3"/>
    <n v="0"/>
  </r>
  <r>
    <x v="37"/>
    <s v="KOR"/>
    <x v="3"/>
    <x v="1"/>
    <x v="3"/>
    <x v="1"/>
    <x v="2"/>
    <n v="4040.41"/>
  </r>
  <r>
    <x v="37"/>
    <s v="KOR"/>
    <x v="3"/>
    <x v="1"/>
    <x v="3"/>
    <x v="2"/>
    <x v="2"/>
    <n v="62.14"/>
  </r>
  <r>
    <x v="37"/>
    <s v="KOR"/>
    <x v="3"/>
    <x v="1"/>
    <x v="4"/>
    <x v="0"/>
    <x v="0"/>
    <n v="32108.7"/>
  </r>
  <r>
    <x v="37"/>
    <s v="KOR"/>
    <x v="3"/>
    <x v="1"/>
    <x v="4"/>
    <x v="2"/>
    <x v="1"/>
    <n v="1010.78"/>
  </r>
  <r>
    <x v="37"/>
    <s v="KOR"/>
    <x v="3"/>
    <x v="1"/>
    <x v="5"/>
    <x v="3"/>
    <x v="2"/>
    <n v="639.28"/>
  </r>
  <r>
    <x v="37"/>
    <s v="KOR"/>
    <x v="3"/>
    <x v="1"/>
    <x v="5"/>
    <x v="2"/>
    <x v="1"/>
    <n v="1071.22"/>
  </r>
  <r>
    <x v="37"/>
    <s v="KOR"/>
    <x v="3"/>
    <x v="1"/>
    <x v="6"/>
    <x v="3"/>
    <x v="1"/>
    <n v="638.04"/>
  </r>
  <r>
    <x v="37"/>
    <s v="KOR"/>
    <x v="3"/>
    <x v="1"/>
    <x v="7"/>
    <x v="6"/>
    <x v="2"/>
    <n v="30930.07"/>
  </r>
  <r>
    <x v="37"/>
    <s v="KOR"/>
    <x v="3"/>
    <x v="1"/>
    <x v="7"/>
    <x v="0"/>
    <x v="0"/>
    <n v="35888.19"/>
  </r>
  <r>
    <x v="37"/>
    <s v="KOR"/>
    <x v="3"/>
    <x v="1"/>
    <x v="7"/>
    <x v="3"/>
    <x v="1"/>
    <n v="699.42"/>
  </r>
  <r>
    <x v="37"/>
    <s v="KOR"/>
    <x v="3"/>
    <x v="1"/>
    <x v="7"/>
    <x v="3"/>
    <x v="3"/>
    <n v="668.06"/>
  </r>
  <r>
    <x v="37"/>
    <s v="KOR"/>
    <x v="3"/>
    <x v="1"/>
    <x v="7"/>
    <x v="4"/>
    <x v="0"/>
    <n v="-62567.97"/>
  </r>
  <r>
    <x v="37"/>
    <s v="KOR"/>
    <x v="3"/>
    <x v="1"/>
    <x v="7"/>
    <x v="5"/>
    <x v="2"/>
    <n v="1337.52"/>
  </r>
  <r>
    <x v="37"/>
    <s v="KOR"/>
    <x v="3"/>
    <x v="1"/>
    <x v="7"/>
    <x v="2"/>
    <x v="0"/>
    <n v="204.51"/>
  </r>
  <r>
    <x v="37"/>
    <s v="KOR"/>
    <x v="3"/>
    <x v="1"/>
    <x v="8"/>
    <x v="0"/>
    <x v="0"/>
    <n v="31522.54"/>
  </r>
  <r>
    <x v="37"/>
    <s v="KOR"/>
    <x v="3"/>
    <x v="1"/>
    <x v="8"/>
    <x v="1"/>
    <x v="0"/>
    <n v="194585.05"/>
  </r>
  <r>
    <x v="37"/>
    <s v="KOR"/>
    <x v="3"/>
    <x v="1"/>
    <x v="9"/>
    <x v="5"/>
    <x v="3"/>
    <n v="0"/>
  </r>
  <r>
    <x v="37"/>
    <s v="KOR"/>
    <x v="3"/>
    <x v="1"/>
    <x v="9"/>
    <x v="2"/>
    <x v="0"/>
    <n v="210.92"/>
  </r>
  <r>
    <x v="37"/>
    <s v="KOR"/>
    <x v="3"/>
    <x v="1"/>
    <x v="10"/>
    <x v="3"/>
    <x v="1"/>
    <n v="602.57000000000005"/>
  </r>
  <r>
    <x v="37"/>
    <s v="KOR"/>
    <x v="3"/>
    <x v="1"/>
    <x v="10"/>
    <x v="1"/>
    <x v="0"/>
    <n v="193529"/>
  </r>
  <r>
    <x v="37"/>
    <s v="KOR"/>
    <x v="3"/>
    <x v="1"/>
    <x v="11"/>
    <x v="5"/>
    <x v="2"/>
    <n v="1273.81"/>
  </r>
  <r>
    <x v="37"/>
    <s v="KOR"/>
    <x v="3"/>
    <x v="1"/>
    <x v="11"/>
    <x v="2"/>
    <x v="0"/>
    <n v="203.79"/>
  </r>
  <r>
    <x v="37"/>
    <s v="KOR"/>
    <x v="3"/>
    <x v="1"/>
    <x v="12"/>
    <x v="0"/>
    <x v="0"/>
    <n v="36502.35"/>
  </r>
  <r>
    <x v="37"/>
    <s v="KOR"/>
    <x v="3"/>
    <x v="1"/>
    <x v="12"/>
    <x v="4"/>
    <x v="1"/>
    <n v="-634.94000000000005"/>
  </r>
  <r>
    <x v="37"/>
    <s v="KOR"/>
    <x v="3"/>
    <x v="1"/>
    <x v="13"/>
    <x v="6"/>
    <x v="1"/>
    <n v="109618.35"/>
  </r>
  <r>
    <x v="37"/>
    <s v="KOR"/>
    <x v="3"/>
    <x v="1"/>
    <x v="13"/>
    <x v="3"/>
    <x v="3"/>
    <n v="662.56"/>
  </r>
  <r>
    <x v="37"/>
    <s v="KOR"/>
    <x v="3"/>
    <x v="1"/>
    <x v="14"/>
    <x v="4"/>
    <x v="0"/>
    <n v="-59800.22"/>
  </r>
  <r>
    <x v="37"/>
    <s v="KOR"/>
    <x v="3"/>
    <x v="1"/>
    <x v="14"/>
    <x v="1"/>
    <x v="0"/>
    <n v="223675.31"/>
  </r>
  <r>
    <x v="37"/>
    <s v="KOR"/>
    <x v="3"/>
    <x v="1"/>
    <x v="14"/>
    <x v="5"/>
    <x v="3"/>
    <n v="0"/>
  </r>
  <r>
    <x v="37"/>
    <s v="KOR"/>
    <x v="3"/>
    <x v="1"/>
    <x v="15"/>
    <x v="6"/>
    <x v="0"/>
    <n v="15537.87"/>
  </r>
  <r>
    <x v="37"/>
    <s v="KOR"/>
    <x v="3"/>
    <x v="1"/>
    <x v="15"/>
    <x v="4"/>
    <x v="2"/>
    <n v="-615.12"/>
  </r>
  <r>
    <x v="37"/>
    <s v="KOR"/>
    <x v="3"/>
    <x v="1"/>
    <x v="15"/>
    <x v="1"/>
    <x v="3"/>
    <n v="0"/>
  </r>
  <r>
    <x v="37"/>
    <s v="KOR"/>
    <x v="3"/>
    <x v="1"/>
    <x v="16"/>
    <x v="3"/>
    <x v="0"/>
    <n v="11178.11"/>
  </r>
  <r>
    <x v="37"/>
    <s v="KOR"/>
    <x v="3"/>
    <x v="1"/>
    <x v="16"/>
    <x v="3"/>
    <x v="3"/>
    <n v="633.91999999999996"/>
  </r>
  <r>
    <x v="37"/>
    <s v="KOR"/>
    <x v="3"/>
    <x v="1"/>
    <x v="17"/>
    <x v="6"/>
    <x v="2"/>
    <n v="30160.66"/>
  </r>
  <r>
    <x v="37"/>
    <s v="KOR"/>
    <x v="3"/>
    <x v="1"/>
    <x v="17"/>
    <x v="1"/>
    <x v="1"/>
    <n v="7093.35"/>
  </r>
  <r>
    <x v="37"/>
    <s v="KOR"/>
    <x v="3"/>
    <x v="1"/>
    <x v="33"/>
    <x v="6"/>
    <x v="1"/>
    <n v="96797.71"/>
  </r>
  <r>
    <x v="37"/>
    <s v="KOR"/>
    <x v="3"/>
    <x v="1"/>
    <x v="33"/>
    <x v="6"/>
    <x v="0"/>
    <n v="13893.06"/>
  </r>
  <r>
    <x v="37"/>
    <s v="KOR"/>
    <x v="3"/>
    <x v="1"/>
    <x v="18"/>
    <x v="4"/>
    <x v="2"/>
    <n v="-556.76"/>
  </r>
  <r>
    <x v="37"/>
    <s v="KOR"/>
    <x v="3"/>
    <x v="1"/>
    <x v="18"/>
    <x v="5"/>
    <x v="0"/>
    <n v="104194.48"/>
  </r>
  <r>
    <x v="37"/>
    <s v="KOR"/>
    <x v="3"/>
    <x v="1"/>
    <x v="18"/>
    <x v="2"/>
    <x v="1"/>
    <n v="1022.83"/>
  </r>
  <r>
    <x v="37"/>
    <s v="KOR"/>
    <x v="3"/>
    <x v="1"/>
    <x v="18"/>
    <x v="2"/>
    <x v="2"/>
    <n v="66.17"/>
  </r>
  <r>
    <x v="37"/>
    <s v="KOR"/>
    <x v="3"/>
    <x v="1"/>
    <x v="19"/>
    <x v="3"/>
    <x v="0"/>
    <n v="10814.98"/>
  </r>
  <r>
    <x v="37"/>
    <s v="KOR"/>
    <x v="3"/>
    <x v="1"/>
    <x v="19"/>
    <x v="4"/>
    <x v="3"/>
    <n v="0"/>
  </r>
  <r>
    <x v="37"/>
    <s v="KOR"/>
    <x v="3"/>
    <x v="1"/>
    <x v="20"/>
    <x v="0"/>
    <x v="2"/>
    <n v="1083.6500000000001"/>
  </r>
  <r>
    <x v="37"/>
    <s v="KOR"/>
    <x v="3"/>
    <x v="1"/>
    <x v="21"/>
    <x v="3"/>
    <x v="2"/>
    <n v="657.98"/>
  </r>
  <r>
    <x v="37"/>
    <s v="KOR"/>
    <x v="3"/>
    <x v="1"/>
    <x v="21"/>
    <x v="4"/>
    <x v="3"/>
    <n v="0"/>
  </r>
  <r>
    <x v="37"/>
    <s v="KOR"/>
    <x v="3"/>
    <x v="1"/>
    <x v="22"/>
    <x v="6"/>
    <x v="1"/>
    <n v="101659.14"/>
  </r>
  <r>
    <x v="37"/>
    <s v="KOR"/>
    <x v="3"/>
    <x v="1"/>
    <x v="22"/>
    <x v="2"/>
    <x v="1"/>
    <n v="922.09"/>
  </r>
  <r>
    <x v="37"/>
    <s v="KOR"/>
    <x v="3"/>
    <x v="1"/>
    <x v="23"/>
    <x v="6"/>
    <x v="2"/>
    <n v="30205.82"/>
  </r>
  <r>
    <x v="37"/>
    <s v="KOR"/>
    <x v="3"/>
    <x v="1"/>
    <x v="24"/>
    <x v="6"/>
    <x v="2"/>
    <n v="27547.55"/>
  </r>
  <r>
    <x v="37"/>
    <s v="KOR"/>
    <x v="3"/>
    <x v="1"/>
    <x v="24"/>
    <x v="4"/>
    <x v="0"/>
    <n v="-51406.879999999997"/>
  </r>
  <r>
    <x v="37"/>
    <s v="KOR"/>
    <x v="3"/>
    <x v="1"/>
    <x v="25"/>
    <x v="6"/>
    <x v="3"/>
    <n v="0"/>
  </r>
  <r>
    <x v="37"/>
    <s v="KOR"/>
    <x v="3"/>
    <x v="1"/>
    <x v="25"/>
    <x v="3"/>
    <x v="3"/>
    <n v="558.94000000000005"/>
  </r>
  <r>
    <x v="37"/>
    <s v="KOR"/>
    <x v="3"/>
    <x v="1"/>
    <x v="25"/>
    <x v="1"/>
    <x v="3"/>
    <n v="0"/>
  </r>
  <r>
    <x v="37"/>
    <s v="KOR"/>
    <x v="3"/>
    <x v="1"/>
    <x v="25"/>
    <x v="2"/>
    <x v="0"/>
    <n v="180.52"/>
  </r>
  <r>
    <x v="37"/>
    <s v="KOR"/>
    <x v="3"/>
    <x v="1"/>
    <x v="26"/>
    <x v="0"/>
    <x v="2"/>
    <n v="1041.08"/>
  </r>
  <r>
    <x v="37"/>
    <s v="KOR"/>
    <x v="3"/>
    <x v="1"/>
    <x v="26"/>
    <x v="3"/>
    <x v="0"/>
    <n v="10047.64"/>
  </r>
  <r>
    <x v="37"/>
    <s v="KOR"/>
    <x v="3"/>
    <x v="1"/>
    <x v="26"/>
    <x v="3"/>
    <x v="3"/>
    <n v="608.65"/>
  </r>
  <r>
    <x v="37"/>
    <s v="KOR"/>
    <x v="3"/>
    <x v="1"/>
    <x v="26"/>
    <x v="4"/>
    <x v="0"/>
    <n v="-63181.120000000003"/>
  </r>
  <r>
    <x v="37"/>
    <s v="KOR"/>
    <x v="3"/>
    <x v="1"/>
    <x v="26"/>
    <x v="4"/>
    <x v="3"/>
    <n v="0"/>
  </r>
  <r>
    <x v="37"/>
    <s v="KOR"/>
    <x v="3"/>
    <x v="1"/>
    <x v="26"/>
    <x v="1"/>
    <x v="0"/>
    <n v="200617.41"/>
  </r>
  <r>
    <x v="37"/>
    <s v="KOR"/>
    <x v="3"/>
    <x v="1"/>
    <x v="26"/>
    <x v="2"/>
    <x v="3"/>
    <n v="0"/>
  </r>
  <r>
    <x v="37"/>
    <s v="KOR"/>
    <x v="3"/>
    <x v="1"/>
    <x v="34"/>
    <x v="4"/>
    <x v="0"/>
    <n v="-55034.1"/>
  </r>
  <r>
    <x v="37"/>
    <s v="KOR"/>
    <x v="3"/>
    <x v="1"/>
    <x v="34"/>
    <x v="2"/>
    <x v="0"/>
    <n v="188.75"/>
  </r>
  <r>
    <x v="37"/>
    <s v="KOR"/>
    <x v="3"/>
    <x v="1"/>
    <x v="27"/>
    <x v="1"/>
    <x v="3"/>
    <n v="0"/>
  </r>
  <r>
    <x v="37"/>
    <s v="KOR"/>
    <x v="3"/>
    <x v="1"/>
    <x v="27"/>
    <x v="5"/>
    <x v="1"/>
    <n v="2121.85"/>
  </r>
  <r>
    <x v="37"/>
    <s v="KOR"/>
    <x v="3"/>
    <x v="1"/>
    <x v="27"/>
    <x v="5"/>
    <x v="2"/>
    <n v="1117.3"/>
  </r>
  <r>
    <x v="37"/>
    <s v="KOR"/>
    <x v="3"/>
    <x v="1"/>
    <x v="28"/>
    <x v="6"/>
    <x v="1"/>
    <n v="93018.27"/>
  </r>
  <r>
    <x v="37"/>
    <s v="KOR"/>
    <x v="3"/>
    <x v="1"/>
    <x v="28"/>
    <x v="4"/>
    <x v="1"/>
    <n v="-537.82000000000005"/>
  </r>
  <r>
    <x v="37"/>
    <s v="KOR"/>
    <x v="3"/>
    <x v="1"/>
    <x v="28"/>
    <x v="4"/>
    <x v="3"/>
    <n v="0"/>
  </r>
  <r>
    <x v="37"/>
    <s v="KOR"/>
    <x v="3"/>
    <x v="1"/>
    <x v="28"/>
    <x v="5"/>
    <x v="1"/>
    <n v="2318.2399999999998"/>
  </r>
  <r>
    <x v="37"/>
    <s v="KOR"/>
    <x v="3"/>
    <x v="1"/>
    <x v="29"/>
    <x v="6"/>
    <x v="3"/>
    <n v="0"/>
  </r>
  <r>
    <x v="37"/>
    <s v="KOR"/>
    <x v="3"/>
    <x v="1"/>
    <x v="29"/>
    <x v="6"/>
    <x v="2"/>
    <n v="23019.55"/>
  </r>
  <r>
    <x v="37"/>
    <s v="KOR"/>
    <x v="3"/>
    <x v="1"/>
    <x v="29"/>
    <x v="3"/>
    <x v="0"/>
    <n v="9464.99"/>
  </r>
  <r>
    <x v="37"/>
    <s v="KOR"/>
    <x v="3"/>
    <x v="1"/>
    <x v="29"/>
    <x v="1"/>
    <x v="0"/>
    <n v="165462.04999999999"/>
  </r>
  <r>
    <x v="37"/>
    <s v="KOR"/>
    <x v="3"/>
    <x v="1"/>
    <x v="29"/>
    <x v="5"/>
    <x v="3"/>
    <n v="0"/>
  </r>
  <r>
    <x v="37"/>
    <s v="KOR"/>
    <x v="3"/>
    <x v="1"/>
    <x v="30"/>
    <x v="3"/>
    <x v="1"/>
    <n v="415.3"/>
  </r>
  <r>
    <x v="37"/>
    <s v="KOR"/>
    <x v="3"/>
    <x v="1"/>
    <x v="30"/>
    <x v="1"/>
    <x v="2"/>
    <n v="3422.23"/>
  </r>
  <r>
    <x v="37"/>
    <s v="KOR"/>
    <x v="3"/>
    <x v="1"/>
    <x v="30"/>
    <x v="5"/>
    <x v="0"/>
    <n v="94453.22"/>
  </r>
  <r>
    <x v="37"/>
    <s v="KOR"/>
    <x v="3"/>
    <x v="1"/>
    <x v="31"/>
    <x v="4"/>
    <x v="1"/>
    <n v="-485.08"/>
  </r>
  <r>
    <x v="37"/>
    <s v="KOR"/>
    <x v="3"/>
    <x v="1"/>
    <x v="31"/>
    <x v="1"/>
    <x v="2"/>
    <n v="3148.49"/>
  </r>
  <r>
    <x v="37"/>
    <s v="KOR"/>
    <x v="3"/>
    <x v="1"/>
    <x v="31"/>
    <x v="5"/>
    <x v="0"/>
    <n v="91262.25"/>
  </r>
  <r>
    <x v="37"/>
    <s v="KOR"/>
    <x v="3"/>
    <x v="1"/>
    <x v="32"/>
    <x v="0"/>
    <x v="0"/>
    <n v="27491.07"/>
  </r>
  <r>
    <x v="37"/>
    <s v="KOR"/>
    <x v="3"/>
    <x v="1"/>
    <x v="32"/>
    <x v="3"/>
    <x v="1"/>
    <n v="510.1"/>
  </r>
  <r>
    <x v="38"/>
    <s v="ESP"/>
    <x v="4"/>
    <x v="1"/>
    <x v="0"/>
    <x v="0"/>
    <x v="1"/>
    <n v="2313.7199999999998"/>
  </r>
  <r>
    <x v="38"/>
    <s v="ESP"/>
    <x v="4"/>
    <x v="1"/>
    <x v="1"/>
    <x v="0"/>
    <x v="3"/>
    <n v="0"/>
  </r>
  <r>
    <x v="38"/>
    <s v="ESP"/>
    <x v="4"/>
    <x v="1"/>
    <x v="1"/>
    <x v="5"/>
    <x v="0"/>
    <n v="550944.5"/>
  </r>
  <r>
    <x v="38"/>
    <s v="ESP"/>
    <x v="4"/>
    <x v="1"/>
    <x v="1"/>
    <x v="5"/>
    <x v="2"/>
    <n v="6294.57"/>
  </r>
  <r>
    <x v="38"/>
    <s v="ESP"/>
    <x v="4"/>
    <x v="1"/>
    <x v="2"/>
    <x v="6"/>
    <x v="0"/>
    <n v="14268.31"/>
  </r>
  <r>
    <x v="38"/>
    <s v="ESP"/>
    <x v="4"/>
    <x v="1"/>
    <x v="2"/>
    <x v="0"/>
    <x v="3"/>
    <n v="0"/>
  </r>
  <r>
    <x v="38"/>
    <s v="ESP"/>
    <x v="4"/>
    <x v="1"/>
    <x v="3"/>
    <x v="0"/>
    <x v="1"/>
    <n v="2368.69"/>
  </r>
  <r>
    <x v="38"/>
    <s v="ESP"/>
    <x v="4"/>
    <x v="1"/>
    <x v="4"/>
    <x v="3"/>
    <x v="1"/>
    <n v="11770.17"/>
  </r>
  <r>
    <x v="38"/>
    <s v="ESP"/>
    <x v="4"/>
    <x v="1"/>
    <x v="4"/>
    <x v="1"/>
    <x v="0"/>
    <n v="80942.960000000006"/>
  </r>
  <r>
    <x v="38"/>
    <s v="ESP"/>
    <x v="4"/>
    <x v="1"/>
    <x v="4"/>
    <x v="1"/>
    <x v="2"/>
    <n v="1722.01"/>
  </r>
  <r>
    <x v="38"/>
    <s v="ESP"/>
    <x v="4"/>
    <x v="1"/>
    <x v="4"/>
    <x v="5"/>
    <x v="3"/>
    <n v="0"/>
  </r>
  <r>
    <x v="38"/>
    <s v="ESP"/>
    <x v="4"/>
    <x v="1"/>
    <x v="5"/>
    <x v="1"/>
    <x v="2"/>
    <n v="1886.92"/>
  </r>
  <r>
    <x v="38"/>
    <s v="ESP"/>
    <x v="4"/>
    <x v="1"/>
    <x v="5"/>
    <x v="2"/>
    <x v="2"/>
    <n v="9683.27"/>
  </r>
  <r>
    <x v="38"/>
    <s v="ESP"/>
    <x v="4"/>
    <x v="1"/>
    <x v="6"/>
    <x v="6"/>
    <x v="1"/>
    <n v="111096.25"/>
  </r>
  <r>
    <x v="38"/>
    <s v="ESP"/>
    <x v="4"/>
    <x v="1"/>
    <x v="6"/>
    <x v="0"/>
    <x v="2"/>
    <n v="1118.55"/>
  </r>
  <r>
    <x v="38"/>
    <s v="ESP"/>
    <x v="4"/>
    <x v="1"/>
    <x v="6"/>
    <x v="4"/>
    <x v="3"/>
    <n v="0"/>
  </r>
  <r>
    <x v="38"/>
    <s v="ESP"/>
    <x v="4"/>
    <x v="1"/>
    <x v="7"/>
    <x v="6"/>
    <x v="3"/>
    <n v="0"/>
  </r>
  <r>
    <x v="38"/>
    <s v="ESP"/>
    <x v="4"/>
    <x v="1"/>
    <x v="7"/>
    <x v="6"/>
    <x v="2"/>
    <n v="34342.28"/>
  </r>
  <r>
    <x v="38"/>
    <s v="ESP"/>
    <x v="4"/>
    <x v="1"/>
    <x v="7"/>
    <x v="2"/>
    <x v="1"/>
    <n v="152681.82999999999"/>
  </r>
  <r>
    <x v="38"/>
    <s v="ESP"/>
    <x v="4"/>
    <x v="1"/>
    <x v="8"/>
    <x v="6"/>
    <x v="2"/>
    <n v="37330.769999999997"/>
  </r>
  <r>
    <x v="38"/>
    <s v="ESP"/>
    <x v="4"/>
    <x v="1"/>
    <x v="8"/>
    <x v="1"/>
    <x v="2"/>
    <n v="2065.66"/>
  </r>
  <r>
    <x v="38"/>
    <s v="ESP"/>
    <x v="4"/>
    <x v="1"/>
    <x v="9"/>
    <x v="6"/>
    <x v="2"/>
    <n v="31736.84"/>
  </r>
  <r>
    <x v="38"/>
    <s v="ESP"/>
    <x v="4"/>
    <x v="1"/>
    <x v="9"/>
    <x v="1"/>
    <x v="2"/>
    <n v="1993.53"/>
  </r>
  <r>
    <x v="38"/>
    <s v="ESP"/>
    <x v="4"/>
    <x v="1"/>
    <x v="9"/>
    <x v="2"/>
    <x v="2"/>
    <n v="9877.33"/>
  </r>
  <r>
    <x v="38"/>
    <s v="ESP"/>
    <x v="4"/>
    <x v="1"/>
    <x v="10"/>
    <x v="2"/>
    <x v="0"/>
    <n v="35511.129999999997"/>
  </r>
  <r>
    <x v="38"/>
    <s v="ESP"/>
    <x v="4"/>
    <x v="1"/>
    <x v="11"/>
    <x v="6"/>
    <x v="1"/>
    <n v="122662.05"/>
  </r>
  <r>
    <x v="38"/>
    <s v="ESP"/>
    <x v="4"/>
    <x v="1"/>
    <x v="11"/>
    <x v="4"/>
    <x v="2"/>
    <n v="307.87"/>
  </r>
  <r>
    <x v="38"/>
    <s v="ESP"/>
    <x v="4"/>
    <x v="1"/>
    <x v="12"/>
    <x v="0"/>
    <x v="0"/>
    <n v="31771.24"/>
  </r>
  <r>
    <x v="38"/>
    <s v="ESP"/>
    <x v="4"/>
    <x v="1"/>
    <x v="12"/>
    <x v="0"/>
    <x v="2"/>
    <n v="1085.96"/>
  </r>
  <r>
    <x v="38"/>
    <s v="ESP"/>
    <x v="4"/>
    <x v="1"/>
    <x v="12"/>
    <x v="3"/>
    <x v="3"/>
    <n v="14577.78"/>
  </r>
  <r>
    <x v="38"/>
    <s v="ESP"/>
    <x v="4"/>
    <x v="1"/>
    <x v="12"/>
    <x v="4"/>
    <x v="0"/>
    <n v="28043.83"/>
  </r>
  <r>
    <x v="38"/>
    <s v="ESP"/>
    <x v="4"/>
    <x v="1"/>
    <x v="12"/>
    <x v="2"/>
    <x v="1"/>
    <n v="179569.5"/>
  </r>
  <r>
    <x v="38"/>
    <s v="ESP"/>
    <x v="4"/>
    <x v="1"/>
    <x v="13"/>
    <x v="2"/>
    <x v="3"/>
    <n v="0"/>
  </r>
  <r>
    <x v="38"/>
    <s v="ESP"/>
    <x v="4"/>
    <x v="1"/>
    <x v="16"/>
    <x v="1"/>
    <x v="2"/>
    <n v="2114.29"/>
  </r>
  <r>
    <x v="38"/>
    <s v="ESP"/>
    <x v="4"/>
    <x v="1"/>
    <x v="16"/>
    <x v="2"/>
    <x v="1"/>
    <n v="174016.78"/>
  </r>
  <r>
    <x v="38"/>
    <s v="ESP"/>
    <x v="4"/>
    <x v="1"/>
    <x v="16"/>
    <x v="2"/>
    <x v="2"/>
    <n v="10840.77"/>
  </r>
  <r>
    <x v="38"/>
    <s v="ESP"/>
    <x v="4"/>
    <x v="1"/>
    <x v="17"/>
    <x v="0"/>
    <x v="3"/>
    <n v="0"/>
  </r>
  <r>
    <x v="38"/>
    <s v="ESP"/>
    <x v="4"/>
    <x v="1"/>
    <x v="17"/>
    <x v="1"/>
    <x v="1"/>
    <n v="3507.99"/>
  </r>
  <r>
    <x v="38"/>
    <s v="ESP"/>
    <x v="4"/>
    <x v="1"/>
    <x v="18"/>
    <x v="3"/>
    <x v="1"/>
    <n v="15645.89"/>
  </r>
  <r>
    <x v="38"/>
    <s v="ESP"/>
    <x v="4"/>
    <x v="1"/>
    <x v="18"/>
    <x v="3"/>
    <x v="3"/>
    <n v="13670.28"/>
  </r>
  <r>
    <x v="38"/>
    <s v="ESP"/>
    <x v="4"/>
    <x v="1"/>
    <x v="18"/>
    <x v="1"/>
    <x v="3"/>
    <n v="0"/>
  </r>
  <r>
    <x v="38"/>
    <s v="ESP"/>
    <x v="4"/>
    <x v="1"/>
    <x v="18"/>
    <x v="5"/>
    <x v="2"/>
    <n v="6649.8"/>
  </r>
  <r>
    <x v="38"/>
    <s v="ESP"/>
    <x v="4"/>
    <x v="1"/>
    <x v="18"/>
    <x v="2"/>
    <x v="2"/>
    <n v="10458"/>
  </r>
  <r>
    <x v="38"/>
    <s v="ESP"/>
    <x v="4"/>
    <x v="1"/>
    <x v="19"/>
    <x v="0"/>
    <x v="3"/>
    <n v="0"/>
  </r>
  <r>
    <x v="38"/>
    <s v="ESP"/>
    <x v="4"/>
    <x v="1"/>
    <x v="19"/>
    <x v="3"/>
    <x v="2"/>
    <n v="12477.32"/>
  </r>
  <r>
    <x v="38"/>
    <s v="ESP"/>
    <x v="4"/>
    <x v="1"/>
    <x v="19"/>
    <x v="4"/>
    <x v="0"/>
    <n v="28053.62"/>
  </r>
  <r>
    <x v="38"/>
    <s v="ESP"/>
    <x v="4"/>
    <x v="1"/>
    <x v="19"/>
    <x v="1"/>
    <x v="1"/>
    <n v="3006.45"/>
  </r>
  <r>
    <x v="38"/>
    <s v="ESP"/>
    <x v="4"/>
    <x v="1"/>
    <x v="20"/>
    <x v="0"/>
    <x v="0"/>
    <n v="32964.79"/>
  </r>
  <r>
    <x v="38"/>
    <s v="ESP"/>
    <x v="4"/>
    <x v="1"/>
    <x v="20"/>
    <x v="0"/>
    <x v="2"/>
    <n v="1036.98"/>
  </r>
  <r>
    <x v="38"/>
    <s v="ESP"/>
    <x v="4"/>
    <x v="1"/>
    <x v="20"/>
    <x v="3"/>
    <x v="3"/>
    <n v="14079.54"/>
  </r>
  <r>
    <x v="38"/>
    <s v="ESP"/>
    <x v="4"/>
    <x v="1"/>
    <x v="20"/>
    <x v="2"/>
    <x v="2"/>
    <n v="9642.66"/>
  </r>
  <r>
    <x v="38"/>
    <s v="ESP"/>
    <x v="4"/>
    <x v="1"/>
    <x v="21"/>
    <x v="6"/>
    <x v="0"/>
    <n v="15327.3"/>
  </r>
  <r>
    <x v="38"/>
    <s v="ESP"/>
    <x v="4"/>
    <x v="1"/>
    <x v="21"/>
    <x v="3"/>
    <x v="1"/>
    <n v="13377.5"/>
  </r>
  <r>
    <x v="38"/>
    <s v="ESP"/>
    <x v="4"/>
    <x v="1"/>
    <x v="21"/>
    <x v="3"/>
    <x v="2"/>
    <n v="12687.92"/>
  </r>
  <r>
    <x v="38"/>
    <s v="ESP"/>
    <x v="4"/>
    <x v="1"/>
    <x v="21"/>
    <x v="5"/>
    <x v="1"/>
    <n v="12065.65"/>
  </r>
  <r>
    <x v="38"/>
    <s v="ESP"/>
    <x v="4"/>
    <x v="1"/>
    <x v="21"/>
    <x v="2"/>
    <x v="2"/>
    <n v="11016.68"/>
  </r>
  <r>
    <x v="38"/>
    <s v="ESP"/>
    <x v="4"/>
    <x v="1"/>
    <x v="22"/>
    <x v="6"/>
    <x v="0"/>
    <n v="15125.71"/>
  </r>
  <r>
    <x v="38"/>
    <s v="ESP"/>
    <x v="4"/>
    <x v="1"/>
    <x v="22"/>
    <x v="0"/>
    <x v="1"/>
    <n v="2577.12"/>
  </r>
  <r>
    <x v="38"/>
    <s v="ESP"/>
    <x v="4"/>
    <x v="1"/>
    <x v="22"/>
    <x v="3"/>
    <x v="2"/>
    <n v="12465.68"/>
  </r>
  <r>
    <x v="38"/>
    <s v="ESP"/>
    <x v="4"/>
    <x v="1"/>
    <x v="22"/>
    <x v="5"/>
    <x v="0"/>
    <n v="552842.91"/>
  </r>
  <r>
    <x v="38"/>
    <s v="ESP"/>
    <x v="4"/>
    <x v="1"/>
    <x v="22"/>
    <x v="5"/>
    <x v="2"/>
    <n v="5985.51"/>
  </r>
  <r>
    <x v="38"/>
    <s v="ESP"/>
    <x v="4"/>
    <x v="1"/>
    <x v="24"/>
    <x v="3"/>
    <x v="2"/>
    <n v="12488.88"/>
  </r>
  <r>
    <x v="38"/>
    <s v="ESP"/>
    <x v="4"/>
    <x v="1"/>
    <x v="24"/>
    <x v="4"/>
    <x v="1"/>
    <n v="277.61"/>
  </r>
  <r>
    <x v="38"/>
    <s v="ESP"/>
    <x v="4"/>
    <x v="1"/>
    <x v="24"/>
    <x v="1"/>
    <x v="1"/>
    <n v="3080.98"/>
  </r>
  <r>
    <x v="38"/>
    <s v="ESP"/>
    <x v="4"/>
    <x v="1"/>
    <x v="24"/>
    <x v="1"/>
    <x v="2"/>
    <n v="1840.31"/>
  </r>
  <r>
    <x v="38"/>
    <s v="ESP"/>
    <x v="4"/>
    <x v="1"/>
    <x v="25"/>
    <x v="6"/>
    <x v="1"/>
    <n v="104640.39"/>
  </r>
  <r>
    <x v="38"/>
    <s v="ESP"/>
    <x v="4"/>
    <x v="1"/>
    <x v="25"/>
    <x v="0"/>
    <x v="0"/>
    <n v="29581.23"/>
  </r>
  <r>
    <x v="38"/>
    <s v="ESP"/>
    <x v="4"/>
    <x v="1"/>
    <x v="25"/>
    <x v="3"/>
    <x v="0"/>
    <n v="197549.87"/>
  </r>
  <r>
    <x v="38"/>
    <s v="ESP"/>
    <x v="4"/>
    <x v="1"/>
    <x v="25"/>
    <x v="4"/>
    <x v="1"/>
    <n v="270.98"/>
  </r>
  <r>
    <x v="38"/>
    <s v="ESP"/>
    <x v="4"/>
    <x v="1"/>
    <x v="25"/>
    <x v="4"/>
    <x v="3"/>
    <n v="0"/>
  </r>
  <r>
    <x v="38"/>
    <s v="ESP"/>
    <x v="4"/>
    <x v="1"/>
    <x v="25"/>
    <x v="5"/>
    <x v="0"/>
    <n v="530010.15"/>
  </r>
  <r>
    <x v="38"/>
    <s v="ESP"/>
    <x v="4"/>
    <x v="1"/>
    <x v="25"/>
    <x v="2"/>
    <x v="3"/>
    <n v="0"/>
  </r>
  <r>
    <x v="38"/>
    <s v="ESP"/>
    <x v="4"/>
    <x v="1"/>
    <x v="26"/>
    <x v="0"/>
    <x v="2"/>
    <n v="894.44"/>
  </r>
  <r>
    <x v="38"/>
    <s v="ESP"/>
    <x v="4"/>
    <x v="1"/>
    <x v="34"/>
    <x v="4"/>
    <x v="2"/>
    <n v="232.49"/>
  </r>
  <r>
    <x v="38"/>
    <s v="ESP"/>
    <x v="4"/>
    <x v="1"/>
    <x v="34"/>
    <x v="5"/>
    <x v="3"/>
    <n v="0"/>
  </r>
  <r>
    <x v="38"/>
    <s v="ESP"/>
    <x v="4"/>
    <x v="1"/>
    <x v="34"/>
    <x v="2"/>
    <x v="3"/>
    <n v="0"/>
  </r>
  <r>
    <x v="38"/>
    <s v="ESP"/>
    <x v="4"/>
    <x v="1"/>
    <x v="27"/>
    <x v="5"/>
    <x v="1"/>
    <n v="10340.17"/>
  </r>
  <r>
    <x v="38"/>
    <s v="ESP"/>
    <x v="4"/>
    <x v="1"/>
    <x v="28"/>
    <x v="1"/>
    <x v="1"/>
    <n v="2452.58"/>
  </r>
  <r>
    <x v="38"/>
    <s v="ESP"/>
    <x v="4"/>
    <x v="1"/>
    <x v="29"/>
    <x v="6"/>
    <x v="1"/>
    <n v="87512.83"/>
  </r>
  <r>
    <x v="38"/>
    <s v="ESP"/>
    <x v="4"/>
    <x v="1"/>
    <x v="29"/>
    <x v="6"/>
    <x v="0"/>
    <n v="12489.86"/>
  </r>
  <r>
    <x v="38"/>
    <s v="ESP"/>
    <x v="4"/>
    <x v="1"/>
    <x v="29"/>
    <x v="5"/>
    <x v="0"/>
    <n v="482273.74"/>
  </r>
  <r>
    <x v="38"/>
    <s v="ESP"/>
    <x v="4"/>
    <x v="1"/>
    <x v="30"/>
    <x v="3"/>
    <x v="0"/>
    <n v="154654.12"/>
  </r>
  <r>
    <x v="38"/>
    <s v="ESP"/>
    <x v="4"/>
    <x v="1"/>
    <x v="30"/>
    <x v="3"/>
    <x v="2"/>
    <n v="9808.67"/>
  </r>
  <r>
    <x v="38"/>
    <s v="ESP"/>
    <x v="4"/>
    <x v="1"/>
    <x v="30"/>
    <x v="4"/>
    <x v="0"/>
    <n v="22025.34"/>
  </r>
  <r>
    <x v="38"/>
    <s v="ESP"/>
    <x v="4"/>
    <x v="1"/>
    <x v="30"/>
    <x v="5"/>
    <x v="2"/>
    <n v="4465.08"/>
  </r>
  <r>
    <x v="38"/>
    <s v="ESP"/>
    <x v="4"/>
    <x v="1"/>
    <x v="31"/>
    <x v="3"/>
    <x v="1"/>
    <n v="10740.89"/>
  </r>
  <r>
    <x v="38"/>
    <s v="ESP"/>
    <x v="4"/>
    <x v="1"/>
    <x v="32"/>
    <x v="0"/>
    <x v="3"/>
    <n v="0"/>
  </r>
  <r>
    <x v="38"/>
    <s v="ESP"/>
    <x v="4"/>
    <x v="1"/>
    <x v="32"/>
    <x v="3"/>
    <x v="1"/>
    <n v="10054.07"/>
  </r>
  <r>
    <x v="38"/>
    <s v="ESP"/>
    <x v="4"/>
    <x v="1"/>
    <x v="32"/>
    <x v="2"/>
    <x v="3"/>
    <n v="0"/>
  </r>
  <r>
    <x v="39"/>
    <s v="SWE"/>
    <x v="4"/>
    <x v="1"/>
    <x v="0"/>
    <x v="3"/>
    <x v="1"/>
    <n v="2446.73"/>
  </r>
  <r>
    <x v="39"/>
    <s v="SWE"/>
    <x v="4"/>
    <x v="1"/>
    <x v="1"/>
    <x v="6"/>
    <x v="3"/>
    <n v="0"/>
  </r>
  <r>
    <x v="39"/>
    <s v="SWE"/>
    <x v="4"/>
    <x v="1"/>
    <x v="1"/>
    <x v="5"/>
    <x v="2"/>
    <n v="1247.01"/>
  </r>
  <r>
    <x v="39"/>
    <s v="SWE"/>
    <x v="4"/>
    <x v="1"/>
    <x v="1"/>
    <x v="2"/>
    <x v="1"/>
    <n v="32619.41"/>
  </r>
  <r>
    <x v="39"/>
    <s v="SWE"/>
    <x v="4"/>
    <x v="1"/>
    <x v="1"/>
    <x v="2"/>
    <x v="0"/>
    <n v="7354.94"/>
  </r>
  <r>
    <x v="39"/>
    <s v="SWE"/>
    <x v="4"/>
    <x v="1"/>
    <x v="2"/>
    <x v="3"/>
    <x v="3"/>
    <n v="2458.4"/>
  </r>
  <r>
    <x v="39"/>
    <s v="SWE"/>
    <x v="4"/>
    <x v="1"/>
    <x v="2"/>
    <x v="5"/>
    <x v="1"/>
    <n v="2543.5100000000002"/>
  </r>
  <r>
    <x v="39"/>
    <s v="SWE"/>
    <x v="4"/>
    <x v="1"/>
    <x v="2"/>
    <x v="2"/>
    <x v="2"/>
    <n v="2572.5"/>
  </r>
  <r>
    <x v="39"/>
    <s v="SWE"/>
    <x v="4"/>
    <x v="1"/>
    <x v="3"/>
    <x v="0"/>
    <x v="1"/>
    <n v="4546.91"/>
  </r>
  <r>
    <x v="39"/>
    <s v="SWE"/>
    <x v="4"/>
    <x v="1"/>
    <x v="3"/>
    <x v="3"/>
    <x v="0"/>
    <n v="42407.74"/>
  </r>
  <r>
    <x v="39"/>
    <s v="SWE"/>
    <x v="4"/>
    <x v="1"/>
    <x v="3"/>
    <x v="1"/>
    <x v="2"/>
    <n v="1570.64"/>
  </r>
  <r>
    <x v="39"/>
    <s v="SWE"/>
    <x v="4"/>
    <x v="1"/>
    <x v="3"/>
    <x v="5"/>
    <x v="0"/>
    <n v="117848.27"/>
  </r>
  <r>
    <x v="39"/>
    <s v="SWE"/>
    <x v="4"/>
    <x v="1"/>
    <x v="3"/>
    <x v="5"/>
    <x v="3"/>
    <n v="0"/>
  </r>
  <r>
    <x v="39"/>
    <s v="SWE"/>
    <x v="4"/>
    <x v="1"/>
    <x v="3"/>
    <x v="5"/>
    <x v="2"/>
    <n v="1252.58"/>
  </r>
  <r>
    <x v="39"/>
    <s v="SWE"/>
    <x v="4"/>
    <x v="1"/>
    <x v="4"/>
    <x v="0"/>
    <x v="0"/>
    <n v="54118.75"/>
  </r>
  <r>
    <x v="39"/>
    <s v="SWE"/>
    <x v="4"/>
    <x v="1"/>
    <x v="5"/>
    <x v="1"/>
    <x v="1"/>
    <n v="2185.16"/>
  </r>
  <r>
    <x v="39"/>
    <s v="SWE"/>
    <x v="4"/>
    <x v="1"/>
    <x v="5"/>
    <x v="5"/>
    <x v="0"/>
    <n v="113690.61"/>
  </r>
  <r>
    <x v="39"/>
    <s v="SWE"/>
    <x v="4"/>
    <x v="1"/>
    <x v="7"/>
    <x v="1"/>
    <x v="1"/>
    <n v="2121.27"/>
  </r>
  <r>
    <x v="39"/>
    <s v="SWE"/>
    <x v="4"/>
    <x v="1"/>
    <x v="8"/>
    <x v="6"/>
    <x v="0"/>
    <n v="13339.61"/>
  </r>
  <r>
    <x v="39"/>
    <s v="SWE"/>
    <x v="4"/>
    <x v="1"/>
    <x v="9"/>
    <x v="3"/>
    <x v="2"/>
    <n v="2321.75"/>
  </r>
  <r>
    <x v="39"/>
    <s v="SWE"/>
    <x v="4"/>
    <x v="1"/>
    <x v="9"/>
    <x v="1"/>
    <x v="1"/>
    <n v="2488.7600000000002"/>
  </r>
  <r>
    <x v="39"/>
    <s v="SWE"/>
    <x v="4"/>
    <x v="1"/>
    <x v="9"/>
    <x v="1"/>
    <x v="2"/>
    <n v="1688.92"/>
  </r>
  <r>
    <x v="39"/>
    <s v="SWE"/>
    <x v="4"/>
    <x v="1"/>
    <x v="10"/>
    <x v="6"/>
    <x v="0"/>
    <n v="12022.29"/>
  </r>
  <r>
    <x v="39"/>
    <s v="SWE"/>
    <x v="4"/>
    <x v="1"/>
    <x v="10"/>
    <x v="1"/>
    <x v="3"/>
    <n v="0"/>
  </r>
  <r>
    <x v="39"/>
    <s v="SWE"/>
    <x v="4"/>
    <x v="1"/>
    <x v="11"/>
    <x v="0"/>
    <x v="1"/>
    <n v="3769.01"/>
  </r>
  <r>
    <x v="39"/>
    <s v="SWE"/>
    <x v="4"/>
    <x v="1"/>
    <x v="11"/>
    <x v="1"/>
    <x v="2"/>
    <n v="1605.7"/>
  </r>
  <r>
    <x v="39"/>
    <s v="SWE"/>
    <x v="4"/>
    <x v="1"/>
    <x v="12"/>
    <x v="3"/>
    <x v="0"/>
    <n v="44967.05"/>
  </r>
  <r>
    <x v="39"/>
    <s v="SWE"/>
    <x v="4"/>
    <x v="1"/>
    <x v="12"/>
    <x v="4"/>
    <x v="1"/>
    <n v="-136.19999999999999"/>
  </r>
  <r>
    <x v="39"/>
    <s v="SWE"/>
    <x v="4"/>
    <x v="1"/>
    <x v="13"/>
    <x v="0"/>
    <x v="3"/>
    <n v="0"/>
  </r>
  <r>
    <x v="39"/>
    <s v="SWE"/>
    <x v="4"/>
    <x v="1"/>
    <x v="13"/>
    <x v="4"/>
    <x v="3"/>
    <n v="0"/>
  </r>
  <r>
    <x v="39"/>
    <s v="SWE"/>
    <x v="4"/>
    <x v="1"/>
    <x v="13"/>
    <x v="1"/>
    <x v="1"/>
    <n v="2433.94"/>
  </r>
  <r>
    <x v="39"/>
    <s v="SWE"/>
    <x v="4"/>
    <x v="1"/>
    <x v="13"/>
    <x v="1"/>
    <x v="0"/>
    <n v="80600.350000000006"/>
  </r>
  <r>
    <x v="39"/>
    <s v="SWE"/>
    <x v="4"/>
    <x v="1"/>
    <x v="14"/>
    <x v="2"/>
    <x v="1"/>
    <n v="36147.89"/>
  </r>
  <r>
    <x v="39"/>
    <s v="SWE"/>
    <x v="4"/>
    <x v="1"/>
    <x v="15"/>
    <x v="6"/>
    <x v="1"/>
    <n v="87411.93"/>
  </r>
  <r>
    <x v="39"/>
    <s v="SWE"/>
    <x v="4"/>
    <x v="1"/>
    <x v="15"/>
    <x v="2"/>
    <x v="2"/>
    <n v="2073.19"/>
  </r>
  <r>
    <x v="39"/>
    <s v="SWE"/>
    <x v="4"/>
    <x v="1"/>
    <x v="16"/>
    <x v="1"/>
    <x v="1"/>
    <n v="2027.26"/>
  </r>
  <r>
    <x v="39"/>
    <s v="SWE"/>
    <x v="4"/>
    <x v="1"/>
    <x v="16"/>
    <x v="2"/>
    <x v="1"/>
    <n v="29881.48"/>
  </r>
  <r>
    <x v="39"/>
    <s v="SWE"/>
    <x v="4"/>
    <x v="1"/>
    <x v="16"/>
    <x v="2"/>
    <x v="2"/>
    <n v="1828.89"/>
  </r>
  <r>
    <x v="39"/>
    <s v="SWE"/>
    <x v="4"/>
    <x v="1"/>
    <x v="17"/>
    <x v="4"/>
    <x v="1"/>
    <n v="-108.23"/>
  </r>
  <r>
    <x v="39"/>
    <s v="SWE"/>
    <x v="4"/>
    <x v="1"/>
    <x v="17"/>
    <x v="1"/>
    <x v="0"/>
    <n v="63534.77"/>
  </r>
  <r>
    <x v="39"/>
    <s v="SWE"/>
    <x v="4"/>
    <x v="1"/>
    <x v="33"/>
    <x v="1"/>
    <x v="2"/>
    <n v="1621.95"/>
  </r>
  <r>
    <x v="39"/>
    <s v="SWE"/>
    <x v="4"/>
    <x v="1"/>
    <x v="33"/>
    <x v="2"/>
    <x v="1"/>
    <n v="35798.910000000003"/>
  </r>
  <r>
    <x v="39"/>
    <s v="SWE"/>
    <x v="4"/>
    <x v="1"/>
    <x v="18"/>
    <x v="3"/>
    <x v="2"/>
    <n v="2519.96"/>
  </r>
  <r>
    <x v="39"/>
    <s v="SWE"/>
    <x v="4"/>
    <x v="1"/>
    <x v="18"/>
    <x v="5"/>
    <x v="0"/>
    <n v="102034.13"/>
  </r>
  <r>
    <x v="39"/>
    <s v="SWE"/>
    <x v="4"/>
    <x v="1"/>
    <x v="20"/>
    <x v="6"/>
    <x v="1"/>
    <n v="87603.94"/>
  </r>
  <r>
    <x v="39"/>
    <s v="SWE"/>
    <x v="4"/>
    <x v="1"/>
    <x v="20"/>
    <x v="0"/>
    <x v="1"/>
    <n v="4330.67"/>
  </r>
  <r>
    <x v="39"/>
    <s v="SWE"/>
    <x v="4"/>
    <x v="1"/>
    <x v="20"/>
    <x v="3"/>
    <x v="2"/>
    <n v="2636.96"/>
  </r>
  <r>
    <x v="39"/>
    <s v="SWE"/>
    <x v="4"/>
    <x v="1"/>
    <x v="20"/>
    <x v="4"/>
    <x v="1"/>
    <n v="-133.96"/>
  </r>
  <r>
    <x v="39"/>
    <s v="SWE"/>
    <x v="4"/>
    <x v="1"/>
    <x v="20"/>
    <x v="1"/>
    <x v="3"/>
    <n v="0"/>
  </r>
  <r>
    <x v="39"/>
    <s v="SWE"/>
    <x v="4"/>
    <x v="1"/>
    <x v="20"/>
    <x v="5"/>
    <x v="0"/>
    <n v="118795.44"/>
  </r>
  <r>
    <x v="39"/>
    <s v="SWE"/>
    <x v="4"/>
    <x v="1"/>
    <x v="21"/>
    <x v="5"/>
    <x v="1"/>
    <n v="2103"/>
  </r>
  <r>
    <x v="39"/>
    <s v="SWE"/>
    <x v="4"/>
    <x v="1"/>
    <x v="22"/>
    <x v="0"/>
    <x v="3"/>
    <n v="0"/>
  </r>
  <r>
    <x v="39"/>
    <s v="SWE"/>
    <x v="4"/>
    <x v="1"/>
    <x v="23"/>
    <x v="6"/>
    <x v="1"/>
    <n v="73477.91"/>
  </r>
  <r>
    <x v="39"/>
    <s v="SWE"/>
    <x v="4"/>
    <x v="1"/>
    <x v="23"/>
    <x v="0"/>
    <x v="3"/>
    <n v="0"/>
  </r>
  <r>
    <x v="39"/>
    <s v="SWE"/>
    <x v="4"/>
    <x v="1"/>
    <x v="23"/>
    <x v="4"/>
    <x v="3"/>
    <n v="0"/>
  </r>
  <r>
    <x v="39"/>
    <s v="SWE"/>
    <x v="4"/>
    <x v="1"/>
    <x v="23"/>
    <x v="1"/>
    <x v="3"/>
    <n v="0"/>
  </r>
  <r>
    <x v="39"/>
    <s v="SWE"/>
    <x v="4"/>
    <x v="1"/>
    <x v="23"/>
    <x v="2"/>
    <x v="1"/>
    <n v="34469.96"/>
  </r>
  <r>
    <x v="39"/>
    <s v="SWE"/>
    <x v="4"/>
    <x v="1"/>
    <x v="23"/>
    <x v="2"/>
    <x v="3"/>
    <n v="0"/>
  </r>
  <r>
    <x v="39"/>
    <s v="SWE"/>
    <x v="4"/>
    <x v="1"/>
    <x v="24"/>
    <x v="6"/>
    <x v="0"/>
    <n v="10771.52"/>
  </r>
  <r>
    <x v="39"/>
    <s v="SWE"/>
    <x v="4"/>
    <x v="1"/>
    <x v="25"/>
    <x v="4"/>
    <x v="2"/>
    <n v="-134.54"/>
  </r>
  <r>
    <x v="39"/>
    <s v="SWE"/>
    <x v="4"/>
    <x v="1"/>
    <x v="25"/>
    <x v="2"/>
    <x v="3"/>
    <n v="0"/>
  </r>
  <r>
    <x v="39"/>
    <s v="SWE"/>
    <x v="4"/>
    <x v="1"/>
    <x v="25"/>
    <x v="2"/>
    <x v="2"/>
    <n v="1911.36"/>
  </r>
  <r>
    <x v="39"/>
    <s v="SWE"/>
    <x v="4"/>
    <x v="1"/>
    <x v="26"/>
    <x v="5"/>
    <x v="0"/>
    <n v="94093.35"/>
  </r>
  <r>
    <x v="39"/>
    <s v="SWE"/>
    <x v="4"/>
    <x v="1"/>
    <x v="26"/>
    <x v="2"/>
    <x v="2"/>
    <n v="1874.85"/>
  </r>
  <r>
    <x v="39"/>
    <s v="SWE"/>
    <x v="4"/>
    <x v="1"/>
    <x v="34"/>
    <x v="1"/>
    <x v="1"/>
    <n v="2004.84"/>
  </r>
  <r>
    <x v="39"/>
    <s v="SWE"/>
    <x v="4"/>
    <x v="1"/>
    <x v="34"/>
    <x v="2"/>
    <x v="2"/>
    <n v="1898.76"/>
  </r>
  <r>
    <x v="39"/>
    <s v="SWE"/>
    <x v="4"/>
    <x v="1"/>
    <x v="28"/>
    <x v="0"/>
    <x v="3"/>
    <n v="0"/>
  </r>
  <r>
    <x v="39"/>
    <s v="SWE"/>
    <x v="4"/>
    <x v="1"/>
    <x v="28"/>
    <x v="0"/>
    <x v="2"/>
    <n v="1469.83"/>
  </r>
  <r>
    <x v="39"/>
    <s v="SWE"/>
    <x v="4"/>
    <x v="1"/>
    <x v="28"/>
    <x v="4"/>
    <x v="2"/>
    <n v="-116.16"/>
  </r>
  <r>
    <x v="39"/>
    <s v="SWE"/>
    <x v="4"/>
    <x v="1"/>
    <x v="28"/>
    <x v="1"/>
    <x v="3"/>
    <n v="0"/>
  </r>
  <r>
    <x v="39"/>
    <s v="SWE"/>
    <x v="4"/>
    <x v="1"/>
    <x v="28"/>
    <x v="5"/>
    <x v="1"/>
    <n v="2033.61"/>
  </r>
  <r>
    <x v="39"/>
    <s v="SWE"/>
    <x v="4"/>
    <x v="1"/>
    <x v="29"/>
    <x v="0"/>
    <x v="3"/>
    <n v="0"/>
  </r>
  <r>
    <x v="39"/>
    <s v="SWE"/>
    <x v="4"/>
    <x v="1"/>
    <x v="29"/>
    <x v="3"/>
    <x v="3"/>
    <n v="2036.98"/>
  </r>
  <r>
    <x v="39"/>
    <s v="SWE"/>
    <x v="4"/>
    <x v="1"/>
    <x v="29"/>
    <x v="5"/>
    <x v="1"/>
    <n v="1987.64"/>
  </r>
  <r>
    <x v="39"/>
    <s v="SWE"/>
    <x v="4"/>
    <x v="1"/>
    <x v="30"/>
    <x v="0"/>
    <x v="2"/>
    <n v="1396.96"/>
  </r>
  <r>
    <x v="39"/>
    <s v="SWE"/>
    <x v="4"/>
    <x v="1"/>
    <x v="30"/>
    <x v="3"/>
    <x v="3"/>
    <n v="1824.62"/>
  </r>
  <r>
    <x v="39"/>
    <s v="SWE"/>
    <x v="4"/>
    <x v="1"/>
    <x v="30"/>
    <x v="5"/>
    <x v="0"/>
    <n v="84554.69"/>
  </r>
  <r>
    <x v="39"/>
    <s v="SWE"/>
    <x v="4"/>
    <x v="1"/>
    <x v="30"/>
    <x v="2"/>
    <x v="3"/>
    <n v="0"/>
  </r>
  <r>
    <x v="39"/>
    <s v="SWE"/>
    <x v="4"/>
    <x v="1"/>
    <x v="30"/>
    <x v="2"/>
    <x v="2"/>
    <n v="1683.96"/>
  </r>
  <r>
    <x v="39"/>
    <s v="SWE"/>
    <x v="4"/>
    <x v="1"/>
    <x v="31"/>
    <x v="6"/>
    <x v="0"/>
    <n v="8733.92"/>
  </r>
  <r>
    <x v="39"/>
    <s v="SWE"/>
    <x v="4"/>
    <x v="1"/>
    <x v="32"/>
    <x v="0"/>
    <x v="1"/>
    <n v="3157.17"/>
  </r>
  <r>
    <x v="39"/>
    <s v="SWE"/>
    <x v="4"/>
    <x v="1"/>
    <x v="32"/>
    <x v="4"/>
    <x v="2"/>
    <n v="-107.04"/>
  </r>
  <r>
    <x v="39"/>
    <s v="SWE"/>
    <x v="4"/>
    <x v="1"/>
    <x v="32"/>
    <x v="1"/>
    <x v="1"/>
    <n v="1915.09"/>
  </r>
  <r>
    <x v="39"/>
    <s v="SWE"/>
    <x v="4"/>
    <x v="1"/>
    <x v="32"/>
    <x v="2"/>
    <x v="0"/>
    <n v="5432.12"/>
  </r>
  <r>
    <x v="40"/>
    <s v="THA"/>
    <x v="3"/>
    <x v="0"/>
    <x v="1"/>
    <x v="0"/>
    <x v="0"/>
    <n v="22903.83"/>
  </r>
  <r>
    <x v="40"/>
    <s v="THA"/>
    <x v="3"/>
    <x v="0"/>
    <x v="1"/>
    <x v="3"/>
    <x v="0"/>
    <n v="35984.22"/>
  </r>
  <r>
    <x v="40"/>
    <s v="THA"/>
    <x v="3"/>
    <x v="0"/>
    <x v="1"/>
    <x v="1"/>
    <x v="0"/>
    <n v="27666.39"/>
  </r>
  <r>
    <x v="40"/>
    <s v="THA"/>
    <x v="3"/>
    <x v="0"/>
    <x v="2"/>
    <x v="3"/>
    <x v="1"/>
    <n v="2213.17"/>
  </r>
  <r>
    <x v="40"/>
    <s v="THA"/>
    <x v="3"/>
    <x v="0"/>
    <x v="2"/>
    <x v="4"/>
    <x v="3"/>
    <n v="0"/>
  </r>
  <r>
    <x v="40"/>
    <s v="THA"/>
    <x v="3"/>
    <x v="0"/>
    <x v="2"/>
    <x v="1"/>
    <x v="1"/>
    <n v="809.08"/>
  </r>
  <r>
    <x v="40"/>
    <s v="THA"/>
    <x v="3"/>
    <x v="0"/>
    <x v="2"/>
    <x v="5"/>
    <x v="0"/>
    <n v="34694.089999999997"/>
  </r>
  <r>
    <x v="40"/>
    <s v="THA"/>
    <x v="3"/>
    <x v="0"/>
    <x v="2"/>
    <x v="2"/>
    <x v="2"/>
    <n v="942.34"/>
  </r>
  <r>
    <x v="40"/>
    <s v="THA"/>
    <x v="3"/>
    <x v="0"/>
    <x v="3"/>
    <x v="6"/>
    <x v="0"/>
    <n v="841.53"/>
  </r>
  <r>
    <x v="40"/>
    <s v="THA"/>
    <x v="3"/>
    <x v="0"/>
    <x v="3"/>
    <x v="3"/>
    <x v="3"/>
    <n v="2359.98"/>
  </r>
  <r>
    <x v="40"/>
    <s v="THA"/>
    <x v="3"/>
    <x v="0"/>
    <x v="3"/>
    <x v="4"/>
    <x v="1"/>
    <n v="-231.97"/>
  </r>
  <r>
    <x v="40"/>
    <s v="THA"/>
    <x v="3"/>
    <x v="0"/>
    <x v="4"/>
    <x v="0"/>
    <x v="1"/>
    <n v="1830.34"/>
  </r>
  <r>
    <x v="40"/>
    <s v="THA"/>
    <x v="3"/>
    <x v="0"/>
    <x v="4"/>
    <x v="4"/>
    <x v="1"/>
    <n v="-215.5"/>
  </r>
  <r>
    <x v="40"/>
    <s v="THA"/>
    <x v="3"/>
    <x v="0"/>
    <x v="5"/>
    <x v="5"/>
    <x v="3"/>
    <n v="0"/>
  </r>
  <r>
    <x v="40"/>
    <s v="THA"/>
    <x v="3"/>
    <x v="0"/>
    <x v="5"/>
    <x v="2"/>
    <x v="2"/>
    <n v="1133.07"/>
  </r>
  <r>
    <x v="40"/>
    <s v="THA"/>
    <x v="3"/>
    <x v="0"/>
    <x v="6"/>
    <x v="6"/>
    <x v="0"/>
    <n v="869.66"/>
  </r>
  <r>
    <x v="40"/>
    <s v="THA"/>
    <x v="3"/>
    <x v="0"/>
    <x v="6"/>
    <x v="5"/>
    <x v="1"/>
    <n v="689.34"/>
  </r>
  <r>
    <x v="40"/>
    <s v="THA"/>
    <x v="3"/>
    <x v="0"/>
    <x v="7"/>
    <x v="6"/>
    <x v="0"/>
    <n v="880.73"/>
  </r>
  <r>
    <x v="40"/>
    <s v="THA"/>
    <x v="3"/>
    <x v="0"/>
    <x v="7"/>
    <x v="6"/>
    <x v="3"/>
    <n v="0"/>
  </r>
  <r>
    <x v="40"/>
    <s v="THA"/>
    <x v="3"/>
    <x v="0"/>
    <x v="7"/>
    <x v="6"/>
    <x v="2"/>
    <n v="1711.48"/>
  </r>
  <r>
    <x v="40"/>
    <s v="THA"/>
    <x v="3"/>
    <x v="0"/>
    <x v="7"/>
    <x v="0"/>
    <x v="1"/>
    <n v="1915.59"/>
  </r>
  <r>
    <x v="40"/>
    <s v="THA"/>
    <x v="3"/>
    <x v="0"/>
    <x v="7"/>
    <x v="0"/>
    <x v="0"/>
    <n v="24350.57"/>
  </r>
  <r>
    <x v="40"/>
    <s v="THA"/>
    <x v="3"/>
    <x v="0"/>
    <x v="7"/>
    <x v="3"/>
    <x v="0"/>
    <n v="39570.129999999997"/>
  </r>
  <r>
    <x v="40"/>
    <s v="THA"/>
    <x v="3"/>
    <x v="0"/>
    <x v="7"/>
    <x v="1"/>
    <x v="1"/>
    <n v="902.06"/>
  </r>
  <r>
    <x v="40"/>
    <s v="THA"/>
    <x v="3"/>
    <x v="0"/>
    <x v="7"/>
    <x v="5"/>
    <x v="0"/>
    <n v="38106.61"/>
  </r>
  <r>
    <x v="40"/>
    <s v="THA"/>
    <x v="3"/>
    <x v="0"/>
    <x v="7"/>
    <x v="2"/>
    <x v="3"/>
    <n v="0"/>
  </r>
  <r>
    <x v="40"/>
    <s v="THA"/>
    <x v="3"/>
    <x v="0"/>
    <x v="8"/>
    <x v="0"/>
    <x v="2"/>
    <n v="780.76"/>
  </r>
  <r>
    <x v="40"/>
    <s v="THA"/>
    <x v="3"/>
    <x v="0"/>
    <x v="8"/>
    <x v="4"/>
    <x v="1"/>
    <n v="-203.46"/>
  </r>
  <r>
    <x v="40"/>
    <s v="THA"/>
    <x v="3"/>
    <x v="0"/>
    <x v="8"/>
    <x v="4"/>
    <x v="2"/>
    <n v="-203.38"/>
  </r>
  <r>
    <x v="40"/>
    <s v="THA"/>
    <x v="3"/>
    <x v="0"/>
    <x v="8"/>
    <x v="1"/>
    <x v="2"/>
    <n v="670.66"/>
  </r>
  <r>
    <x v="40"/>
    <s v="THA"/>
    <x v="3"/>
    <x v="0"/>
    <x v="8"/>
    <x v="5"/>
    <x v="0"/>
    <n v="39531.08"/>
  </r>
  <r>
    <x v="40"/>
    <s v="THA"/>
    <x v="3"/>
    <x v="0"/>
    <x v="8"/>
    <x v="2"/>
    <x v="1"/>
    <n v="17373.73"/>
  </r>
  <r>
    <x v="40"/>
    <s v="THA"/>
    <x v="3"/>
    <x v="0"/>
    <x v="9"/>
    <x v="3"/>
    <x v="1"/>
    <n v="2671.6"/>
  </r>
  <r>
    <x v="40"/>
    <s v="THA"/>
    <x v="3"/>
    <x v="0"/>
    <x v="9"/>
    <x v="3"/>
    <x v="0"/>
    <n v="39633.69"/>
  </r>
  <r>
    <x v="40"/>
    <s v="THA"/>
    <x v="3"/>
    <x v="0"/>
    <x v="9"/>
    <x v="5"/>
    <x v="3"/>
    <n v="0"/>
  </r>
  <r>
    <x v="40"/>
    <s v="THA"/>
    <x v="3"/>
    <x v="0"/>
    <x v="10"/>
    <x v="0"/>
    <x v="0"/>
    <n v="28148.07"/>
  </r>
  <r>
    <x v="40"/>
    <s v="THA"/>
    <x v="3"/>
    <x v="0"/>
    <x v="10"/>
    <x v="1"/>
    <x v="2"/>
    <n v="707.07"/>
  </r>
  <r>
    <x v="40"/>
    <s v="THA"/>
    <x v="3"/>
    <x v="0"/>
    <x v="11"/>
    <x v="0"/>
    <x v="2"/>
    <n v="965.93"/>
  </r>
  <r>
    <x v="40"/>
    <s v="THA"/>
    <x v="3"/>
    <x v="0"/>
    <x v="12"/>
    <x v="6"/>
    <x v="2"/>
    <n v="2200.83"/>
  </r>
  <r>
    <x v="40"/>
    <s v="THA"/>
    <x v="3"/>
    <x v="0"/>
    <x v="12"/>
    <x v="3"/>
    <x v="0"/>
    <n v="52044.17"/>
  </r>
  <r>
    <x v="40"/>
    <s v="THA"/>
    <x v="3"/>
    <x v="0"/>
    <x v="12"/>
    <x v="4"/>
    <x v="0"/>
    <n v="-26767.23"/>
  </r>
  <r>
    <x v="40"/>
    <s v="THA"/>
    <x v="3"/>
    <x v="0"/>
    <x v="13"/>
    <x v="6"/>
    <x v="0"/>
    <n v="995.38"/>
  </r>
  <r>
    <x v="40"/>
    <s v="THA"/>
    <x v="3"/>
    <x v="0"/>
    <x v="13"/>
    <x v="0"/>
    <x v="2"/>
    <n v="952.22"/>
  </r>
  <r>
    <x v="40"/>
    <s v="THA"/>
    <x v="3"/>
    <x v="0"/>
    <x v="14"/>
    <x v="6"/>
    <x v="3"/>
    <n v="0"/>
  </r>
  <r>
    <x v="40"/>
    <s v="THA"/>
    <x v="3"/>
    <x v="0"/>
    <x v="14"/>
    <x v="0"/>
    <x v="0"/>
    <n v="27371.16"/>
  </r>
  <r>
    <x v="40"/>
    <s v="THA"/>
    <x v="3"/>
    <x v="0"/>
    <x v="14"/>
    <x v="1"/>
    <x v="1"/>
    <n v="944.18"/>
  </r>
  <r>
    <x v="40"/>
    <s v="THA"/>
    <x v="3"/>
    <x v="0"/>
    <x v="14"/>
    <x v="5"/>
    <x v="3"/>
    <n v="0"/>
  </r>
  <r>
    <x v="40"/>
    <s v="THA"/>
    <x v="3"/>
    <x v="0"/>
    <x v="15"/>
    <x v="6"/>
    <x v="3"/>
    <n v="0"/>
  </r>
  <r>
    <x v="40"/>
    <s v="THA"/>
    <x v="3"/>
    <x v="0"/>
    <x v="15"/>
    <x v="3"/>
    <x v="1"/>
    <n v="2826.33"/>
  </r>
  <r>
    <x v="40"/>
    <s v="THA"/>
    <x v="3"/>
    <x v="0"/>
    <x v="15"/>
    <x v="2"/>
    <x v="3"/>
    <n v="0"/>
  </r>
  <r>
    <x v="40"/>
    <s v="THA"/>
    <x v="3"/>
    <x v="0"/>
    <x v="16"/>
    <x v="6"/>
    <x v="1"/>
    <n v="8223.11"/>
  </r>
  <r>
    <x v="40"/>
    <s v="THA"/>
    <x v="3"/>
    <x v="0"/>
    <x v="16"/>
    <x v="6"/>
    <x v="0"/>
    <n v="1173.98"/>
  </r>
  <r>
    <x v="40"/>
    <s v="THA"/>
    <x v="3"/>
    <x v="0"/>
    <x v="16"/>
    <x v="3"/>
    <x v="3"/>
    <n v="2920.9"/>
  </r>
  <r>
    <x v="40"/>
    <s v="THA"/>
    <x v="3"/>
    <x v="0"/>
    <x v="16"/>
    <x v="2"/>
    <x v="2"/>
    <n v="1298.6099999999999"/>
  </r>
  <r>
    <x v="40"/>
    <s v="THA"/>
    <x v="3"/>
    <x v="0"/>
    <x v="17"/>
    <x v="6"/>
    <x v="3"/>
    <n v="0"/>
  </r>
  <r>
    <x v="40"/>
    <s v="THA"/>
    <x v="3"/>
    <x v="0"/>
    <x v="17"/>
    <x v="6"/>
    <x v="2"/>
    <n v="2424.4"/>
  </r>
  <r>
    <x v="40"/>
    <s v="THA"/>
    <x v="3"/>
    <x v="0"/>
    <x v="17"/>
    <x v="3"/>
    <x v="2"/>
    <n v="3375.7"/>
  </r>
  <r>
    <x v="40"/>
    <s v="THA"/>
    <x v="3"/>
    <x v="0"/>
    <x v="17"/>
    <x v="5"/>
    <x v="2"/>
    <n v="508.88"/>
  </r>
  <r>
    <x v="40"/>
    <s v="THA"/>
    <x v="3"/>
    <x v="0"/>
    <x v="17"/>
    <x v="2"/>
    <x v="0"/>
    <n v="4200.32"/>
  </r>
  <r>
    <x v="40"/>
    <s v="THA"/>
    <x v="3"/>
    <x v="0"/>
    <x v="33"/>
    <x v="6"/>
    <x v="3"/>
    <n v="0"/>
  </r>
  <r>
    <x v="40"/>
    <s v="THA"/>
    <x v="3"/>
    <x v="0"/>
    <x v="33"/>
    <x v="0"/>
    <x v="2"/>
    <n v="1141.8499999999999"/>
  </r>
  <r>
    <x v="40"/>
    <s v="THA"/>
    <x v="3"/>
    <x v="0"/>
    <x v="33"/>
    <x v="4"/>
    <x v="0"/>
    <n v="-28897.69"/>
  </r>
  <r>
    <x v="40"/>
    <s v="THA"/>
    <x v="3"/>
    <x v="0"/>
    <x v="33"/>
    <x v="4"/>
    <x v="2"/>
    <n v="-265"/>
  </r>
  <r>
    <x v="40"/>
    <s v="THA"/>
    <x v="3"/>
    <x v="0"/>
    <x v="33"/>
    <x v="1"/>
    <x v="1"/>
    <n v="1242.68"/>
  </r>
  <r>
    <x v="40"/>
    <s v="THA"/>
    <x v="3"/>
    <x v="0"/>
    <x v="18"/>
    <x v="3"/>
    <x v="3"/>
    <n v="3465.24"/>
  </r>
  <r>
    <x v="40"/>
    <s v="THA"/>
    <x v="3"/>
    <x v="0"/>
    <x v="18"/>
    <x v="2"/>
    <x v="3"/>
    <n v="0"/>
  </r>
  <r>
    <x v="40"/>
    <s v="THA"/>
    <x v="3"/>
    <x v="0"/>
    <x v="19"/>
    <x v="3"/>
    <x v="0"/>
    <n v="53475.360000000001"/>
  </r>
  <r>
    <x v="40"/>
    <s v="THA"/>
    <x v="3"/>
    <x v="0"/>
    <x v="19"/>
    <x v="4"/>
    <x v="1"/>
    <n v="-268.51"/>
  </r>
  <r>
    <x v="40"/>
    <s v="THA"/>
    <x v="3"/>
    <x v="0"/>
    <x v="20"/>
    <x v="4"/>
    <x v="3"/>
    <n v="0"/>
  </r>
  <r>
    <x v="40"/>
    <s v="THA"/>
    <x v="3"/>
    <x v="0"/>
    <x v="21"/>
    <x v="0"/>
    <x v="3"/>
    <n v="0"/>
  </r>
  <r>
    <x v="40"/>
    <s v="THA"/>
    <x v="3"/>
    <x v="0"/>
    <x v="21"/>
    <x v="3"/>
    <x v="2"/>
    <n v="3530.55"/>
  </r>
  <r>
    <x v="40"/>
    <s v="THA"/>
    <x v="3"/>
    <x v="0"/>
    <x v="21"/>
    <x v="5"/>
    <x v="0"/>
    <n v="56552.05"/>
  </r>
  <r>
    <x v="40"/>
    <s v="THA"/>
    <x v="3"/>
    <x v="0"/>
    <x v="21"/>
    <x v="5"/>
    <x v="3"/>
    <n v="0"/>
  </r>
  <r>
    <x v="40"/>
    <s v="THA"/>
    <x v="3"/>
    <x v="0"/>
    <x v="22"/>
    <x v="6"/>
    <x v="3"/>
    <n v="0"/>
  </r>
  <r>
    <x v="40"/>
    <s v="THA"/>
    <x v="3"/>
    <x v="0"/>
    <x v="22"/>
    <x v="4"/>
    <x v="1"/>
    <n v="-335.15"/>
  </r>
  <r>
    <x v="40"/>
    <s v="THA"/>
    <x v="3"/>
    <x v="0"/>
    <x v="22"/>
    <x v="1"/>
    <x v="3"/>
    <n v="0"/>
  </r>
  <r>
    <x v="40"/>
    <s v="THA"/>
    <x v="3"/>
    <x v="0"/>
    <x v="22"/>
    <x v="5"/>
    <x v="0"/>
    <n v="61896.36"/>
  </r>
  <r>
    <x v="40"/>
    <s v="THA"/>
    <x v="3"/>
    <x v="0"/>
    <x v="23"/>
    <x v="6"/>
    <x v="1"/>
    <n v="8727.7800000000007"/>
  </r>
  <r>
    <x v="40"/>
    <s v="THA"/>
    <x v="3"/>
    <x v="0"/>
    <x v="23"/>
    <x v="6"/>
    <x v="2"/>
    <n v="2307.89"/>
  </r>
  <r>
    <x v="40"/>
    <s v="THA"/>
    <x v="3"/>
    <x v="0"/>
    <x v="23"/>
    <x v="5"/>
    <x v="1"/>
    <n v="1034.8800000000001"/>
  </r>
  <r>
    <x v="40"/>
    <s v="THA"/>
    <x v="3"/>
    <x v="0"/>
    <x v="23"/>
    <x v="5"/>
    <x v="2"/>
    <n v="512.45000000000005"/>
  </r>
  <r>
    <x v="40"/>
    <s v="THA"/>
    <x v="3"/>
    <x v="0"/>
    <x v="24"/>
    <x v="6"/>
    <x v="1"/>
    <n v="8369.1200000000008"/>
  </r>
  <r>
    <x v="40"/>
    <s v="THA"/>
    <x v="3"/>
    <x v="0"/>
    <x v="24"/>
    <x v="2"/>
    <x v="2"/>
    <n v="1433.54"/>
  </r>
  <r>
    <x v="40"/>
    <s v="THA"/>
    <x v="3"/>
    <x v="0"/>
    <x v="25"/>
    <x v="6"/>
    <x v="1"/>
    <n v="7659.07"/>
  </r>
  <r>
    <x v="40"/>
    <s v="THA"/>
    <x v="3"/>
    <x v="0"/>
    <x v="25"/>
    <x v="6"/>
    <x v="2"/>
    <n v="2168.37"/>
  </r>
  <r>
    <x v="40"/>
    <s v="THA"/>
    <x v="3"/>
    <x v="0"/>
    <x v="25"/>
    <x v="1"/>
    <x v="0"/>
    <n v="35475.629999999997"/>
  </r>
  <r>
    <x v="40"/>
    <s v="THA"/>
    <x v="3"/>
    <x v="0"/>
    <x v="25"/>
    <x v="5"/>
    <x v="2"/>
    <n v="472.16"/>
  </r>
  <r>
    <x v="40"/>
    <s v="THA"/>
    <x v="3"/>
    <x v="0"/>
    <x v="26"/>
    <x v="3"/>
    <x v="2"/>
    <n v="3166.19"/>
  </r>
  <r>
    <x v="40"/>
    <s v="THA"/>
    <x v="3"/>
    <x v="0"/>
    <x v="26"/>
    <x v="5"/>
    <x v="0"/>
    <n v="55887.81"/>
  </r>
  <r>
    <x v="40"/>
    <s v="THA"/>
    <x v="3"/>
    <x v="0"/>
    <x v="34"/>
    <x v="6"/>
    <x v="1"/>
    <n v="6691.2"/>
  </r>
  <r>
    <x v="40"/>
    <s v="THA"/>
    <x v="3"/>
    <x v="0"/>
    <x v="34"/>
    <x v="6"/>
    <x v="2"/>
    <n v="2191.08"/>
  </r>
  <r>
    <x v="40"/>
    <s v="THA"/>
    <x v="3"/>
    <x v="0"/>
    <x v="34"/>
    <x v="5"/>
    <x v="3"/>
    <n v="0"/>
  </r>
  <r>
    <x v="40"/>
    <s v="THA"/>
    <x v="3"/>
    <x v="0"/>
    <x v="27"/>
    <x v="3"/>
    <x v="2"/>
    <n v="2926.44"/>
  </r>
  <r>
    <x v="40"/>
    <s v="THA"/>
    <x v="3"/>
    <x v="0"/>
    <x v="27"/>
    <x v="4"/>
    <x v="3"/>
    <n v="0"/>
  </r>
  <r>
    <x v="40"/>
    <s v="THA"/>
    <x v="3"/>
    <x v="0"/>
    <x v="27"/>
    <x v="1"/>
    <x v="1"/>
    <n v="1082.18"/>
  </r>
  <r>
    <x v="40"/>
    <s v="THA"/>
    <x v="3"/>
    <x v="0"/>
    <x v="27"/>
    <x v="2"/>
    <x v="2"/>
    <n v="1268.25"/>
  </r>
  <r>
    <x v="40"/>
    <s v="THA"/>
    <x v="3"/>
    <x v="0"/>
    <x v="28"/>
    <x v="3"/>
    <x v="1"/>
    <n v="3087.55"/>
  </r>
  <r>
    <x v="40"/>
    <s v="THA"/>
    <x v="3"/>
    <x v="0"/>
    <x v="28"/>
    <x v="4"/>
    <x v="1"/>
    <n v="-273.54000000000002"/>
  </r>
  <r>
    <x v="40"/>
    <s v="THA"/>
    <x v="3"/>
    <x v="0"/>
    <x v="29"/>
    <x v="6"/>
    <x v="0"/>
    <n v="1017.71"/>
  </r>
  <r>
    <x v="40"/>
    <s v="THA"/>
    <x v="3"/>
    <x v="0"/>
    <x v="29"/>
    <x v="4"/>
    <x v="2"/>
    <n v="-272.10000000000002"/>
  </r>
  <r>
    <x v="40"/>
    <s v="THA"/>
    <x v="3"/>
    <x v="0"/>
    <x v="29"/>
    <x v="1"/>
    <x v="1"/>
    <n v="1104.26"/>
  </r>
  <r>
    <x v="40"/>
    <s v="THA"/>
    <x v="3"/>
    <x v="0"/>
    <x v="29"/>
    <x v="2"/>
    <x v="3"/>
    <n v="0"/>
  </r>
  <r>
    <x v="40"/>
    <s v="THA"/>
    <x v="3"/>
    <x v="0"/>
    <x v="30"/>
    <x v="6"/>
    <x v="1"/>
    <n v="8392.36"/>
  </r>
  <r>
    <x v="40"/>
    <s v="THA"/>
    <x v="3"/>
    <x v="0"/>
    <x v="30"/>
    <x v="6"/>
    <x v="2"/>
    <n v="2311.86"/>
  </r>
  <r>
    <x v="40"/>
    <s v="THA"/>
    <x v="3"/>
    <x v="0"/>
    <x v="30"/>
    <x v="0"/>
    <x v="1"/>
    <n v="2658.86"/>
  </r>
  <r>
    <x v="40"/>
    <s v="THA"/>
    <x v="3"/>
    <x v="0"/>
    <x v="30"/>
    <x v="1"/>
    <x v="3"/>
    <n v="0"/>
  </r>
  <r>
    <x v="40"/>
    <s v="THA"/>
    <x v="3"/>
    <x v="0"/>
    <x v="30"/>
    <x v="5"/>
    <x v="2"/>
    <n v="523.73"/>
  </r>
  <r>
    <x v="40"/>
    <s v="THA"/>
    <x v="3"/>
    <x v="0"/>
    <x v="30"/>
    <x v="2"/>
    <x v="0"/>
    <n v="4416.13"/>
  </r>
  <r>
    <x v="40"/>
    <s v="THA"/>
    <x v="3"/>
    <x v="0"/>
    <x v="30"/>
    <x v="2"/>
    <x v="3"/>
    <n v="0"/>
  </r>
  <r>
    <x v="40"/>
    <s v="THA"/>
    <x v="3"/>
    <x v="0"/>
    <x v="32"/>
    <x v="0"/>
    <x v="1"/>
    <n v="2788.34"/>
  </r>
  <r>
    <x v="40"/>
    <s v="THA"/>
    <x v="3"/>
    <x v="0"/>
    <x v="32"/>
    <x v="0"/>
    <x v="3"/>
    <n v="0"/>
  </r>
  <r>
    <x v="40"/>
    <s v="THA"/>
    <x v="3"/>
    <x v="0"/>
    <x v="32"/>
    <x v="1"/>
    <x v="1"/>
    <n v="1216.05"/>
  </r>
  <r>
    <x v="40"/>
    <s v="THA"/>
    <x v="3"/>
    <x v="0"/>
    <x v="32"/>
    <x v="2"/>
    <x v="1"/>
    <n v="21361.7"/>
  </r>
  <r>
    <x v="41"/>
    <s v="TUN"/>
    <x v="0"/>
    <x v="2"/>
    <x v="1"/>
    <x v="6"/>
    <x v="3"/>
    <n v="0"/>
  </r>
  <r>
    <x v="41"/>
    <s v="TUN"/>
    <x v="0"/>
    <x v="2"/>
    <x v="1"/>
    <x v="5"/>
    <x v="2"/>
    <n v="192.1"/>
  </r>
  <r>
    <x v="41"/>
    <s v="TUN"/>
    <x v="0"/>
    <x v="2"/>
    <x v="2"/>
    <x v="4"/>
    <x v="1"/>
    <n v="47.05"/>
  </r>
  <r>
    <x v="41"/>
    <s v="TUN"/>
    <x v="0"/>
    <x v="2"/>
    <x v="2"/>
    <x v="1"/>
    <x v="1"/>
    <n v="2002.67"/>
  </r>
  <r>
    <x v="41"/>
    <s v="TUN"/>
    <x v="0"/>
    <x v="2"/>
    <x v="3"/>
    <x v="0"/>
    <x v="1"/>
    <n v="349.09"/>
  </r>
  <r>
    <x v="41"/>
    <s v="TUN"/>
    <x v="0"/>
    <x v="2"/>
    <x v="3"/>
    <x v="3"/>
    <x v="2"/>
    <n v="225.78"/>
  </r>
  <r>
    <x v="41"/>
    <s v="TUN"/>
    <x v="0"/>
    <x v="2"/>
    <x v="3"/>
    <x v="5"/>
    <x v="2"/>
    <n v="209.13"/>
  </r>
  <r>
    <x v="41"/>
    <s v="TUN"/>
    <x v="0"/>
    <x v="2"/>
    <x v="4"/>
    <x v="3"/>
    <x v="0"/>
    <n v="3553.2"/>
  </r>
  <r>
    <x v="41"/>
    <s v="TUN"/>
    <x v="0"/>
    <x v="2"/>
    <x v="4"/>
    <x v="4"/>
    <x v="1"/>
    <n v="43.15"/>
  </r>
  <r>
    <x v="41"/>
    <s v="TUN"/>
    <x v="0"/>
    <x v="2"/>
    <x v="5"/>
    <x v="2"/>
    <x v="1"/>
    <n v="3374.39"/>
  </r>
  <r>
    <x v="41"/>
    <s v="TUN"/>
    <x v="0"/>
    <x v="2"/>
    <x v="5"/>
    <x v="2"/>
    <x v="3"/>
    <n v="0"/>
  </r>
  <r>
    <x v="41"/>
    <s v="TUN"/>
    <x v="0"/>
    <x v="2"/>
    <x v="6"/>
    <x v="1"/>
    <x v="3"/>
    <n v="0"/>
  </r>
  <r>
    <x v="41"/>
    <s v="TUN"/>
    <x v="0"/>
    <x v="2"/>
    <x v="6"/>
    <x v="1"/>
    <x v="2"/>
    <n v="1397.64"/>
  </r>
  <r>
    <x v="41"/>
    <s v="TUN"/>
    <x v="0"/>
    <x v="2"/>
    <x v="6"/>
    <x v="5"/>
    <x v="0"/>
    <n v="20336.95"/>
  </r>
  <r>
    <x v="41"/>
    <s v="TUN"/>
    <x v="0"/>
    <x v="2"/>
    <x v="7"/>
    <x v="3"/>
    <x v="3"/>
    <n v="217.62"/>
  </r>
  <r>
    <x v="41"/>
    <s v="TUN"/>
    <x v="0"/>
    <x v="2"/>
    <x v="8"/>
    <x v="2"/>
    <x v="0"/>
    <n v="655.78"/>
  </r>
  <r>
    <x v="41"/>
    <s v="TUN"/>
    <x v="0"/>
    <x v="2"/>
    <x v="9"/>
    <x v="3"/>
    <x v="0"/>
    <n v="3932.07"/>
  </r>
  <r>
    <x v="41"/>
    <s v="TUN"/>
    <x v="0"/>
    <x v="2"/>
    <x v="9"/>
    <x v="1"/>
    <x v="2"/>
    <n v="1337.79"/>
  </r>
  <r>
    <x v="41"/>
    <s v="TUN"/>
    <x v="0"/>
    <x v="2"/>
    <x v="9"/>
    <x v="2"/>
    <x v="2"/>
    <n v="211.95"/>
  </r>
  <r>
    <x v="41"/>
    <s v="TUN"/>
    <x v="0"/>
    <x v="2"/>
    <x v="10"/>
    <x v="6"/>
    <x v="3"/>
    <n v="0"/>
  </r>
  <r>
    <x v="41"/>
    <s v="TUN"/>
    <x v="0"/>
    <x v="2"/>
    <x v="10"/>
    <x v="1"/>
    <x v="1"/>
    <n v="2190.86"/>
  </r>
  <r>
    <x v="41"/>
    <s v="TUN"/>
    <x v="0"/>
    <x v="2"/>
    <x v="10"/>
    <x v="1"/>
    <x v="0"/>
    <n v="73628.649999999994"/>
  </r>
  <r>
    <x v="41"/>
    <s v="TUN"/>
    <x v="0"/>
    <x v="2"/>
    <x v="10"/>
    <x v="5"/>
    <x v="1"/>
    <n v="492.71"/>
  </r>
  <r>
    <x v="41"/>
    <s v="TUN"/>
    <x v="0"/>
    <x v="2"/>
    <x v="10"/>
    <x v="2"/>
    <x v="1"/>
    <n v="4296.7299999999996"/>
  </r>
  <r>
    <x v="41"/>
    <s v="TUN"/>
    <x v="0"/>
    <x v="2"/>
    <x v="10"/>
    <x v="2"/>
    <x v="2"/>
    <n v="262.14999999999998"/>
  </r>
  <r>
    <x v="41"/>
    <s v="TUN"/>
    <x v="0"/>
    <x v="2"/>
    <x v="11"/>
    <x v="0"/>
    <x v="3"/>
    <n v="0"/>
  </r>
  <r>
    <x v="41"/>
    <s v="TUN"/>
    <x v="0"/>
    <x v="2"/>
    <x v="11"/>
    <x v="1"/>
    <x v="3"/>
    <n v="0"/>
  </r>
  <r>
    <x v="41"/>
    <s v="TUN"/>
    <x v="0"/>
    <x v="2"/>
    <x v="12"/>
    <x v="0"/>
    <x v="1"/>
    <n v="514.17999999999995"/>
  </r>
  <r>
    <x v="41"/>
    <s v="TUN"/>
    <x v="0"/>
    <x v="2"/>
    <x v="12"/>
    <x v="3"/>
    <x v="1"/>
    <n v="268.39999999999998"/>
  </r>
  <r>
    <x v="41"/>
    <s v="TUN"/>
    <x v="0"/>
    <x v="2"/>
    <x v="12"/>
    <x v="3"/>
    <x v="2"/>
    <n v="245.45"/>
  </r>
  <r>
    <x v="41"/>
    <s v="TUN"/>
    <x v="0"/>
    <x v="2"/>
    <x v="13"/>
    <x v="0"/>
    <x v="3"/>
    <n v="0"/>
  </r>
  <r>
    <x v="41"/>
    <s v="TUN"/>
    <x v="0"/>
    <x v="2"/>
    <x v="13"/>
    <x v="3"/>
    <x v="0"/>
    <n v="3590.55"/>
  </r>
  <r>
    <x v="41"/>
    <s v="TUN"/>
    <x v="0"/>
    <x v="2"/>
    <x v="13"/>
    <x v="4"/>
    <x v="1"/>
    <n v="50.79"/>
  </r>
  <r>
    <x v="41"/>
    <s v="TUN"/>
    <x v="0"/>
    <x v="2"/>
    <x v="13"/>
    <x v="1"/>
    <x v="1"/>
    <n v="2083.6"/>
  </r>
  <r>
    <x v="41"/>
    <s v="TUN"/>
    <x v="0"/>
    <x v="2"/>
    <x v="13"/>
    <x v="5"/>
    <x v="2"/>
    <n v="234.9"/>
  </r>
  <r>
    <x v="41"/>
    <s v="TUN"/>
    <x v="0"/>
    <x v="2"/>
    <x v="13"/>
    <x v="2"/>
    <x v="3"/>
    <n v="0"/>
  </r>
  <r>
    <x v="41"/>
    <s v="TUN"/>
    <x v="0"/>
    <x v="2"/>
    <x v="14"/>
    <x v="2"/>
    <x v="3"/>
    <n v="0"/>
  </r>
  <r>
    <x v="41"/>
    <s v="TUN"/>
    <x v="0"/>
    <x v="2"/>
    <x v="15"/>
    <x v="5"/>
    <x v="0"/>
    <n v="24117.17"/>
  </r>
  <r>
    <x v="41"/>
    <s v="TUN"/>
    <x v="0"/>
    <x v="2"/>
    <x v="15"/>
    <x v="5"/>
    <x v="2"/>
    <n v="261.89999999999998"/>
  </r>
  <r>
    <x v="41"/>
    <s v="TUN"/>
    <x v="0"/>
    <x v="2"/>
    <x v="15"/>
    <x v="2"/>
    <x v="0"/>
    <n v="755.86"/>
  </r>
  <r>
    <x v="41"/>
    <s v="TUN"/>
    <x v="0"/>
    <x v="2"/>
    <x v="16"/>
    <x v="6"/>
    <x v="1"/>
    <n v="24999.16"/>
  </r>
  <r>
    <x v="41"/>
    <s v="TUN"/>
    <x v="0"/>
    <x v="2"/>
    <x v="16"/>
    <x v="3"/>
    <x v="0"/>
    <n v="4361.8"/>
  </r>
  <r>
    <x v="41"/>
    <s v="TUN"/>
    <x v="0"/>
    <x v="2"/>
    <x v="17"/>
    <x v="0"/>
    <x v="2"/>
    <n v="236"/>
  </r>
  <r>
    <x v="41"/>
    <s v="TUN"/>
    <x v="0"/>
    <x v="2"/>
    <x v="17"/>
    <x v="3"/>
    <x v="2"/>
    <n v="267.27"/>
  </r>
  <r>
    <x v="41"/>
    <s v="TUN"/>
    <x v="0"/>
    <x v="2"/>
    <x v="17"/>
    <x v="4"/>
    <x v="1"/>
    <n v="66.28"/>
  </r>
  <r>
    <x v="41"/>
    <s v="TUN"/>
    <x v="0"/>
    <x v="2"/>
    <x v="17"/>
    <x v="5"/>
    <x v="3"/>
    <n v="0"/>
  </r>
  <r>
    <x v="41"/>
    <s v="TUN"/>
    <x v="0"/>
    <x v="2"/>
    <x v="17"/>
    <x v="5"/>
    <x v="2"/>
    <n v="279.57"/>
  </r>
  <r>
    <x v="41"/>
    <s v="TUN"/>
    <x v="0"/>
    <x v="2"/>
    <x v="33"/>
    <x v="6"/>
    <x v="0"/>
    <n v="3373.13"/>
  </r>
  <r>
    <x v="41"/>
    <s v="TUN"/>
    <x v="0"/>
    <x v="2"/>
    <x v="33"/>
    <x v="1"/>
    <x v="3"/>
    <n v="0"/>
  </r>
  <r>
    <x v="41"/>
    <s v="TUN"/>
    <x v="0"/>
    <x v="2"/>
    <x v="18"/>
    <x v="6"/>
    <x v="3"/>
    <n v="0"/>
  </r>
  <r>
    <x v="41"/>
    <s v="TUN"/>
    <x v="0"/>
    <x v="2"/>
    <x v="18"/>
    <x v="1"/>
    <x v="3"/>
    <n v="0"/>
  </r>
  <r>
    <x v="41"/>
    <s v="TUN"/>
    <x v="0"/>
    <x v="2"/>
    <x v="19"/>
    <x v="6"/>
    <x v="3"/>
    <n v="0"/>
  </r>
  <r>
    <x v="41"/>
    <s v="TUN"/>
    <x v="0"/>
    <x v="2"/>
    <x v="19"/>
    <x v="0"/>
    <x v="2"/>
    <n v="245.2"/>
  </r>
  <r>
    <x v="41"/>
    <s v="TUN"/>
    <x v="0"/>
    <x v="2"/>
    <x v="19"/>
    <x v="3"/>
    <x v="2"/>
    <n v="293.32"/>
  </r>
  <r>
    <x v="41"/>
    <s v="TUN"/>
    <x v="0"/>
    <x v="2"/>
    <x v="19"/>
    <x v="4"/>
    <x v="0"/>
    <n v="6120.33"/>
  </r>
  <r>
    <x v="41"/>
    <s v="TUN"/>
    <x v="0"/>
    <x v="2"/>
    <x v="19"/>
    <x v="1"/>
    <x v="2"/>
    <n v="1731"/>
  </r>
  <r>
    <x v="41"/>
    <s v="TUN"/>
    <x v="0"/>
    <x v="2"/>
    <x v="19"/>
    <x v="5"/>
    <x v="1"/>
    <n v="581.65"/>
  </r>
  <r>
    <x v="41"/>
    <s v="TUN"/>
    <x v="0"/>
    <x v="2"/>
    <x v="20"/>
    <x v="6"/>
    <x v="1"/>
    <n v="24218.17"/>
  </r>
  <r>
    <x v="41"/>
    <s v="TUN"/>
    <x v="0"/>
    <x v="2"/>
    <x v="20"/>
    <x v="6"/>
    <x v="2"/>
    <n v="6746.13"/>
  </r>
  <r>
    <x v="41"/>
    <s v="TUN"/>
    <x v="0"/>
    <x v="2"/>
    <x v="20"/>
    <x v="4"/>
    <x v="1"/>
    <n v="60.99"/>
  </r>
  <r>
    <x v="41"/>
    <s v="TUN"/>
    <x v="0"/>
    <x v="2"/>
    <x v="20"/>
    <x v="2"/>
    <x v="1"/>
    <n v="4641.5200000000004"/>
  </r>
  <r>
    <x v="41"/>
    <s v="TUN"/>
    <x v="0"/>
    <x v="2"/>
    <x v="21"/>
    <x v="6"/>
    <x v="1"/>
    <n v="24290.27"/>
  </r>
  <r>
    <x v="41"/>
    <s v="TUN"/>
    <x v="0"/>
    <x v="2"/>
    <x v="21"/>
    <x v="3"/>
    <x v="2"/>
    <n v="250.01"/>
  </r>
  <r>
    <x v="41"/>
    <s v="TUN"/>
    <x v="0"/>
    <x v="2"/>
    <x v="21"/>
    <x v="1"/>
    <x v="1"/>
    <n v="2394.7399999999998"/>
  </r>
  <r>
    <x v="41"/>
    <s v="TUN"/>
    <x v="0"/>
    <x v="2"/>
    <x v="21"/>
    <x v="5"/>
    <x v="3"/>
    <n v="0"/>
  </r>
  <r>
    <x v="41"/>
    <s v="TUN"/>
    <x v="0"/>
    <x v="2"/>
    <x v="22"/>
    <x v="3"/>
    <x v="1"/>
    <n v="286.24"/>
  </r>
  <r>
    <x v="41"/>
    <s v="TUN"/>
    <x v="0"/>
    <x v="2"/>
    <x v="22"/>
    <x v="4"/>
    <x v="3"/>
    <n v="0"/>
  </r>
  <r>
    <x v="41"/>
    <s v="TUN"/>
    <x v="0"/>
    <x v="2"/>
    <x v="22"/>
    <x v="5"/>
    <x v="0"/>
    <n v="27643.63"/>
  </r>
  <r>
    <x v="41"/>
    <s v="TUN"/>
    <x v="0"/>
    <x v="2"/>
    <x v="22"/>
    <x v="2"/>
    <x v="0"/>
    <n v="872.63"/>
  </r>
  <r>
    <x v="41"/>
    <s v="TUN"/>
    <x v="0"/>
    <x v="2"/>
    <x v="23"/>
    <x v="0"/>
    <x v="1"/>
    <n v="525.54999999999995"/>
  </r>
  <r>
    <x v="41"/>
    <s v="TUN"/>
    <x v="0"/>
    <x v="2"/>
    <x v="23"/>
    <x v="4"/>
    <x v="2"/>
    <n v="64.17"/>
  </r>
  <r>
    <x v="41"/>
    <s v="TUN"/>
    <x v="0"/>
    <x v="2"/>
    <x v="23"/>
    <x v="2"/>
    <x v="1"/>
    <n v="4443.83"/>
  </r>
  <r>
    <x v="41"/>
    <s v="TUN"/>
    <x v="0"/>
    <x v="2"/>
    <x v="24"/>
    <x v="5"/>
    <x v="2"/>
    <n v="262.37"/>
  </r>
  <r>
    <x v="41"/>
    <s v="TUN"/>
    <x v="0"/>
    <x v="2"/>
    <x v="25"/>
    <x v="1"/>
    <x v="1"/>
    <n v="2664.76"/>
  </r>
  <r>
    <x v="41"/>
    <s v="TUN"/>
    <x v="0"/>
    <x v="2"/>
    <x v="26"/>
    <x v="3"/>
    <x v="0"/>
    <n v="4763.84"/>
  </r>
  <r>
    <x v="41"/>
    <s v="TUN"/>
    <x v="0"/>
    <x v="2"/>
    <x v="26"/>
    <x v="1"/>
    <x v="3"/>
    <n v="0"/>
  </r>
  <r>
    <x v="41"/>
    <s v="TUN"/>
    <x v="0"/>
    <x v="2"/>
    <x v="26"/>
    <x v="1"/>
    <x v="2"/>
    <n v="1738.42"/>
  </r>
  <r>
    <x v="41"/>
    <s v="TUN"/>
    <x v="0"/>
    <x v="2"/>
    <x v="34"/>
    <x v="4"/>
    <x v="1"/>
    <n v="70.400000000000006"/>
  </r>
  <r>
    <x v="41"/>
    <s v="TUN"/>
    <x v="0"/>
    <x v="2"/>
    <x v="34"/>
    <x v="5"/>
    <x v="1"/>
    <n v="572.45000000000005"/>
  </r>
  <r>
    <x v="41"/>
    <s v="TUN"/>
    <x v="0"/>
    <x v="2"/>
    <x v="34"/>
    <x v="5"/>
    <x v="0"/>
    <n v="27027.75"/>
  </r>
  <r>
    <x v="41"/>
    <s v="TUN"/>
    <x v="0"/>
    <x v="2"/>
    <x v="27"/>
    <x v="3"/>
    <x v="1"/>
    <n v="278.69"/>
  </r>
  <r>
    <x v="41"/>
    <s v="TUN"/>
    <x v="0"/>
    <x v="2"/>
    <x v="27"/>
    <x v="1"/>
    <x v="1"/>
    <n v="2542.42"/>
  </r>
  <r>
    <x v="41"/>
    <s v="TUN"/>
    <x v="0"/>
    <x v="2"/>
    <x v="27"/>
    <x v="5"/>
    <x v="2"/>
    <n v="278.17"/>
  </r>
  <r>
    <x v="41"/>
    <s v="TUN"/>
    <x v="0"/>
    <x v="2"/>
    <x v="28"/>
    <x v="6"/>
    <x v="3"/>
    <n v="0"/>
  </r>
  <r>
    <x v="41"/>
    <s v="TUN"/>
    <x v="0"/>
    <x v="2"/>
    <x v="28"/>
    <x v="4"/>
    <x v="0"/>
    <n v="6192.11"/>
  </r>
  <r>
    <x v="41"/>
    <s v="TUN"/>
    <x v="0"/>
    <x v="2"/>
    <x v="29"/>
    <x v="5"/>
    <x v="1"/>
    <n v="601.70000000000005"/>
  </r>
  <r>
    <x v="41"/>
    <s v="TUN"/>
    <x v="0"/>
    <x v="2"/>
    <x v="29"/>
    <x v="5"/>
    <x v="2"/>
    <n v="296.18"/>
  </r>
  <r>
    <x v="41"/>
    <s v="TUN"/>
    <x v="0"/>
    <x v="2"/>
    <x v="30"/>
    <x v="2"/>
    <x v="3"/>
    <n v="0"/>
  </r>
  <r>
    <x v="41"/>
    <s v="TUN"/>
    <x v="0"/>
    <x v="2"/>
    <x v="31"/>
    <x v="3"/>
    <x v="1"/>
    <n v="311.25"/>
  </r>
  <r>
    <x v="41"/>
    <s v="TUN"/>
    <x v="0"/>
    <x v="2"/>
    <x v="31"/>
    <x v="3"/>
    <x v="2"/>
    <n v="321.08"/>
  </r>
  <r>
    <x v="41"/>
    <s v="TUN"/>
    <x v="0"/>
    <x v="2"/>
    <x v="32"/>
    <x v="0"/>
    <x v="1"/>
    <n v="502.13"/>
  </r>
  <r>
    <x v="41"/>
    <s v="TUN"/>
    <x v="0"/>
    <x v="2"/>
    <x v="32"/>
    <x v="3"/>
    <x v="2"/>
    <n v="295.57"/>
  </r>
  <r>
    <x v="41"/>
    <s v="TUN"/>
    <x v="0"/>
    <x v="2"/>
    <x v="32"/>
    <x v="1"/>
    <x v="0"/>
    <n v="93576.04"/>
  </r>
  <r>
    <x v="41"/>
    <s v="TUN"/>
    <x v="0"/>
    <x v="2"/>
    <x v="32"/>
    <x v="5"/>
    <x v="1"/>
    <n v="593.64"/>
  </r>
  <r>
    <x v="42"/>
    <s v="TUR"/>
    <x v="3"/>
    <x v="0"/>
    <x v="0"/>
    <x v="6"/>
    <x v="1"/>
    <n v="49256.41"/>
  </r>
  <r>
    <x v="42"/>
    <s v="TUR"/>
    <x v="3"/>
    <x v="0"/>
    <x v="0"/>
    <x v="6"/>
    <x v="3"/>
    <n v="0"/>
  </r>
  <r>
    <x v="42"/>
    <s v="TUR"/>
    <x v="3"/>
    <x v="0"/>
    <x v="0"/>
    <x v="0"/>
    <x v="2"/>
    <n v="434.23"/>
  </r>
  <r>
    <x v="42"/>
    <s v="TUR"/>
    <x v="3"/>
    <x v="0"/>
    <x v="0"/>
    <x v="3"/>
    <x v="2"/>
    <n v="1772.06"/>
  </r>
  <r>
    <x v="42"/>
    <s v="TUR"/>
    <x v="3"/>
    <x v="0"/>
    <x v="0"/>
    <x v="4"/>
    <x v="1"/>
    <n v="-267.11"/>
  </r>
  <r>
    <x v="42"/>
    <s v="TUR"/>
    <x v="3"/>
    <x v="0"/>
    <x v="0"/>
    <x v="1"/>
    <x v="2"/>
    <n v="1863.53"/>
  </r>
  <r>
    <x v="42"/>
    <s v="TUR"/>
    <x v="3"/>
    <x v="0"/>
    <x v="0"/>
    <x v="5"/>
    <x v="0"/>
    <n v="48808.72"/>
  </r>
  <r>
    <x v="42"/>
    <s v="TUR"/>
    <x v="3"/>
    <x v="0"/>
    <x v="1"/>
    <x v="3"/>
    <x v="3"/>
    <n v="1456.51"/>
  </r>
  <r>
    <x v="42"/>
    <s v="TUR"/>
    <x v="3"/>
    <x v="0"/>
    <x v="1"/>
    <x v="4"/>
    <x v="0"/>
    <n v="-22708.1"/>
  </r>
  <r>
    <x v="42"/>
    <s v="TUR"/>
    <x v="3"/>
    <x v="0"/>
    <x v="2"/>
    <x v="1"/>
    <x v="3"/>
    <n v="0"/>
  </r>
  <r>
    <x v="42"/>
    <s v="TUR"/>
    <x v="3"/>
    <x v="0"/>
    <x v="2"/>
    <x v="2"/>
    <x v="1"/>
    <n v="73930.539999999994"/>
  </r>
  <r>
    <x v="42"/>
    <s v="TUR"/>
    <x v="3"/>
    <x v="0"/>
    <x v="3"/>
    <x v="3"/>
    <x v="1"/>
    <n v="1569.56"/>
  </r>
  <r>
    <x v="42"/>
    <s v="TUR"/>
    <x v="3"/>
    <x v="0"/>
    <x v="3"/>
    <x v="4"/>
    <x v="3"/>
    <n v="0"/>
  </r>
  <r>
    <x v="42"/>
    <s v="TUR"/>
    <x v="3"/>
    <x v="0"/>
    <x v="3"/>
    <x v="5"/>
    <x v="3"/>
    <n v="0"/>
  </r>
  <r>
    <x v="42"/>
    <s v="TUR"/>
    <x v="3"/>
    <x v="0"/>
    <x v="4"/>
    <x v="6"/>
    <x v="0"/>
    <n v="6310.8"/>
  </r>
  <r>
    <x v="42"/>
    <s v="TUR"/>
    <x v="3"/>
    <x v="0"/>
    <x v="4"/>
    <x v="6"/>
    <x v="3"/>
    <n v="0"/>
  </r>
  <r>
    <x v="42"/>
    <s v="TUR"/>
    <x v="3"/>
    <x v="0"/>
    <x v="4"/>
    <x v="0"/>
    <x v="3"/>
    <n v="0"/>
  </r>
  <r>
    <x v="42"/>
    <s v="TUR"/>
    <x v="3"/>
    <x v="0"/>
    <x v="4"/>
    <x v="5"/>
    <x v="0"/>
    <n v="47190.36"/>
  </r>
  <r>
    <x v="42"/>
    <s v="TUR"/>
    <x v="3"/>
    <x v="0"/>
    <x v="4"/>
    <x v="2"/>
    <x v="1"/>
    <n v="77715.259999999995"/>
  </r>
  <r>
    <x v="42"/>
    <s v="TUR"/>
    <x v="3"/>
    <x v="0"/>
    <x v="5"/>
    <x v="3"/>
    <x v="1"/>
    <n v="1615.05"/>
  </r>
  <r>
    <x v="42"/>
    <s v="TUR"/>
    <x v="3"/>
    <x v="0"/>
    <x v="5"/>
    <x v="2"/>
    <x v="2"/>
    <n v="4931.59"/>
  </r>
  <r>
    <x v="42"/>
    <s v="TUR"/>
    <x v="3"/>
    <x v="0"/>
    <x v="6"/>
    <x v="6"/>
    <x v="0"/>
    <n v="7061.77"/>
  </r>
  <r>
    <x v="42"/>
    <s v="TUR"/>
    <x v="3"/>
    <x v="0"/>
    <x v="6"/>
    <x v="1"/>
    <x v="2"/>
    <n v="1901.87"/>
  </r>
  <r>
    <x v="42"/>
    <s v="TUR"/>
    <x v="3"/>
    <x v="0"/>
    <x v="6"/>
    <x v="5"/>
    <x v="0"/>
    <n v="51323.1"/>
  </r>
  <r>
    <x v="42"/>
    <s v="TUR"/>
    <x v="3"/>
    <x v="0"/>
    <x v="7"/>
    <x v="6"/>
    <x v="0"/>
    <n v="7205.48"/>
  </r>
  <r>
    <x v="42"/>
    <s v="TUR"/>
    <x v="3"/>
    <x v="0"/>
    <x v="8"/>
    <x v="4"/>
    <x v="2"/>
    <n v="-265.74"/>
  </r>
  <r>
    <x v="42"/>
    <s v="TUR"/>
    <x v="3"/>
    <x v="0"/>
    <x v="8"/>
    <x v="2"/>
    <x v="2"/>
    <n v="5192.29"/>
  </r>
  <r>
    <x v="42"/>
    <s v="TUR"/>
    <x v="3"/>
    <x v="0"/>
    <x v="9"/>
    <x v="3"/>
    <x v="2"/>
    <n v="2006.64"/>
  </r>
  <r>
    <x v="42"/>
    <s v="TUR"/>
    <x v="3"/>
    <x v="0"/>
    <x v="10"/>
    <x v="3"/>
    <x v="3"/>
    <n v="1844.43"/>
  </r>
  <r>
    <x v="42"/>
    <s v="TUR"/>
    <x v="3"/>
    <x v="0"/>
    <x v="10"/>
    <x v="1"/>
    <x v="0"/>
    <n v="86070.95"/>
  </r>
  <r>
    <x v="42"/>
    <s v="TUR"/>
    <x v="3"/>
    <x v="0"/>
    <x v="11"/>
    <x v="0"/>
    <x v="0"/>
    <n v="15084.26"/>
  </r>
  <r>
    <x v="42"/>
    <s v="TUR"/>
    <x v="3"/>
    <x v="0"/>
    <x v="11"/>
    <x v="4"/>
    <x v="0"/>
    <n v="-29551.759999999998"/>
  </r>
  <r>
    <x v="42"/>
    <s v="TUR"/>
    <x v="3"/>
    <x v="0"/>
    <x v="11"/>
    <x v="1"/>
    <x v="1"/>
    <n v="3183.14"/>
  </r>
  <r>
    <x v="42"/>
    <s v="TUR"/>
    <x v="3"/>
    <x v="0"/>
    <x v="11"/>
    <x v="1"/>
    <x v="0"/>
    <n v="97340.56"/>
  </r>
  <r>
    <x v="42"/>
    <s v="TUR"/>
    <x v="3"/>
    <x v="0"/>
    <x v="11"/>
    <x v="5"/>
    <x v="0"/>
    <n v="54962.04"/>
  </r>
  <r>
    <x v="42"/>
    <s v="TUR"/>
    <x v="3"/>
    <x v="0"/>
    <x v="11"/>
    <x v="2"/>
    <x v="2"/>
    <n v="6312.87"/>
  </r>
  <r>
    <x v="42"/>
    <s v="TUR"/>
    <x v="3"/>
    <x v="0"/>
    <x v="12"/>
    <x v="3"/>
    <x v="3"/>
    <n v="2101.8000000000002"/>
  </r>
  <r>
    <x v="42"/>
    <s v="TUR"/>
    <x v="3"/>
    <x v="0"/>
    <x v="13"/>
    <x v="6"/>
    <x v="1"/>
    <n v="55819.35"/>
  </r>
  <r>
    <x v="42"/>
    <s v="TUR"/>
    <x v="3"/>
    <x v="0"/>
    <x v="13"/>
    <x v="0"/>
    <x v="1"/>
    <n v="1140.56"/>
  </r>
  <r>
    <x v="42"/>
    <s v="TUR"/>
    <x v="3"/>
    <x v="0"/>
    <x v="13"/>
    <x v="3"/>
    <x v="1"/>
    <n v="1923.53"/>
  </r>
  <r>
    <x v="42"/>
    <s v="TUR"/>
    <x v="3"/>
    <x v="0"/>
    <x v="13"/>
    <x v="4"/>
    <x v="2"/>
    <n v="-317.66000000000003"/>
  </r>
  <r>
    <x v="42"/>
    <s v="TUR"/>
    <x v="3"/>
    <x v="0"/>
    <x v="14"/>
    <x v="4"/>
    <x v="3"/>
    <n v="0"/>
  </r>
  <r>
    <x v="42"/>
    <s v="TUR"/>
    <x v="3"/>
    <x v="0"/>
    <x v="14"/>
    <x v="5"/>
    <x v="2"/>
    <n v="705.97"/>
  </r>
  <r>
    <x v="42"/>
    <s v="TUR"/>
    <x v="3"/>
    <x v="0"/>
    <x v="15"/>
    <x v="6"/>
    <x v="3"/>
    <n v="0"/>
  </r>
  <r>
    <x v="42"/>
    <s v="TUR"/>
    <x v="3"/>
    <x v="0"/>
    <x v="15"/>
    <x v="3"/>
    <x v="2"/>
    <n v="1993.72"/>
  </r>
  <r>
    <x v="42"/>
    <s v="TUR"/>
    <x v="3"/>
    <x v="0"/>
    <x v="15"/>
    <x v="5"/>
    <x v="1"/>
    <n v="1472.73"/>
  </r>
  <r>
    <x v="42"/>
    <s v="TUR"/>
    <x v="3"/>
    <x v="0"/>
    <x v="16"/>
    <x v="6"/>
    <x v="1"/>
    <n v="63918.95"/>
  </r>
  <r>
    <x v="42"/>
    <s v="TUR"/>
    <x v="3"/>
    <x v="0"/>
    <x v="16"/>
    <x v="0"/>
    <x v="3"/>
    <n v="0"/>
  </r>
  <r>
    <x v="42"/>
    <s v="TUR"/>
    <x v="3"/>
    <x v="0"/>
    <x v="16"/>
    <x v="3"/>
    <x v="0"/>
    <n v="37543.980000000003"/>
  </r>
  <r>
    <x v="42"/>
    <s v="TUR"/>
    <x v="3"/>
    <x v="0"/>
    <x v="16"/>
    <x v="1"/>
    <x v="0"/>
    <n v="127012.98"/>
  </r>
  <r>
    <x v="42"/>
    <s v="TUR"/>
    <x v="3"/>
    <x v="0"/>
    <x v="16"/>
    <x v="1"/>
    <x v="3"/>
    <n v="0"/>
  </r>
  <r>
    <x v="42"/>
    <s v="TUR"/>
    <x v="3"/>
    <x v="0"/>
    <x v="17"/>
    <x v="6"/>
    <x v="0"/>
    <n v="9964.9599999999991"/>
  </r>
  <r>
    <x v="42"/>
    <s v="TUR"/>
    <x v="3"/>
    <x v="0"/>
    <x v="17"/>
    <x v="3"/>
    <x v="0"/>
    <n v="40244.01"/>
  </r>
  <r>
    <x v="42"/>
    <s v="TUR"/>
    <x v="3"/>
    <x v="0"/>
    <x v="17"/>
    <x v="5"/>
    <x v="2"/>
    <n v="737.76"/>
  </r>
  <r>
    <x v="42"/>
    <s v="TUR"/>
    <x v="3"/>
    <x v="0"/>
    <x v="17"/>
    <x v="2"/>
    <x v="3"/>
    <n v="0"/>
  </r>
  <r>
    <x v="42"/>
    <s v="TUR"/>
    <x v="3"/>
    <x v="0"/>
    <x v="33"/>
    <x v="3"/>
    <x v="1"/>
    <n v="2185.8000000000002"/>
  </r>
  <r>
    <x v="42"/>
    <s v="TUR"/>
    <x v="3"/>
    <x v="0"/>
    <x v="33"/>
    <x v="4"/>
    <x v="0"/>
    <n v="-33219.07"/>
  </r>
  <r>
    <x v="42"/>
    <s v="TUR"/>
    <x v="3"/>
    <x v="0"/>
    <x v="33"/>
    <x v="4"/>
    <x v="3"/>
    <n v="0"/>
  </r>
  <r>
    <x v="42"/>
    <s v="TUR"/>
    <x v="3"/>
    <x v="0"/>
    <x v="18"/>
    <x v="6"/>
    <x v="3"/>
    <n v="0"/>
  </r>
  <r>
    <x v="42"/>
    <s v="TUR"/>
    <x v="3"/>
    <x v="0"/>
    <x v="18"/>
    <x v="4"/>
    <x v="1"/>
    <n v="-360.97"/>
  </r>
  <r>
    <x v="42"/>
    <s v="TUR"/>
    <x v="3"/>
    <x v="0"/>
    <x v="18"/>
    <x v="4"/>
    <x v="0"/>
    <n v="-38195.89"/>
  </r>
  <r>
    <x v="42"/>
    <s v="TUR"/>
    <x v="3"/>
    <x v="0"/>
    <x v="18"/>
    <x v="1"/>
    <x v="1"/>
    <n v="4299.22"/>
  </r>
  <r>
    <x v="42"/>
    <s v="TUR"/>
    <x v="3"/>
    <x v="0"/>
    <x v="19"/>
    <x v="0"/>
    <x v="1"/>
    <n v="1421.38"/>
  </r>
  <r>
    <x v="42"/>
    <s v="TUR"/>
    <x v="3"/>
    <x v="0"/>
    <x v="19"/>
    <x v="0"/>
    <x v="0"/>
    <n v="19154.89"/>
  </r>
  <r>
    <x v="42"/>
    <s v="TUR"/>
    <x v="3"/>
    <x v="0"/>
    <x v="19"/>
    <x v="4"/>
    <x v="1"/>
    <n v="-386.32"/>
  </r>
  <r>
    <x v="42"/>
    <s v="TUR"/>
    <x v="3"/>
    <x v="0"/>
    <x v="19"/>
    <x v="1"/>
    <x v="3"/>
    <n v="0"/>
  </r>
  <r>
    <x v="42"/>
    <s v="TUR"/>
    <x v="3"/>
    <x v="0"/>
    <x v="20"/>
    <x v="6"/>
    <x v="1"/>
    <n v="74534.759999999995"/>
  </r>
  <r>
    <x v="42"/>
    <s v="TUR"/>
    <x v="3"/>
    <x v="0"/>
    <x v="20"/>
    <x v="4"/>
    <x v="0"/>
    <n v="-39596.53"/>
  </r>
  <r>
    <x v="42"/>
    <s v="TUR"/>
    <x v="3"/>
    <x v="0"/>
    <x v="20"/>
    <x v="5"/>
    <x v="0"/>
    <n v="74140.09"/>
  </r>
  <r>
    <x v="42"/>
    <s v="TUR"/>
    <x v="3"/>
    <x v="0"/>
    <x v="20"/>
    <x v="2"/>
    <x v="0"/>
    <n v="22379.41"/>
  </r>
  <r>
    <x v="42"/>
    <s v="TUR"/>
    <x v="3"/>
    <x v="0"/>
    <x v="21"/>
    <x v="0"/>
    <x v="3"/>
    <n v="0"/>
  </r>
  <r>
    <x v="42"/>
    <s v="TUR"/>
    <x v="3"/>
    <x v="0"/>
    <x v="21"/>
    <x v="1"/>
    <x v="1"/>
    <n v="4048.77"/>
  </r>
  <r>
    <x v="42"/>
    <s v="TUR"/>
    <x v="3"/>
    <x v="0"/>
    <x v="22"/>
    <x v="0"/>
    <x v="0"/>
    <n v="21673.599999999999"/>
  </r>
  <r>
    <x v="42"/>
    <s v="TUR"/>
    <x v="3"/>
    <x v="0"/>
    <x v="22"/>
    <x v="3"/>
    <x v="3"/>
    <n v="2732.32"/>
  </r>
  <r>
    <x v="42"/>
    <s v="TUR"/>
    <x v="3"/>
    <x v="0"/>
    <x v="22"/>
    <x v="1"/>
    <x v="1"/>
    <n v="4381.63"/>
  </r>
  <r>
    <x v="42"/>
    <s v="TUR"/>
    <x v="3"/>
    <x v="0"/>
    <x v="22"/>
    <x v="2"/>
    <x v="1"/>
    <n v="127666.57"/>
  </r>
  <r>
    <x v="42"/>
    <s v="TUR"/>
    <x v="3"/>
    <x v="0"/>
    <x v="22"/>
    <x v="2"/>
    <x v="2"/>
    <n v="8951.89"/>
  </r>
  <r>
    <x v="42"/>
    <s v="TUR"/>
    <x v="3"/>
    <x v="0"/>
    <x v="23"/>
    <x v="6"/>
    <x v="3"/>
    <n v="0"/>
  </r>
  <r>
    <x v="42"/>
    <s v="TUR"/>
    <x v="3"/>
    <x v="0"/>
    <x v="23"/>
    <x v="6"/>
    <x v="2"/>
    <n v="21595.35"/>
  </r>
  <r>
    <x v="42"/>
    <s v="TUR"/>
    <x v="3"/>
    <x v="0"/>
    <x v="23"/>
    <x v="0"/>
    <x v="1"/>
    <n v="1505.63"/>
  </r>
  <r>
    <x v="42"/>
    <s v="TUR"/>
    <x v="3"/>
    <x v="0"/>
    <x v="23"/>
    <x v="5"/>
    <x v="3"/>
    <n v="0"/>
  </r>
  <r>
    <x v="42"/>
    <s v="TUR"/>
    <x v="3"/>
    <x v="0"/>
    <x v="23"/>
    <x v="5"/>
    <x v="2"/>
    <n v="776.47"/>
  </r>
  <r>
    <x v="42"/>
    <s v="TUR"/>
    <x v="3"/>
    <x v="0"/>
    <x v="23"/>
    <x v="2"/>
    <x v="0"/>
    <n v="25353.77"/>
  </r>
  <r>
    <x v="42"/>
    <s v="TUR"/>
    <x v="3"/>
    <x v="0"/>
    <x v="24"/>
    <x v="6"/>
    <x v="1"/>
    <n v="72100.37"/>
  </r>
  <r>
    <x v="42"/>
    <s v="TUR"/>
    <x v="3"/>
    <x v="0"/>
    <x v="24"/>
    <x v="0"/>
    <x v="3"/>
    <n v="0"/>
  </r>
  <r>
    <x v="42"/>
    <s v="TUR"/>
    <x v="3"/>
    <x v="0"/>
    <x v="24"/>
    <x v="5"/>
    <x v="1"/>
    <n v="1644.56"/>
  </r>
  <r>
    <x v="42"/>
    <s v="TUR"/>
    <x v="3"/>
    <x v="0"/>
    <x v="24"/>
    <x v="2"/>
    <x v="3"/>
    <n v="0"/>
  </r>
  <r>
    <x v="42"/>
    <s v="TUR"/>
    <x v="3"/>
    <x v="0"/>
    <x v="25"/>
    <x v="5"/>
    <x v="3"/>
    <n v="0"/>
  </r>
  <r>
    <x v="42"/>
    <s v="TUR"/>
    <x v="3"/>
    <x v="0"/>
    <x v="25"/>
    <x v="2"/>
    <x v="1"/>
    <n v="133321.5"/>
  </r>
  <r>
    <x v="42"/>
    <s v="TUR"/>
    <x v="3"/>
    <x v="0"/>
    <x v="26"/>
    <x v="3"/>
    <x v="2"/>
    <n v="2644.38"/>
  </r>
  <r>
    <x v="42"/>
    <s v="TUR"/>
    <x v="3"/>
    <x v="0"/>
    <x v="26"/>
    <x v="1"/>
    <x v="1"/>
    <n v="4739.6400000000003"/>
  </r>
  <r>
    <x v="42"/>
    <s v="TUR"/>
    <x v="3"/>
    <x v="0"/>
    <x v="34"/>
    <x v="1"/>
    <x v="2"/>
    <n v="2888.45"/>
  </r>
  <r>
    <x v="42"/>
    <s v="TUR"/>
    <x v="3"/>
    <x v="0"/>
    <x v="34"/>
    <x v="5"/>
    <x v="3"/>
    <n v="0"/>
  </r>
  <r>
    <x v="42"/>
    <s v="TUR"/>
    <x v="3"/>
    <x v="0"/>
    <x v="34"/>
    <x v="2"/>
    <x v="0"/>
    <n v="22070.06"/>
  </r>
  <r>
    <x v="42"/>
    <s v="TUR"/>
    <x v="3"/>
    <x v="0"/>
    <x v="34"/>
    <x v="2"/>
    <x v="3"/>
    <n v="0"/>
  </r>
  <r>
    <x v="42"/>
    <s v="TUR"/>
    <x v="3"/>
    <x v="0"/>
    <x v="27"/>
    <x v="4"/>
    <x v="2"/>
    <n v="-393.05"/>
  </r>
  <r>
    <x v="42"/>
    <s v="TUR"/>
    <x v="3"/>
    <x v="0"/>
    <x v="27"/>
    <x v="1"/>
    <x v="2"/>
    <n v="2890.15"/>
  </r>
  <r>
    <x v="42"/>
    <s v="TUR"/>
    <x v="3"/>
    <x v="0"/>
    <x v="27"/>
    <x v="5"/>
    <x v="3"/>
    <n v="0"/>
  </r>
  <r>
    <x v="42"/>
    <s v="TUR"/>
    <x v="3"/>
    <x v="0"/>
    <x v="28"/>
    <x v="3"/>
    <x v="0"/>
    <n v="42303.48"/>
  </r>
  <r>
    <x v="42"/>
    <s v="TUR"/>
    <x v="3"/>
    <x v="0"/>
    <x v="28"/>
    <x v="5"/>
    <x v="2"/>
    <n v="753.51"/>
  </r>
  <r>
    <x v="42"/>
    <s v="TUR"/>
    <x v="3"/>
    <x v="0"/>
    <x v="29"/>
    <x v="6"/>
    <x v="0"/>
    <n v="12176.93"/>
  </r>
  <r>
    <x v="42"/>
    <s v="TUR"/>
    <x v="3"/>
    <x v="0"/>
    <x v="29"/>
    <x v="0"/>
    <x v="0"/>
    <n v="22574.2"/>
  </r>
  <r>
    <x v="42"/>
    <s v="TUR"/>
    <x v="3"/>
    <x v="0"/>
    <x v="29"/>
    <x v="4"/>
    <x v="3"/>
    <n v="0"/>
  </r>
  <r>
    <x v="42"/>
    <s v="TUR"/>
    <x v="3"/>
    <x v="0"/>
    <x v="29"/>
    <x v="5"/>
    <x v="1"/>
    <n v="1682.48"/>
  </r>
  <r>
    <x v="42"/>
    <s v="TUR"/>
    <x v="3"/>
    <x v="0"/>
    <x v="30"/>
    <x v="6"/>
    <x v="2"/>
    <n v="24335.45"/>
  </r>
  <r>
    <x v="42"/>
    <s v="TUR"/>
    <x v="3"/>
    <x v="0"/>
    <x v="30"/>
    <x v="5"/>
    <x v="3"/>
    <n v="0"/>
  </r>
  <r>
    <x v="42"/>
    <s v="TUR"/>
    <x v="3"/>
    <x v="0"/>
    <x v="30"/>
    <x v="2"/>
    <x v="1"/>
    <n v="137932.04999999999"/>
  </r>
  <r>
    <x v="42"/>
    <s v="TUR"/>
    <x v="3"/>
    <x v="0"/>
    <x v="30"/>
    <x v="2"/>
    <x v="2"/>
    <n v="9293.66"/>
  </r>
  <r>
    <x v="42"/>
    <s v="TUR"/>
    <x v="3"/>
    <x v="0"/>
    <x v="31"/>
    <x v="0"/>
    <x v="0"/>
    <n v="23246.01"/>
  </r>
  <r>
    <x v="42"/>
    <s v="TUR"/>
    <x v="3"/>
    <x v="0"/>
    <x v="31"/>
    <x v="0"/>
    <x v="3"/>
    <n v="0"/>
  </r>
  <r>
    <x v="42"/>
    <s v="TUR"/>
    <x v="3"/>
    <x v="0"/>
    <x v="31"/>
    <x v="3"/>
    <x v="0"/>
    <n v="48597.8"/>
  </r>
  <r>
    <x v="42"/>
    <s v="TUR"/>
    <x v="3"/>
    <x v="0"/>
    <x v="31"/>
    <x v="4"/>
    <x v="3"/>
    <n v="0"/>
  </r>
  <r>
    <x v="42"/>
    <s v="TUR"/>
    <x v="3"/>
    <x v="0"/>
    <x v="31"/>
    <x v="2"/>
    <x v="2"/>
    <n v="8515.1"/>
  </r>
  <r>
    <x v="42"/>
    <s v="TUR"/>
    <x v="3"/>
    <x v="0"/>
    <x v="32"/>
    <x v="3"/>
    <x v="0"/>
    <n v="45908.27"/>
  </r>
  <r>
    <x v="42"/>
    <s v="TUR"/>
    <x v="3"/>
    <x v="0"/>
    <x v="32"/>
    <x v="4"/>
    <x v="1"/>
    <n v="-414.2"/>
  </r>
  <r>
    <x v="42"/>
    <s v="TUR"/>
    <x v="3"/>
    <x v="0"/>
    <x v="32"/>
    <x v="1"/>
    <x v="3"/>
    <n v="0"/>
  </r>
  <r>
    <x v="42"/>
    <s v="TUR"/>
    <x v="3"/>
    <x v="0"/>
    <x v="32"/>
    <x v="2"/>
    <x v="1"/>
    <n v="133060.16"/>
  </r>
  <r>
    <x v="43"/>
    <s v="UKR"/>
    <x v="4"/>
    <x v="2"/>
    <x v="0"/>
    <x v="6"/>
    <x v="3"/>
    <n v="0"/>
  </r>
  <r>
    <x v="43"/>
    <s v="UKR"/>
    <x v="4"/>
    <x v="2"/>
    <x v="0"/>
    <x v="3"/>
    <x v="0"/>
    <n v="7378.29"/>
  </r>
  <r>
    <x v="43"/>
    <s v="UKR"/>
    <x v="4"/>
    <x v="2"/>
    <x v="0"/>
    <x v="3"/>
    <x v="2"/>
    <n v="427.23"/>
  </r>
  <r>
    <x v="43"/>
    <s v="UKR"/>
    <x v="4"/>
    <x v="2"/>
    <x v="0"/>
    <x v="1"/>
    <x v="3"/>
    <n v="0"/>
  </r>
  <r>
    <x v="43"/>
    <s v="UKR"/>
    <x v="4"/>
    <x v="2"/>
    <x v="0"/>
    <x v="5"/>
    <x v="0"/>
    <n v="5278.05"/>
  </r>
  <r>
    <x v="43"/>
    <s v="UKR"/>
    <x v="4"/>
    <x v="2"/>
    <x v="1"/>
    <x v="4"/>
    <x v="2"/>
    <n v="-23.19"/>
  </r>
  <r>
    <x v="43"/>
    <s v="UKR"/>
    <x v="4"/>
    <x v="2"/>
    <x v="1"/>
    <x v="2"/>
    <x v="1"/>
    <n v="919.56"/>
  </r>
  <r>
    <x v="43"/>
    <s v="UKR"/>
    <x v="4"/>
    <x v="2"/>
    <x v="2"/>
    <x v="1"/>
    <x v="0"/>
    <n v="3166.34"/>
  </r>
  <r>
    <x v="43"/>
    <s v="UKR"/>
    <x v="4"/>
    <x v="2"/>
    <x v="2"/>
    <x v="2"/>
    <x v="1"/>
    <n v="937.62"/>
  </r>
  <r>
    <x v="43"/>
    <s v="UKR"/>
    <x v="4"/>
    <x v="2"/>
    <x v="2"/>
    <x v="2"/>
    <x v="0"/>
    <n v="161.62"/>
  </r>
  <r>
    <x v="43"/>
    <s v="UKR"/>
    <x v="4"/>
    <x v="2"/>
    <x v="3"/>
    <x v="6"/>
    <x v="2"/>
    <n v="1566.12"/>
  </r>
  <r>
    <x v="43"/>
    <s v="UKR"/>
    <x v="4"/>
    <x v="2"/>
    <x v="3"/>
    <x v="0"/>
    <x v="2"/>
    <n v="215.85"/>
  </r>
  <r>
    <x v="43"/>
    <s v="UKR"/>
    <x v="4"/>
    <x v="2"/>
    <x v="3"/>
    <x v="1"/>
    <x v="0"/>
    <n v="3149.35"/>
  </r>
  <r>
    <x v="43"/>
    <s v="UKR"/>
    <x v="4"/>
    <x v="2"/>
    <x v="4"/>
    <x v="3"/>
    <x v="1"/>
    <n v="504.39"/>
  </r>
  <r>
    <x v="43"/>
    <s v="UKR"/>
    <x v="4"/>
    <x v="2"/>
    <x v="4"/>
    <x v="3"/>
    <x v="2"/>
    <n v="539.6"/>
  </r>
  <r>
    <x v="43"/>
    <s v="UKR"/>
    <x v="4"/>
    <x v="2"/>
    <x v="5"/>
    <x v="0"/>
    <x v="3"/>
    <n v="0"/>
  </r>
  <r>
    <x v="43"/>
    <s v="UKR"/>
    <x v="4"/>
    <x v="2"/>
    <x v="5"/>
    <x v="4"/>
    <x v="3"/>
    <n v="0"/>
  </r>
  <r>
    <x v="43"/>
    <s v="UKR"/>
    <x v="4"/>
    <x v="2"/>
    <x v="5"/>
    <x v="2"/>
    <x v="0"/>
    <n v="163.38999999999999"/>
  </r>
  <r>
    <x v="43"/>
    <s v="UKR"/>
    <x v="4"/>
    <x v="2"/>
    <x v="6"/>
    <x v="4"/>
    <x v="3"/>
    <n v="0"/>
  </r>
  <r>
    <x v="43"/>
    <s v="UKR"/>
    <x v="4"/>
    <x v="2"/>
    <x v="6"/>
    <x v="5"/>
    <x v="2"/>
    <n v="67.069999999999993"/>
  </r>
  <r>
    <x v="43"/>
    <s v="UKR"/>
    <x v="4"/>
    <x v="2"/>
    <x v="7"/>
    <x v="3"/>
    <x v="1"/>
    <n v="535.66999999999996"/>
  </r>
  <r>
    <x v="43"/>
    <s v="UKR"/>
    <x v="4"/>
    <x v="2"/>
    <x v="7"/>
    <x v="3"/>
    <x v="0"/>
    <n v="7737.29"/>
  </r>
  <r>
    <x v="43"/>
    <s v="UKR"/>
    <x v="4"/>
    <x v="2"/>
    <x v="8"/>
    <x v="0"/>
    <x v="3"/>
    <n v="0"/>
  </r>
  <r>
    <x v="43"/>
    <s v="UKR"/>
    <x v="4"/>
    <x v="2"/>
    <x v="8"/>
    <x v="4"/>
    <x v="0"/>
    <n v="-2604.02"/>
  </r>
  <r>
    <x v="43"/>
    <s v="UKR"/>
    <x v="4"/>
    <x v="2"/>
    <x v="8"/>
    <x v="4"/>
    <x v="3"/>
    <n v="0"/>
  </r>
  <r>
    <x v="43"/>
    <s v="UKR"/>
    <x v="4"/>
    <x v="2"/>
    <x v="8"/>
    <x v="2"/>
    <x v="2"/>
    <n v="63.53"/>
  </r>
  <r>
    <x v="43"/>
    <s v="UKR"/>
    <x v="4"/>
    <x v="2"/>
    <x v="9"/>
    <x v="6"/>
    <x v="2"/>
    <n v="1728.72"/>
  </r>
  <r>
    <x v="43"/>
    <s v="UKR"/>
    <x v="4"/>
    <x v="2"/>
    <x v="9"/>
    <x v="5"/>
    <x v="3"/>
    <n v="0"/>
  </r>
  <r>
    <x v="43"/>
    <s v="UKR"/>
    <x v="4"/>
    <x v="2"/>
    <x v="10"/>
    <x v="4"/>
    <x v="2"/>
    <n v="-24.39"/>
  </r>
  <r>
    <x v="43"/>
    <s v="UKR"/>
    <x v="4"/>
    <x v="2"/>
    <x v="10"/>
    <x v="1"/>
    <x v="1"/>
    <n v="107.99"/>
  </r>
  <r>
    <x v="43"/>
    <s v="UKR"/>
    <x v="4"/>
    <x v="2"/>
    <x v="11"/>
    <x v="6"/>
    <x v="2"/>
    <n v="1880.96"/>
  </r>
  <r>
    <x v="43"/>
    <s v="UKR"/>
    <x v="4"/>
    <x v="2"/>
    <x v="11"/>
    <x v="3"/>
    <x v="2"/>
    <n v="518.30999999999995"/>
  </r>
  <r>
    <x v="43"/>
    <s v="UKR"/>
    <x v="4"/>
    <x v="2"/>
    <x v="11"/>
    <x v="5"/>
    <x v="3"/>
    <n v="0"/>
  </r>
  <r>
    <x v="43"/>
    <s v="UKR"/>
    <x v="4"/>
    <x v="2"/>
    <x v="11"/>
    <x v="2"/>
    <x v="0"/>
    <n v="195.65"/>
  </r>
  <r>
    <x v="43"/>
    <s v="UKR"/>
    <x v="4"/>
    <x v="2"/>
    <x v="11"/>
    <x v="2"/>
    <x v="2"/>
    <n v="58.37"/>
  </r>
  <r>
    <x v="43"/>
    <s v="UKR"/>
    <x v="4"/>
    <x v="2"/>
    <x v="12"/>
    <x v="6"/>
    <x v="0"/>
    <n v="878.8"/>
  </r>
  <r>
    <x v="43"/>
    <s v="UKR"/>
    <x v="4"/>
    <x v="2"/>
    <x v="12"/>
    <x v="1"/>
    <x v="0"/>
    <n v="3704.69"/>
  </r>
  <r>
    <x v="43"/>
    <s v="UKR"/>
    <x v="4"/>
    <x v="2"/>
    <x v="13"/>
    <x v="0"/>
    <x v="2"/>
    <n v="243.83"/>
  </r>
  <r>
    <x v="43"/>
    <s v="UKR"/>
    <x v="4"/>
    <x v="2"/>
    <x v="13"/>
    <x v="3"/>
    <x v="1"/>
    <n v="519.49"/>
  </r>
  <r>
    <x v="43"/>
    <s v="UKR"/>
    <x v="4"/>
    <x v="2"/>
    <x v="13"/>
    <x v="4"/>
    <x v="1"/>
    <n v="-27.97"/>
  </r>
  <r>
    <x v="43"/>
    <s v="UKR"/>
    <x v="4"/>
    <x v="2"/>
    <x v="14"/>
    <x v="6"/>
    <x v="0"/>
    <n v="1034.81"/>
  </r>
  <r>
    <x v="43"/>
    <s v="UKR"/>
    <x v="4"/>
    <x v="2"/>
    <x v="14"/>
    <x v="0"/>
    <x v="1"/>
    <n v="589.87"/>
  </r>
  <r>
    <x v="43"/>
    <s v="UKR"/>
    <x v="4"/>
    <x v="2"/>
    <x v="14"/>
    <x v="3"/>
    <x v="2"/>
    <n v="608.79999999999995"/>
  </r>
  <r>
    <x v="43"/>
    <s v="UKR"/>
    <x v="4"/>
    <x v="2"/>
    <x v="15"/>
    <x v="6"/>
    <x v="1"/>
    <n v="6738.67"/>
  </r>
  <r>
    <x v="43"/>
    <s v="UKR"/>
    <x v="4"/>
    <x v="2"/>
    <x v="15"/>
    <x v="1"/>
    <x v="0"/>
    <n v="3680.52"/>
  </r>
  <r>
    <x v="43"/>
    <s v="UKR"/>
    <x v="4"/>
    <x v="2"/>
    <x v="15"/>
    <x v="2"/>
    <x v="0"/>
    <n v="204.58"/>
  </r>
  <r>
    <x v="43"/>
    <s v="UKR"/>
    <x v="4"/>
    <x v="2"/>
    <x v="16"/>
    <x v="0"/>
    <x v="1"/>
    <n v="525.9"/>
  </r>
  <r>
    <x v="43"/>
    <s v="UKR"/>
    <x v="4"/>
    <x v="2"/>
    <x v="16"/>
    <x v="4"/>
    <x v="1"/>
    <n v="-26.87"/>
  </r>
  <r>
    <x v="43"/>
    <s v="UKR"/>
    <x v="4"/>
    <x v="2"/>
    <x v="16"/>
    <x v="4"/>
    <x v="2"/>
    <n v="-26.56"/>
  </r>
  <r>
    <x v="43"/>
    <s v="UKR"/>
    <x v="4"/>
    <x v="2"/>
    <x v="16"/>
    <x v="1"/>
    <x v="2"/>
    <n v="73.78"/>
  </r>
  <r>
    <x v="43"/>
    <s v="UKR"/>
    <x v="4"/>
    <x v="2"/>
    <x v="16"/>
    <x v="2"/>
    <x v="3"/>
    <n v="0"/>
  </r>
  <r>
    <x v="43"/>
    <s v="UKR"/>
    <x v="4"/>
    <x v="2"/>
    <x v="17"/>
    <x v="6"/>
    <x v="3"/>
    <n v="0"/>
  </r>
  <r>
    <x v="43"/>
    <s v="UKR"/>
    <x v="4"/>
    <x v="2"/>
    <x v="17"/>
    <x v="0"/>
    <x v="3"/>
    <n v="0"/>
  </r>
  <r>
    <x v="43"/>
    <s v="UKR"/>
    <x v="4"/>
    <x v="2"/>
    <x v="17"/>
    <x v="3"/>
    <x v="0"/>
    <n v="9248.0400000000009"/>
  </r>
  <r>
    <x v="43"/>
    <s v="UKR"/>
    <x v="4"/>
    <x v="2"/>
    <x v="17"/>
    <x v="3"/>
    <x v="3"/>
    <n v="631.69000000000005"/>
  </r>
  <r>
    <x v="43"/>
    <s v="UKR"/>
    <x v="4"/>
    <x v="2"/>
    <x v="17"/>
    <x v="1"/>
    <x v="3"/>
    <n v="0"/>
  </r>
  <r>
    <x v="43"/>
    <s v="UKR"/>
    <x v="4"/>
    <x v="2"/>
    <x v="33"/>
    <x v="6"/>
    <x v="3"/>
    <n v="0"/>
  </r>
  <r>
    <x v="43"/>
    <s v="UKR"/>
    <x v="4"/>
    <x v="2"/>
    <x v="33"/>
    <x v="3"/>
    <x v="1"/>
    <n v="614"/>
  </r>
  <r>
    <x v="43"/>
    <s v="UKR"/>
    <x v="4"/>
    <x v="2"/>
    <x v="33"/>
    <x v="3"/>
    <x v="2"/>
    <n v="649.29"/>
  </r>
  <r>
    <x v="43"/>
    <s v="UKR"/>
    <x v="4"/>
    <x v="2"/>
    <x v="18"/>
    <x v="6"/>
    <x v="1"/>
    <n v="7955.78"/>
  </r>
  <r>
    <x v="43"/>
    <s v="UKR"/>
    <x v="4"/>
    <x v="2"/>
    <x v="18"/>
    <x v="3"/>
    <x v="1"/>
    <n v="631.94000000000005"/>
  </r>
  <r>
    <x v="43"/>
    <s v="UKR"/>
    <x v="4"/>
    <x v="2"/>
    <x v="18"/>
    <x v="4"/>
    <x v="2"/>
    <n v="-30.24"/>
  </r>
  <r>
    <x v="43"/>
    <s v="UKR"/>
    <x v="4"/>
    <x v="2"/>
    <x v="20"/>
    <x v="2"/>
    <x v="0"/>
    <n v="241.43"/>
  </r>
  <r>
    <x v="43"/>
    <s v="UKR"/>
    <x v="4"/>
    <x v="2"/>
    <x v="21"/>
    <x v="4"/>
    <x v="1"/>
    <n v="-30.64"/>
  </r>
  <r>
    <x v="43"/>
    <s v="UKR"/>
    <x v="4"/>
    <x v="2"/>
    <x v="22"/>
    <x v="0"/>
    <x v="0"/>
    <n v="8456.9699999999993"/>
  </r>
  <r>
    <x v="43"/>
    <s v="UKR"/>
    <x v="4"/>
    <x v="2"/>
    <x v="22"/>
    <x v="3"/>
    <x v="1"/>
    <n v="573.24"/>
  </r>
  <r>
    <x v="43"/>
    <s v="UKR"/>
    <x v="4"/>
    <x v="2"/>
    <x v="22"/>
    <x v="1"/>
    <x v="3"/>
    <n v="0"/>
  </r>
  <r>
    <x v="43"/>
    <s v="UKR"/>
    <x v="4"/>
    <x v="2"/>
    <x v="22"/>
    <x v="2"/>
    <x v="1"/>
    <n v="1249.0999999999999"/>
  </r>
  <r>
    <x v="43"/>
    <s v="UKR"/>
    <x v="4"/>
    <x v="2"/>
    <x v="23"/>
    <x v="0"/>
    <x v="2"/>
    <n v="280.75"/>
  </r>
  <r>
    <x v="43"/>
    <s v="UKR"/>
    <x v="4"/>
    <x v="2"/>
    <x v="23"/>
    <x v="5"/>
    <x v="3"/>
    <n v="0"/>
  </r>
  <r>
    <x v="43"/>
    <s v="UKR"/>
    <x v="4"/>
    <x v="2"/>
    <x v="24"/>
    <x v="6"/>
    <x v="3"/>
    <n v="0"/>
  </r>
  <r>
    <x v="43"/>
    <s v="UKR"/>
    <x v="4"/>
    <x v="2"/>
    <x v="24"/>
    <x v="0"/>
    <x v="0"/>
    <n v="8111.06"/>
  </r>
  <r>
    <x v="43"/>
    <s v="UKR"/>
    <x v="4"/>
    <x v="2"/>
    <x v="24"/>
    <x v="3"/>
    <x v="1"/>
    <n v="620.39"/>
  </r>
  <r>
    <x v="43"/>
    <s v="UKR"/>
    <x v="4"/>
    <x v="2"/>
    <x v="24"/>
    <x v="4"/>
    <x v="0"/>
    <n v="-3041.95"/>
  </r>
  <r>
    <x v="43"/>
    <s v="UKR"/>
    <x v="4"/>
    <x v="2"/>
    <x v="24"/>
    <x v="1"/>
    <x v="3"/>
    <n v="0"/>
  </r>
  <r>
    <x v="43"/>
    <s v="UKR"/>
    <x v="4"/>
    <x v="2"/>
    <x v="25"/>
    <x v="6"/>
    <x v="0"/>
    <n v="1186.1500000000001"/>
  </r>
  <r>
    <x v="43"/>
    <s v="UKR"/>
    <x v="4"/>
    <x v="2"/>
    <x v="25"/>
    <x v="3"/>
    <x v="3"/>
    <n v="629.78"/>
  </r>
  <r>
    <x v="43"/>
    <s v="UKR"/>
    <x v="4"/>
    <x v="2"/>
    <x v="26"/>
    <x v="0"/>
    <x v="1"/>
    <n v="605.95000000000005"/>
  </r>
  <r>
    <x v="43"/>
    <s v="UKR"/>
    <x v="4"/>
    <x v="2"/>
    <x v="26"/>
    <x v="0"/>
    <x v="2"/>
    <n v="252.8"/>
  </r>
  <r>
    <x v="43"/>
    <s v="UKR"/>
    <x v="4"/>
    <x v="2"/>
    <x v="26"/>
    <x v="4"/>
    <x v="1"/>
    <n v="-29.43"/>
  </r>
  <r>
    <x v="43"/>
    <s v="UKR"/>
    <x v="4"/>
    <x v="2"/>
    <x v="26"/>
    <x v="1"/>
    <x v="0"/>
    <n v="4195.3999999999996"/>
  </r>
  <r>
    <x v="43"/>
    <s v="UKR"/>
    <x v="4"/>
    <x v="2"/>
    <x v="26"/>
    <x v="2"/>
    <x v="2"/>
    <n v="72.47"/>
  </r>
  <r>
    <x v="43"/>
    <s v="UKR"/>
    <x v="4"/>
    <x v="2"/>
    <x v="34"/>
    <x v="1"/>
    <x v="0"/>
    <n v="4299.8"/>
  </r>
  <r>
    <x v="43"/>
    <s v="UKR"/>
    <x v="4"/>
    <x v="2"/>
    <x v="34"/>
    <x v="5"/>
    <x v="2"/>
    <n v="86.4"/>
  </r>
  <r>
    <x v="43"/>
    <s v="UKR"/>
    <x v="4"/>
    <x v="2"/>
    <x v="34"/>
    <x v="2"/>
    <x v="3"/>
    <n v="0"/>
  </r>
  <r>
    <x v="43"/>
    <s v="UKR"/>
    <x v="4"/>
    <x v="2"/>
    <x v="27"/>
    <x v="6"/>
    <x v="1"/>
    <n v="8520.8799999999992"/>
  </r>
  <r>
    <x v="43"/>
    <s v="UKR"/>
    <x v="4"/>
    <x v="2"/>
    <x v="27"/>
    <x v="6"/>
    <x v="2"/>
    <n v="2059.5300000000002"/>
  </r>
  <r>
    <x v="43"/>
    <s v="UKR"/>
    <x v="4"/>
    <x v="2"/>
    <x v="28"/>
    <x v="2"/>
    <x v="3"/>
    <n v="0"/>
  </r>
  <r>
    <x v="43"/>
    <s v="UKR"/>
    <x v="4"/>
    <x v="2"/>
    <x v="30"/>
    <x v="4"/>
    <x v="1"/>
    <n v="-29.68"/>
  </r>
  <r>
    <x v="43"/>
    <s v="UKR"/>
    <x v="4"/>
    <x v="2"/>
    <x v="31"/>
    <x v="6"/>
    <x v="0"/>
    <n v="958.36"/>
  </r>
  <r>
    <x v="43"/>
    <s v="UKR"/>
    <x v="4"/>
    <x v="2"/>
    <x v="31"/>
    <x v="3"/>
    <x v="0"/>
    <n v="10739.05"/>
  </r>
  <r>
    <x v="43"/>
    <s v="UKR"/>
    <x v="4"/>
    <x v="2"/>
    <x v="32"/>
    <x v="6"/>
    <x v="0"/>
    <n v="1157.2"/>
  </r>
  <r>
    <x v="43"/>
    <s v="UKR"/>
    <x v="4"/>
    <x v="2"/>
    <x v="32"/>
    <x v="0"/>
    <x v="1"/>
    <n v="693.79"/>
  </r>
  <r>
    <x v="43"/>
    <s v="UKR"/>
    <x v="4"/>
    <x v="2"/>
    <x v="32"/>
    <x v="3"/>
    <x v="1"/>
    <n v="682.08"/>
  </r>
  <r>
    <x v="43"/>
    <s v="UKR"/>
    <x v="4"/>
    <x v="2"/>
    <x v="32"/>
    <x v="4"/>
    <x v="0"/>
    <n v="-3004.3"/>
  </r>
  <r>
    <x v="44"/>
    <s v="ARE"/>
    <x v="3"/>
    <x v="1"/>
    <x v="0"/>
    <x v="1"/>
    <x v="1"/>
    <n v="5836.05"/>
  </r>
  <r>
    <x v="44"/>
    <s v="ARE"/>
    <x v="3"/>
    <x v="1"/>
    <x v="0"/>
    <x v="5"/>
    <x v="2"/>
    <n v="558.99"/>
  </r>
  <r>
    <x v="44"/>
    <s v="ARE"/>
    <x v="3"/>
    <x v="1"/>
    <x v="0"/>
    <x v="2"/>
    <x v="1"/>
    <n v="21984.05"/>
  </r>
  <r>
    <x v="44"/>
    <s v="ARE"/>
    <x v="3"/>
    <x v="1"/>
    <x v="1"/>
    <x v="6"/>
    <x v="0"/>
    <n v="1913.45"/>
  </r>
  <r>
    <x v="44"/>
    <s v="ARE"/>
    <x v="3"/>
    <x v="1"/>
    <x v="1"/>
    <x v="0"/>
    <x v="0"/>
    <n v="72844.679999999993"/>
  </r>
  <r>
    <x v="44"/>
    <s v="ARE"/>
    <x v="3"/>
    <x v="1"/>
    <x v="1"/>
    <x v="4"/>
    <x v="1"/>
    <n v="-160.59"/>
  </r>
  <r>
    <x v="44"/>
    <s v="ARE"/>
    <x v="3"/>
    <x v="1"/>
    <x v="2"/>
    <x v="3"/>
    <x v="3"/>
    <n v="1796.4"/>
  </r>
  <r>
    <x v="44"/>
    <s v="ARE"/>
    <x v="3"/>
    <x v="1"/>
    <x v="2"/>
    <x v="4"/>
    <x v="1"/>
    <n v="-160.22999999999999"/>
  </r>
  <r>
    <x v="44"/>
    <s v="ARE"/>
    <x v="3"/>
    <x v="1"/>
    <x v="3"/>
    <x v="6"/>
    <x v="2"/>
    <n v="3378.64"/>
  </r>
  <r>
    <x v="44"/>
    <s v="ARE"/>
    <x v="3"/>
    <x v="1"/>
    <x v="3"/>
    <x v="5"/>
    <x v="2"/>
    <n v="579.91999999999996"/>
  </r>
  <r>
    <x v="44"/>
    <s v="ARE"/>
    <x v="3"/>
    <x v="1"/>
    <x v="3"/>
    <x v="2"/>
    <x v="1"/>
    <n v="21108.65"/>
  </r>
  <r>
    <x v="44"/>
    <s v="ARE"/>
    <x v="3"/>
    <x v="1"/>
    <x v="3"/>
    <x v="2"/>
    <x v="0"/>
    <n v="3782.46"/>
  </r>
  <r>
    <x v="44"/>
    <s v="ARE"/>
    <x v="3"/>
    <x v="1"/>
    <x v="3"/>
    <x v="2"/>
    <x v="3"/>
    <n v="0"/>
  </r>
  <r>
    <x v="44"/>
    <s v="ARE"/>
    <x v="3"/>
    <x v="1"/>
    <x v="4"/>
    <x v="6"/>
    <x v="0"/>
    <n v="1816.94"/>
  </r>
  <r>
    <x v="44"/>
    <s v="ARE"/>
    <x v="3"/>
    <x v="1"/>
    <x v="5"/>
    <x v="3"/>
    <x v="2"/>
    <n v="1702.43"/>
  </r>
  <r>
    <x v="44"/>
    <s v="ARE"/>
    <x v="3"/>
    <x v="1"/>
    <x v="5"/>
    <x v="5"/>
    <x v="0"/>
    <n v="66097.429999999993"/>
  </r>
  <r>
    <x v="44"/>
    <s v="ARE"/>
    <x v="3"/>
    <x v="1"/>
    <x v="5"/>
    <x v="2"/>
    <x v="0"/>
    <n v="4586.97"/>
  </r>
  <r>
    <x v="44"/>
    <s v="ARE"/>
    <x v="3"/>
    <x v="1"/>
    <x v="6"/>
    <x v="4"/>
    <x v="3"/>
    <n v="0"/>
  </r>
  <r>
    <x v="44"/>
    <s v="ARE"/>
    <x v="3"/>
    <x v="1"/>
    <x v="6"/>
    <x v="5"/>
    <x v="2"/>
    <n v="603.19000000000005"/>
  </r>
  <r>
    <x v="44"/>
    <s v="ARE"/>
    <x v="3"/>
    <x v="1"/>
    <x v="7"/>
    <x v="0"/>
    <x v="1"/>
    <n v="4688.9799999999996"/>
  </r>
  <r>
    <x v="44"/>
    <s v="ARE"/>
    <x v="3"/>
    <x v="1"/>
    <x v="7"/>
    <x v="5"/>
    <x v="3"/>
    <n v="0"/>
  </r>
  <r>
    <x v="44"/>
    <s v="ARE"/>
    <x v="3"/>
    <x v="1"/>
    <x v="8"/>
    <x v="6"/>
    <x v="2"/>
    <n v="3848.79"/>
  </r>
  <r>
    <x v="44"/>
    <s v="ARE"/>
    <x v="3"/>
    <x v="1"/>
    <x v="8"/>
    <x v="0"/>
    <x v="3"/>
    <n v="0"/>
  </r>
  <r>
    <x v="44"/>
    <s v="ARE"/>
    <x v="3"/>
    <x v="1"/>
    <x v="8"/>
    <x v="3"/>
    <x v="1"/>
    <n v="1600.67"/>
  </r>
  <r>
    <x v="44"/>
    <s v="ARE"/>
    <x v="3"/>
    <x v="1"/>
    <x v="8"/>
    <x v="3"/>
    <x v="0"/>
    <n v="28938.26"/>
  </r>
  <r>
    <x v="44"/>
    <s v="ARE"/>
    <x v="3"/>
    <x v="1"/>
    <x v="8"/>
    <x v="4"/>
    <x v="2"/>
    <n v="-173.37"/>
  </r>
  <r>
    <x v="44"/>
    <s v="ARE"/>
    <x v="3"/>
    <x v="1"/>
    <x v="8"/>
    <x v="5"/>
    <x v="2"/>
    <n v="653.92999999999995"/>
  </r>
  <r>
    <x v="44"/>
    <s v="ARE"/>
    <x v="3"/>
    <x v="1"/>
    <x v="9"/>
    <x v="3"/>
    <x v="1"/>
    <n v="1771.46"/>
  </r>
  <r>
    <x v="44"/>
    <s v="ARE"/>
    <x v="3"/>
    <x v="1"/>
    <x v="9"/>
    <x v="1"/>
    <x v="2"/>
    <n v="3936.35"/>
  </r>
  <r>
    <x v="44"/>
    <s v="ARE"/>
    <x v="3"/>
    <x v="1"/>
    <x v="9"/>
    <x v="5"/>
    <x v="0"/>
    <n v="58675.68"/>
  </r>
  <r>
    <x v="44"/>
    <s v="ARE"/>
    <x v="3"/>
    <x v="1"/>
    <x v="9"/>
    <x v="2"/>
    <x v="1"/>
    <n v="22213.99"/>
  </r>
  <r>
    <x v="44"/>
    <s v="ARE"/>
    <x v="3"/>
    <x v="1"/>
    <x v="9"/>
    <x v="2"/>
    <x v="0"/>
    <n v="4188.78"/>
  </r>
  <r>
    <x v="44"/>
    <s v="ARE"/>
    <x v="3"/>
    <x v="1"/>
    <x v="10"/>
    <x v="4"/>
    <x v="3"/>
    <n v="0"/>
  </r>
  <r>
    <x v="44"/>
    <s v="ARE"/>
    <x v="3"/>
    <x v="1"/>
    <x v="10"/>
    <x v="2"/>
    <x v="3"/>
    <n v="0"/>
  </r>
  <r>
    <x v="44"/>
    <s v="ARE"/>
    <x v="3"/>
    <x v="1"/>
    <x v="11"/>
    <x v="6"/>
    <x v="0"/>
    <n v="1712.57"/>
  </r>
  <r>
    <x v="44"/>
    <s v="ARE"/>
    <x v="3"/>
    <x v="1"/>
    <x v="11"/>
    <x v="1"/>
    <x v="2"/>
    <n v="3455.57"/>
  </r>
  <r>
    <x v="44"/>
    <s v="ARE"/>
    <x v="3"/>
    <x v="1"/>
    <x v="11"/>
    <x v="5"/>
    <x v="1"/>
    <n v="1240.08"/>
  </r>
  <r>
    <x v="44"/>
    <s v="ARE"/>
    <x v="3"/>
    <x v="1"/>
    <x v="12"/>
    <x v="0"/>
    <x v="2"/>
    <n v="2405.81"/>
  </r>
  <r>
    <x v="44"/>
    <s v="ARE"/>
    <x v="3"/>
    <x v="1"/>
    <x v="12"/>
    <x v="5"/>
    <x v="1"/>
    <n v="1323.39"/>
  </r>
  <r>
    <x v="44"/>
    <s v="ARE"/>
    <x v="3"/>
    <x v="1"/>
    <x v="12"/>
    <x v="2"/>
    <x v="3"/>
    <n v="0"/>
  </r>
  <r>
    <x v="44"/>
    <s v="ARE"/>
    <x v="3"/>
    <x v="1"/>
    <x v="13"/>
    <x v="6"/>
    <x v="3"/>
    <n v="0"/>
  </r>
  <r>
    <x v="44"/>
    <s v="ARE"/>
    <x v="3"/>
    <x v="1"/>
    <x v="13"/>
    <x v="3"/>
    <x v="0"/>
    <n v="27731.24"/>
  </r>
  <r>
    <x v="44"/>
    <s v="ARE"/>
    <x v="3"/>
    <x v="1"/>
    <x v="13"/>
    <x v="3"/>
    <x v="3"/>
    <n v="1835.07"/>
  </r>
  <r>
    <x v="44"/>
    <s v="ARE"/>
    <x v="3"/>
    <x v="1"/>
    <x v="14"/>
    <x v="1"/>
    <x v="2"/>
    <n v="3659.15"/>
  </r>
  <r>
    <x v="44"/>
    <s v="ARE"/>
    <x v="3"/>
    <x v="1"/>
    <x v="14"/>
    <x v="5"/>
    <x v="3"/>
    <n v="0"/>
  </r>
  <r>
    <x v="44"/>
    <s v="ARE"/>
    <x v="3"/>
    <x v="1"/>
    <x v="14"/>
    <x v="2"/>
    <x v="2"/>
    <n v="1471.08"/>
  </r>
  <r>
    <x v="44"/>
    <s v="ARE"/>
    <x v="3"/>
    <x v="1"/>
    <x v="15"/>
    <x v="2"/>
    <x v="1"/>
    <n v="20925.759999999998"/>
  </r>
  <r>
    <x v="44"/>
    <s v="ARE"/>
    <x v="3"/>
    <x v="1"/>
    <x v="16"/>
    <x v="0"/>
    <x v="1"/>
    <n v="4827.7"/>
  </r>
  <r>
    <x v="44"/>
    <s v="ARE"/>
    <x v="3"/>
    <x v="1"/>
    <x v="16"/>
    <x v="0"/>
    <x v="3"/>
    <n v="0"/>
  </r>
  <r>
    <x v="44"/>
    <s v="ARE"/>
    <x v="3"/>
    <x v="1"/>
    <x v="16"/>
    <x v="0"/>
    <x v="2"/>
    <n v="2062.9299999999998"/>
  </r>
  <r>
    <x v="44"/>
    <s v="ARE"/>
    <x v="3"/>
    <x v="1"/>
    <x v="16"/>
    <x v="1"/>
    <x v="1"/>
    <n v="5297.29"/>
  </r>
  <r>
    <x v="44"/>
    <s v="ARE"/>
    <x v="3"/>
    <x v="1"/>
    <x v="16"/>
    <x v="2"/>
    <x v="0"/>
    <n v="4122.71"/>
  </r>
  <r>
    <x v="44"/>
    <s v="ARE"/>
    <x v="3"/>
    <x v="1"/>
    <x v="16"/>
    <x v="2"/>
    <x v="2"/>
    <n v="1353.09"/>
  </r>
  <r>
    <x v="44"/>
    <s v="ARE"/>
    <x v="3"/>
    <x v="1"/>
    <x v="17"/>
    <x v="0"/>
    <x v="3"/>
    <n v="0"/>
  </r>
  <r>
    <x v="44"/>
    <s v="ARE"/>
    <x v="3"/>
    <x v="1"/>
    <x v="17"/>
    <x v="0"/>
    <x v="2"/>
    <n v="2150.9699999999998"/>
  </r>
  <r>
    <x v="44"/>
    <s v="ARE"/>
    <x v="3"/>
    <x v="1"/>
    <x v="17"/>
    <x v="1"/>
    <x v="3"/>
    <n v="0"/>
  </r>
  <r>
    <x v="44"/>
    <s v="ARE"/>
    <x v="3"/>
    <x v="1"/>
    <x v="17"/>
    <x v="2"/>
    <x v="0"/>
    <n v="4290.3599999999997"/>
  </r>
  <r>
    <x v="44"/>
    <s v="ARE"/>
    <x v="3"/>
    <x v="1"/>
    <x v="33"/>
    <x v="6"/>
    <x v="0"/>
    <n v="1904.83"/>
  </r>
  <r>
    <x v="44"/>
    <s v="ARE"/>
    <x v="3"/>
    <x v="1"/>
    <x v="33"/>
    <x v="3"/>
    <x v="2"/>
    <n v="1753.54"/>
  </r>
  <r>
    <x v="44"/>
    <s v="ARE"/>
    <x v="3"/>
    <x v="1"/>
    <x v="33"/>
    <x v="1"/>
    <x v="0"/>
    <n v="189678.47"/>
  </r>
  <r>
    <x v="44"/>
    <s v="ARE"/>
    <x v="3"/>
    <x v="1"/>
    <x v="18"/>
    <x v="6"/>
    <x v="1"/>
    <n v="14421.52"/>
  </r>
  <r>
    <x v="44"/>
    <s v="ARE"/>
    <x v="3"/>
    <x v="1"/>
    <x v="18"/>
    <x v="0"/>
    <x v="1"/>
    <n v="5532.3"/>
  </r>
  <r>
    <x v="44"/>
    <s v="ARE"/>
    <x v="3"/>
    <x v="1"/>
    <x v="18"/>
    <x v="5"/>
    <x v="3"/>
    <n v="0"/>
  </r>
  <r>
    <x v="44"/>
    <s v="ARE"/>
    <x v="3"/>
    <x v="1"/>
    <x v="18"/>
    <x v="2"/>
    <x v="1"/>
    <n v="21399.1"/>
  </r>
  <r>
    <x v="44"/>
    <s v="ARE"/>
    <x v="3"/>
    <x v="1"/>
    <x v="20"/>
    <x v="0"/>
    <x v="3"/>
    <n v="0"/>
  </r>
  <r>
    <x v="44"/>
    <s v="ARE"/>
    <x v="3"/>
    <x v="1"/>
    <x v="20"/>
    <x v="3"/>
    <x v="0"/>
    <n v="23893.93"/>
  </r>
  <r>
    <x v="44"/>
    <s v="ARE"/>
    <x v="3"/>
    <x v="1"/>
    <x v="20"/>
    <x v="2"/>
    <x v="0"/>
    <n v="3678.39"/>
  </r>
  <r>
    <x v="44"/>
    <s v="ARE"/>
    <x v="3"/>
    <x v="1"/>
    <x v="20"/>
    <x v="2"/>
    <x v="3"/>
    <n v="0"/>
  </r>
  <r>
    <x v="44"/>
    <s v="ARE"/>
    <x v="3"/>
    <x v="1"/>
    <x v="21"/>
    <x v="4"/>
    <x v="3"/>
    <n v="0"/>
  </r>
  <r>
    <x v="44"/>
    <s v="ARE"/>
    <x v="3"/>
    <x v="1"/>
    <x v="21"/>
    <x v="1"/>
    <x v="0"/>
    <n v="165519.37"/>
  </r>
  <r>
    <x v="44"/>
    <s v="ARE"/>
    <x v="3"/>
    <x v="1"/>
    <x v="23"/>
    <x v="6"/>
    <x v="3"/>
    <n v="0"/>
  </r>
  <r>
    <x v="44"/>
    <s v="ARE"/>
    <x v="3"/>
    <x v="1"/>
    <x v="23"/>
    <x v="0"/>
    <x v="1"/>
    <n v="5232.05"/>
  </r>
  <r>
    <x v="44"/>
    <s v="ARE"/>
    <x v="3"/>
    <x v="1"/>
    <x v="23"/>
    <x v="0"/>
    <x v="2"/>
    <n v="2098.1999999999998"/>
  </r>
  <r>
    <x v="44"/>
    <s v="ARE"/>
    <x v="3"/>
    <x v="1"/>
    <x v="23"/>
    <x v="3"/>
    <x v="1"/>
    <n v="1719.53"/>
  </r>
  <r>
    <x v="44"/>
    <s v="ARE"/>
    <x v="3"/>
    <x v="1"/>
    <x v="23"/>
    <x v="3"/>
    <x v="2"/>
    <n v="1645.53"/>
  </r>
  <r>
    <x v="44"/>
    <s v="ARE"/>
    <x v="3"/>
    <x v="1"/>
    <x v="23"/>
    <x v="4"/>
    <x v="3"/>
    <n v="0"/>
  </r>
  <r>
    <x v="44"/>
    <s v="ARE"/>
    <x v="3"/>
    <x v="1"/>
    <x v="24"/>
    <x v="6"/>
    <x v="3"/>
    <n v="0"/>
  </r>
  <r>
    <x v="44"/>
    <s v="ARE"/>
    <x v="3"/>
    <x v="1"/>
    <x v="24"/>
    <x v="4"/>
    <x v="2"/>
    <n v="-154.62"/>
  </r>
  <r>
    <x v="44"/>
    <s v="ARE"/>
    <x v="3"/>
    <x v="1"/>
    <x v="25"/>
    <x v="6"/>
    <x v="2"/>
    <n v="3886.47"/>
  </r>
  <r>
    <x v="44"/>
    <s v="ARE"/>
    <x v="3"/>
    <x v="1"/>
    <x v="25"/>
    <x v="4"/>
    <x v="1"/>
    <n v="-162.55000000000001"/>
  </r>
  <r>
    <x v="44"/>
    <s v="ARE"/>
    <x v="3"/>
    <x v="1"/>
    <x v="25"/>
    <x v="4"/>
    <x v="3"/>
    <n v="0"/>
  </r>
  <r>
    <x v="44"/>
    <s v="ARE"/>
    <x v="3"/>
    <x v="1"/>
    <x v="25"/>
    <x v="5"/>
    <x v="2"/>
    <n v="548.91999999999996"/>
  </r>
  <r>
    <x v="44"/>
    <s v="ARE"/>
    <x v="3"/>
    <x v="1"/>
    <x v="26"/>
    <x v="1"/>
    <x v="3"/>
    <n v="0"/>
  </r>
  <r>
    <x v="44"/>
    <s v="ARE"/>
    <x v="3"/>
    <x v="1"/>
    <x v="26"/>
    <x v="5"/>
    <x v="3"/>
    <n v="0"/>
  </r>
  <r>
    <x v="44"/>
    <s v="ARE"/>
    <x v="3"/>
    <x v="1"/>
    <x v="26"/>
    <x v="2"/>
    <x v="1"/>
    <n v="22114.29"/>
  </r>
  <r>
    <x v="44"/>
    <s v="ARE"/>
    <x v="3"/>
    <x v="1"/>
    <x v="34"/>
    <x v="4"/>
    <x v="2"/>
    <n v="-156.87"/>
  </r>
  <r>
    <x v="44"/>
    <s v="ARE"/>
    <x v="3"/>
    <x v="1"/>
    <x v="27"/>
    <x v="0"/>
    <x v="0"/>
    <n v="57476.51"/>
  </r>
  <r>
    <x v="44"/>
    <s v="ARE"/>
    <x v="3"/>
    <x v="1"/>
    <x v="27"/>
    <x v="0"/>
    <x v="2"/>
    <n v="1946.63"/>
  </r>
  <r>
    <x v="44"/>
    <s v="ARE"/>
    <x v="3"/>
    <x v="1"/>
    <x v="27"/>
    <x v="3"/>
    <x v="3"/>
    <n v="1507.09"/>
  </r>
  <r>
    <x v="44"/>
    <s v="ARE"/>
    <x v="3"/>
    <x v="1"/>
    <x v="27"/>
    <x v="5"/>
    <x v="3"/>
    <n v="0"/>
  </r>
  <r>
    <x v="44"/>
    <s v="ARE"/>
    <x v="3"/>
    <x v="1"/>
    <x v="28"/>
    <x v="1"/>
    <x v="1"/>
    <n v="4707.58"/>
  </r>
  <r>
    <x v="44"/>
    <s v="ARE"/>
    <x v="3"/>
    <x v="1"/>
    <x v="28"/>
    <x v="5"/>
    <x v="3"/>
    <n v="0"/>
  </r>
  <r>
    <x v="44"/>
    <s v="ARE"/>
    <x v="3"/>
    <x v="1"/>
    <x v="28"/>
    <x v="2"/>
    <x v="2"/>
    <n v="1146.1199999999999"/>
  </r>
  <r>
    <x v="44"/>
    <s v="ARE"/>
    <x v="3"/>
    <x v="1"/>
    <x v="29"/>
    <x v="0"/>
    <x v="0"/>
    <n v="50400.42"/>
  </r>
  <r>
    <x v="44"/>
    <s v="ARE"/>
    <x v="3"/>
    <x v="1"/>
    <x v="29"/>
    <x v="4"/>
    <x v="0"/>
    <n v="-12858.33"/>
  </r>
  <r>
    <x v="44"/>
    <s v="ARE"/>
    <x v="3"/>
    <x v="1"/>
    <x v="29"/>
    <x v="1"/>
    <x v="0"/>
    <n v="146130.46"/>
  </r>
  <r>
    <x v="44"/>
    <s v="ARE"/>
    <x v="3"/>
    <x v="1"/>
    <x v="29"/>
    <x v="5"/>
    <x v="1"/>
    <n v="1026.4000000000001"/>
  </r>
  <r>
    <x v="44"/>
    <s v="ARE"/>
    <x v="3"/>
    <x v="1"/>
    <x v="30"/>
    <x v="0"/>
    <x v="3"/>
    <n v="0"/>
  </r>
  <r>
    <x v="44"/>
    <s v="ARE"/>
    <x v="3"/>
    <x v="1"/>
    <x v="30"/>
    <x v="1"/>
    <x v="0"/>
    <n v="147653.63"/>
  </r>
  <r>
    <x v="44"/>
    <s v="ARE"/>
    <x v="3"/>
    <x v="1"/>
    <x v="31"/>
    <x v="6"/>
    <x v="2"/>
    <n v="3312.74"/>
  </r>
  <r>
    <x v="44"/>
    <s v="ARE"/>
    <x v="3"/>
    <x v="1"/>
    <x v="31"/>
    <x v="0"/>
    <x v="3"/>
    <n v="0"/>
  </r>
  <r>
    <x v="44"/>
    <s v="ARE"/>
    <x v="3"/>
    <x v="1"/>
    <x v="31"/>
    <x v="1"/>
    <x v="3"/>
    <n v="0"/>
  </r>
  <r>
    <x v="44"/>
    <s v="ARE"/>
    <x v="3"/>
    <x v="1"/>
    <x v="31"/>
    <x v="2"/>
    <x v="3"/>
    <n v="0"/>
  </r>
  <r>
    <x v="44"/>
    <s v="ARE"/>
    <x v="3"/>
    <x v="1"/>
    <x v="32"/>
    <x v="4"/>
    <x v="3"/>
    <n v="0"/>
  </r>
  <r>
    <x v="44"/>
    <s v="ARE"/>
    <x v="3"/>
    <x v="1"/>
    <x v="32"/>
    <x v="2"/>
    <x v="2"/>
    <n v="1126.6500000000001"/>
  </r>
  <r>
    <x v="45"/>
    <s v="GBR"/>
    <x v="4"/>
    <x v="1"/>
    <x v="0"/>
    <x v="0"/>
    <x v="0"/>
    <n v="168142.62"/>
  </r>
  <r>
    <x v="45"/>
    <s v="GBR"/>
    <x v="4"/>
    <x v="1"/>
    <x v="0"/>
    <x v="3"/>
    <x v="0"/>
    <n v="80806.210000000006"/>
  </r>
  <r>
    <x v="45"/>
    <s v="GBR"/>
    <x v="4"/>
    <x v="1"/>
    <x v="0"/>
    <x v="4"/>
    <x v="1"/>
    <n v="311.92"/>
  </r>
  <r>
    <x v="45"/>
    <s v="GBR"/>
    <x v="4"/>
    <x v="1"/>
    <x v="0"/>
    <x v="4"/>
    <x v="0"/>
    <n v="32961.72"/>
  </r>
  <r>
    <x v="45"/>
    <s v="GBR"/>
    <x v="4"/>
    <x v="1"/>
    <x v="0"/>
    <x v="1"/>
    <x v="1"/>
    <n v="11543.84"/>
  </r>
  <r>
    <x v="45"/>
    <s v="GBR"/>
    <x v="4"/>
    <x v="1"/>
    <x v="1"/>
    <x v="3"/>
    <x v="0"/>
    <n v="77558.899999999994"/>
  </r>
  <r>
    <x v="45"/>
    <s v="GBR"/>
    <x v="4"/>
    <x v="1"/>
    <x v="1"/>
    <x v="4"/>
    <x v="0"/>
    <n v="33736.57"/>
  </r>
  <r>
    <x v="45"/>
    <s v="GBR"/>
    <x v="4"/>
    <x v="1"/>
    <x v="1"/>
    <x v="1"/>
    <x v="2"/>
    <n v="8325.61"/>
  </r>
  <r>
    <x v="45"/>
    <s v="GBR"/>
    <x v="4"/>
    <x v="1"/>
    <x v="1"/>
    <x v="2"/>
    <x v="1"/>
    <n v="15130.99"/>
  </r>
  <r>
    <x v="45"/>
    <s v="GBR"/>
    <x v="4"/>
    <x v="1"/>
    <x v="2"/>
    <x v="6"/>
    <x v="2"/>
    <n v="398.85"/>
  </r>
  <r>
    <x v="45"/>
    <s v="GBR"/>
    <x v="4"/>
    <x v="1"/>
    <x v="2"/>
    <x v="3"/>
    <x v="2"/>
    <n v="4244.6899999999996"/>
  </r>
  <r>
    <x v="45"/>
    <s v="GBR"/>
    <x v="4"/>
    <x v="1"/>
    <x v="4"/>
    <x v="6"/>
    <x v="1"/>
    <n v="1330.92"/>
  </r>
  <r>
    <x v="45"/>
    <s v="GBR"/>
    <x v="4"/>
    <x v="1"/>
    <x v="4"/>
    <x v="0"/>
    <x v="3"/>
    <n v="0"/>
  </r>
  <r>
    <x v="45"/>
    <s v="GBR"/>
    <x v="4"/>
    <x v="1"/>
    <x v="4"/>
    <x v="3"/>
    <x v="3"/>
    <n v="4472.59"/>
  </r>
  <r>
    <x v="45"/>
    <s v="GBR"/>
    <x v="4"/>
    <x v="1"/>
    <x v="5"/>
    <x v="5"/>
    <x v="2"/>
    <n v="593.07000000000005"/>
  </r>
  <r>
    <x v="45"/>
    <s v="GBR"/>
    <x v="4"/>
    <x v="1"/>
    <x v="6"/>
    <x v="4"/>
    <x v="0"/>
    <n v="32215.42"/>
  </r>
  <r>
    <x v="45"/>
    <s v="GBR"/>
    <x v="4"/>
    <x v="1"/>
    <x v="7"/>
    <x v="5"/>
    <x v="0"/>
    <n v="51994.75"/>
  </r>
  <r>
    <x v="45"/>
    <s v="GBR"/>
    <x v="4"/>
    <x v="1"/>
    <x v="8"/>
    <x v="3"/>
    <x v="3"/>
    <n v="5037.83"/>
  </r>
  <r>
    <x v="45"/>
    <s v="GBR"/>
    <x v="4"/>
    <x v="1"/>
    <x v="9"/>
    <x v="0"/>
    <x v="3"/>
    <n v="0"/>
  </r>
  <r>
    <x v="45"/>
    <s v="GBR"/>
    <x v="4"/>
    <x v="1"/>
    <x v="9"/>
    <x v="3"/>
    <x v="0"/>
    <n v="75307.8"/>
  </r>
  <r>
    <x v="45"/>
    <s v="GBR"/>
    <x v="4"/>
    <x v="1"/>
    <x v="10"/>
    <x v="3"/>
    <x v="0"/>
    <n v="81234.41"/>
  </r>
  <r>
    <x v="45"/>
    <s v="GBR"/>
    <x v="4"/>
    <x v="1"/>
    <x v="10"/>
    <x v="1"/>
    <x v="3"/>
    <n v="0"/>
  </r>
  <r>
    <x v="45"/>
    <s v="GBR"/>
    <x v="4"/>
    <x v="1"/>
    <x v="10"/>
    <x v="5"/>
    <x v="1"/>
    <n v="1196.1300000000001"/>
  </r>
  <r>
    <x v="45"/>
    <s v="GBR"/>
    <x v="4"/>
    <x v="1"/>
    <x v="11"/>
    <x v="1"/>
    <x v="3"/>
    <n v="0"/>
  </r>
  <r>
    <x v="45"/>
    <s v="GBR"/>
    <x v="4"/>
    <x v="1"/>
    <x v="11"/>
    <x v="2"/>
    <x v="3"/>
    <n v="0"/>
  </r>
  <r>
    <x v="45"/>
    <s v="GBR"/>
    <x v="4"/>
    <x v="1"/>
    <x v="12"/>
    <x v="2"/>
    <x v="0"/>
    <n v="3244.58"/>
  </r>
  <r>
    <x v="45"/>
    <s v="GBR"/>
    <x v="4"/>
    <x v="1"/>
    <x v="13"/>
    <x v="2"/>
    <x v="2"/>
    <n v="1101.49"/>
  </r>
  <r>
    <x v="45"/>
    <s v="GBR"/>
    <x v="4"/>
    <x v="1"/>
    <x v="14"/>
    <x v="2"/>
    <x v="0"/>
    <n v="3560.73"/>
  </r>
  <r>
    <x v="45"/>
    <s v="GBR"/>
    <x v="4"/>
    <x v="1"/>
    <x v="16"/>
    <x v="6"/>
    <x v="0"/>
    <n v="202.12"/>
  </r>
  <r>
    <x v="45"/>
    <s v="GBR"/>
    <x v="4"/>
    <x v="1"/>
    <x v="16"/>
    <x v="5"/>
    <x v="0"/>
    <n v="56761.42"/>
  </r>
  <r>
    <x v="45"/>
    <s v="GBR"/>
    <x v="4"/>
    <x v="1"/>
    <x v="16"/>
    <x v="2"/>
    <x v="2"/>
    <n v="1035.06"/>
  </r>
  <r>
    <x v="45"/>
    <s v="GBR"/>
    <x v="4"/>
    <x v="1"/>
    <x v="17"/>
    <x v="3"/>
    <x v="0"/>
    <n v="82829.48"/>
  </r>
  <r>
    <x v="45"/>
    <s v="GBR"/>
    <x v="4"/>
    <x v="1"/>
    <x v="17"/>
    <x v="4"/>
    <x v="0"/>
    <n v="32507.83"/>
  </r>
  <r>
    <x v="45"/>
    <s v="GBR"/>
    <x v="4"/>
    <x v="1"/>
    <x v="17"/>
    <x v="5"/>
    <x v="1"/>
    <n v="1135.8699999999999"/>
  </r>
  <r>
    <x v="45"/>
    <s v="GBR"/>
    <x v="4"/>
    <x v="1"/>
    <x v="17"/>
    <x v="5"/>
    <x v="0"/>
    <n v="49050.03"/>
  </r>
  <r>
    <x v="45"/>
    <s v="GBR"/>
    <x v="4"/>
    <x v="1"/>
    <x v="17"/>
    <x v="2"/>
    <x v="0"/>
    <n v="3193.08"/>
  </r>
  <r>
    <x v="45"/>
    <s v="GBR"/>
    <x v="4"/>
    <x v="1"/>
    <x v="33"/>
    <x v="0"/>
    <x v="0"/>
    <n v="174934.01"/>
  </r>
  <r>
    <x v="45"/>
    <s v="GBR"/>
    <x v="4"/>
    <x v="1"/>
    <x v="18"/>
    <x v="3"/>
    <x v="2"/>
    <n v="4587.24"/>
  </r>
  <r>
    <x v="45"/>
    <s v="GBR"/>
    <x v="4"/>
    <x v="1"/>
    <x v="18"/>
    <x v="4"/>
    <x v="1"/>
    <n v="329.45"/>
  </r>
  <r>
    <x v="45"/>
    <s v="GBR"/>
    <x v="4"/>
    <x v="1"/>
    <x v="18"/>
    <x v="2"/>
    <x v="1"/>
    <n v="15180.91"/>
  </r>
  <r>
    <x v="45"/>
    <s v="GBR"/>
    <x v="4"/>
    <x v="1"/>
    <x v="19"/>
    <x v="6"/>
    <x v="3"/>
    <n v="0"/>
  </r>
  <r>
    <x v="45"/>
    <s v="GBR"/>
    <x v="4"/>
    <x v="1"/>
    <x v="19"/>
    <x v="3"/>
    <x v="0"/>
    <n v="84761.49"/>
  </r>
  <r>
    <x v="45"/>
    <s v="GBR"/>
    <x v="4"/>
    <x v="1"/>
    <x v="19"/>
    <x v="4"/>
    <x v="1"/>
    <n v="393.06"/>
  </r>
  <r>
    <x v="45"/>
    <s v="GBR"/>
    <x v="4"/>
    <x v="1"/>
    <x v="19"/>
    <x v="1"/>
    <x v="1"/>
    <n v="13821.34"/>
  </r>
  <r>
    <x v="45"/>
    <s v="GBR"/>
    <x v="4"/>
    <x v="1"/>
    <x v="20"/>
    <x v="6"/>
    <x v="2"/>
    <n v="360.39"/>
  </r>
  <r>
    <x v="45"/>
    <s v="GBR"/>
    <x v="4"/>
    <x v="1"/>
    <x v="21"/>
    <x v="6"/>
    <x v="2"/>
    <n v="423.94"/>
  </r>
  <r>
    <x v="45"/>
    <s v="GBR"/>
    <x v="4"/>
    <x v="1"/>
    <x v="21"/>
    <x v="3"/>
    <x v="0"/>
    <n v="87864.98"/>
  </r>
  <r>
    <x v="45"/>
    <s v="GBR"/>
    <x v="4"/>
    <x v="1"/>
    <x v="21"/>
    <x v="3"/>
    <x v="3"/>
    <n v="4589.13"/>
  </r>
  <r>
    <x v="45"/>
    <s v="GBR"/>
    <x v="4"/>
    <x v="1"/>
    <x v="21"/>
    <x v="5"/>
    <x v="1"/>
    <n v="1069.1600000000001"/>
  </r>
  <r>
    <x v="45"/>
    <s v="GBR"/>
    <x v="4"/>
    <x v="1"/>
    <x v="21"/>
    <x v="5"/>
    <x v="3"/>
    <n v="0"/>
  </r>
  <r>
    <x v="45"/>
    <s v="GBR"/>
    <x v="4"/>
    <x v="1"/>
    <x v="21"/>
    <x v="2"/>
    <x v="1"/>
    <n v="16144.7"/>
  </r>
  <r>
    <x v="45"/>
    <s v="GBR"/>
    <x v="4"/>
    <x v="1"/>
    <x v="22"/>
    <x v="3"/>
    <x v="1"/>
    <n v="4752.91"/>
  </r>
  <r>
    <x v="45"/>
    <s v="GBR"/>
    <x v="4"/>
    <x v="1"/>
    <x v="22"/>
    <x v="2"/>
    <x v="3"/>
    <n v="0"/>
  </r>
  <r>
    <x v="45"/>
    <s v="GBR"/>
    <x v="4"/>
    <x v="1"/>
    <x v="23"/>
    <x v="6"/>
    <x v="3"/>
    <n v="0"/>
  </r>
  <r>
    <x v="45"/>
    <s v="GBR"/>
    <x v="4"/>
    <x v="1"/>
    <x v="23"/>
    <x v="1"/>
    <x v="0"/>
    <n v="427154.11"/>
  </r>
  <r>
    <x v="45"/>
    <s v="GBR"/>
    <x v="4"/>
    <x v="1"/>
    <x v="23"/>
    <x v="2"/>
    <x v="3"/>
    <n v="0"/>
  </r>
  <r>
    <x v="45"/>
    <s v="GBR"/>
    <x v="4"/>
    <x v="1"/>
    <x v="24"/>
    <x v="4"/>
    <x v="0"/>
    <n v="34088.5"/>
  </r>
  <r>
    <x v="45"/>
    <s v="GBR"/>
    <x v="4"/>
    <x v="1"/>
    <x v="24"/>
    <x v="5"/>
    <x v="1"/>
    <n v="1040.3599999999999"/>
  </r>
  <r>
    <x v="45"/>
    <s v="GBR"/>
    <x v="4"/>
    <x v="1"/>
    <x v="24"/>
    <x v="5"/>
    <x v="0"/>
    <n v="56339.43"/>
  </r>
  <r>
    <x v="45"/>
    <s v="GBR"/>
    <x v="4"/>
    <x v="1"/>
    <x v="25"/>
    <x v="0"/>
    <x v="3"/>
    <n v="0"/>
  </r>
  <r>
    <x v="45"/>
    <s v="GBR"/>
    <x v="4"/>
    <x v="1"/>
    <x v="25"/>
    <x v="4"/>
    <x v="3"/>
    <n v="0"/>
  </r>
  <r>
    <x v="45"/>
    <s v="GBR"/>
    <x v="4"/>
    <x v="1"/>
    <x v="25"/>
    <x v="1"/>
    <x v="2"/>
    <n v="7847.12"/>
  </r>
  <r>
    <x v="45"/>
    <s v="GBR"/>
    <x v="4"/>
    <x v="1"/>
    <x v="25"/>
    <x v="5"/>
    <x v="1"/>
    <n v="1139.6400000000001"/>
  </r>
  <r>
    <x v="45"/>
    <s v="GBR"/>
    <x v="4"/>
    <x v="1"/>
    <x v="25"/>
    <x v="5"/>
    <x v="3"/>
    <n v="0"/>
  </r>
  <r>
    <x v="45"/>
    <s v="GBR"/>
    <x v="4"/>
    <x v="1"/>
    <x v="25"/>
    <x v="2"/>
    <x v="1"/>
    <n v="15011.68"/>
  </r>
  <r>
    <x v="45"/>
    <s v="GBR"/>
    <x v="4"/>
    <x v="1"/>
    <x v="26"/>
    <x v="3"/>
    <x v="0"/>
    <n v="76073.960000000006"/>
  </r>
  <r>
    <x v="45"/>
    <s v="GBR"/>
    <x v="4"/>
    <x v="1"/>
    <x v="26"/>
    <x v="5"/>
    <x v="3"/>
    <n v="0"/>
  </r>
  <r>
    <x v="45"/>
    <s v="GBR"/>
    <x v="4"/>
    <x v="1"/>
    <x v="34"/>
    <x v="6"/>
    <x v="2"/>
    <n v="378.22"/>
  </r>
  <r>
    <x v="45"/>
    <s v="GBR"/>
    <x v="4"/>
    <x v="1"/>
    <x v="34"/>
    <x v="3"/>
    <x v="2"/>
    <n v="4019.26"/>
  </r>
  <r>
    <x v="45"/>
    <s v="GBR"/>
    <x v="4"/>
    <x v="1"/>
    <x v="34"/>
    <x v="1"/>
    <x v="1"/>
    <n v="9518.7900000000009"/>
  </r>
  <r>
    <x v="45"/>
    <s v="GBR"/>
    <x v="4"/>
    <x v="1"/>
    <x v="34"/>
    <x v="2"/>
    <x v="0"/>
    <n v="3214.4"/>
  </r>
  <r>
    <x v="45"/>
    <s v="GBR"/>
    <x v="4"/>
    <x v="1"/>
    <x v="28"/>
    <x v="3"/>
    <x v="1"/>
    <n v="3977.5"/>
  </r>
  <r>
    <x v="45"/>
    <s v="GBR"/>
    <x v="4"/>
    <x v="1"/>
    <x v="28"/>
    <x v="4"/>
    <x v="1"/>
    <n v="316.49"/>
  </r>
  <r>
    <x v="45"/>
    <s v="GBR"/>
    <x v="4"/>
    <x v="1"/>
    <x v="28"/>
    <x v="2"/>
    <x v="3"/>
    <n v="0"/>
  </r>
  <r>
    <x v="45"/>
    <s v="GBR"/>
    <x v="4"/>
    <x v="1"/>
    <x v="29"/>
    <x v="4"/>
    <x v="3"/>
    <n v="0"/>
  </r>
  <r>
    <x v="45"/>
    <s v="GBR"/>
    <x v="4"/>
    <x v="1"/>
    <x v="30"/>
    <x v="3"/>
    <x v="3"/>
    <n v="4076.51"/>
  </r>
  <r>
    <x v="45"/>
    <s v="GBR"/>
    <x v="4"/>
    <x v="1"/>
    <x v="30"/>
    <x v="4"/>
    <x v="2"/>
    <n v="317.63"/>
  </r>
  <r>
    <x v="45"/>
    <s v="GBR"/>
    <x v="4"/>
    <x v="1"/>
    <x v="30"/>
    <x v="2"/>
    <x v="2"/>
    <n v="847.18"/>
  </r>
  <r>
    <x v="45"/>
    <s v="GBR"/>
    <x v="4"/>
    <x v="1"/>
    <x v="31"/>
    <x v="1"/>
    <x v="1"/>
    <n v="10876.71"/>
  </r>
  <r>
    <x v="45"/>
    <s v="GBR"/>
    <x v="4"/>
    <x v="1"/>
    <x v="31"/>
    <x v="1"/>
    <x v="0"/>
    <n v="339627.3"/>
  </r>
  <r>
    <x v="45"/>
    <s v="GBR"/>
    <x v="4"/>
    <x v="1"/>
    <x v="32"/>
    <x v="0"/>
    <x v="1"/>
    <n v="10340.049999999999"/>
  </r>
  <r>
    <x v="45"/>
    <s v="GBR"/>
    <x v="4"/>
    <x v="1"/>
    <x v="32"/>
    <x v="4"/>
    <x v="1"/>
    <n v="272.48"/>
  </r>
  <r>
    <x v="45"/>
    <s v="GBR"/>
    <x v="4"/>
    <x v="1"/>
    <x v="32"/>
    <x v="5"/>
    <x v="0"/>
    <n v="41077.440000000002"/>
  </r>
  <r>
    <x v="46"/>
    <s v="USA"/>
    <x v="1"/>
    <x v="1"/>
    <x v="0"/>
    <x v="3"/>
    <x v="1"/>
    <n v="15480.94"/>
  </r>
  <r>
    <x v="46"/>
    <s v="USA"/>
    <x v="1"/>
    <x v="1"/>
    <x v="0"/>
    <x v="4"/>
    <x v="1"/>
    <n v="-368.34"/>
  </r>
  <r>
    <x v="46"/>
    <s v="USA"/>
    <x v="1"/>
    <x v="1"/>
    <x v="0"/>
    <x v="5"/>
    <x v="0"/>
    <n v="34175.26"/>
  </r>
  <r>
    <x v="46"/>
    <s v="USA"/>
    <x v="1"/>
    <x v="1"/>
    <x v="1"/>
    <x v="0"/>
    <x v="1"/>
    <n v="4445.1099999999997"/>
  </r>
  <r>
    <x v="46"/>
    <s v="USA"/>
    <x v="1"/>
    <x v="1"/>
    <x v="1"/>
    <x v="5"/>
    <x v="2"/>
    <n v="397.38"/>
  </r>
  <r>
    <x v="46"/>
    <s v="USA"/>
    <x v="1"/>
    <x v="1"/>
    <x v="1"/>
    <x v="2"/>
    <x v="1"/>
    <n v="90431.51"/>
  </r>
  <r>
    <x v="46"/>
    <s v="USA"/>
    <x v="1"/>
    <x v="1"/>
    <x v="1"/>
    <x v="2"/>
    <x v="0"/>
    <n v="16653.13"/>
  </r>
  <r>
    <x v="46"/>
    <s v="USA"/>
    <x v="1"/>
    <x v="1"/>
    <x v="2"/>
    <x v="3"/>
    <x v="3"/>
    <n v="12885.7"/>
  </r>
  <r>
    <x v="46"/>
    <s v="USA"/>
    <x v="1"/>
    <x v="1"/>
    <x v="2"/>
    <x v="2"/>
    <x v="3"/>
    <n v="0"/>
  </r>
  <r>
    <x v="46"/>
    <s v="USA"/>
    <x v="1"/>
    <x v="1"/>
    <x v="2"/>
    <x v="2"/>
    <x v="2"/>
    <n v="5208.46"/>
  </r>
  <r>
    <x v="46"/>
    <s v="USA"/>
    <x v="1"/>
    <x v="1"/>
    <x v="3"/>
    <x v="5"/>
    <x v="2"/>
    <n v="341.91"/>
  </r>
  <r>
    <x v="46"/>
    <s v="USA"/>
    <x v="1"/>
    <x v="1"/>
    <x v="3"/>
    <x v="2"/>
    <x v="3"/>
    <n v="0"/>
  </r>
  <r>
    <x v="46"/>
    <s v="USA"/>
    <x v="1"/>
    <x v="1"/>
    <x v="5"/>
    <x v="3"/>
    <x v="3"/>
    <n v="11935.66"/>
  </r>
  <r>
    <x v="46"/>
    <s v="USA"/>
    <x v="1"/>
    <x v="1"/>
    <x v="5"/>
    <x v="4"/>
    <x v="1"/>
    <n v="-349.33"/>
  </r>
  <r>
    <x v="46"/>
    <s v="USA"/>
    <x v="1"/>
    <x v="1"/>
    <x v="5"/>
    <x v="4"/>
    <x v="2"/>
    <n v="-338.57"/>
  </r>
  <r>
    <x v="46"/>
    <s v="USA"/>
    <x v="1"/>
    <x v="1"/>
    <x v="5"/>
    <x v="1"/>
    <x v="3"/>
    <n v="0"/>
  </r>
  <r>
    <x v="46"/>
    <s v="USA"/>
    <x v="1"/>
    <x v="1"/>
    <x v="6"/>
    <x v="6"/>
    <x v="1"/>
    <n v="236911.83"/>
  </r>
  <r>
    <x v="46"/>
    <s v="USA"/>
    <x v="1"/>
    <x v="1"/>
    <x v="6"/>
    <x v="4"/>
    <x v="2"/>
    <n v="-399.79"/>
  </r>
  <r>
    <x v="46"/>
    <s v="USA"/>
    <x v="1"/>
    <x v="1"/>
    <x v="6"/>
    <x v="2"/>
    <x v="1"/>
    <n v="85372.54"/>
  </r>
  <r>
    <x v="46"/>
    <s v="USA"/>
    <x v="1"/>
    <x v="1"/>
    <x v="7"/>
    <x v="3"/>
    <x v="3"/>
    <n v="12296.08"/>
  </r>
  <r>
    <x v="46"/>
    <s v="USA"/>
    <x v="1"/>
    <x v="1"/>
    <x v="8"/>
    <x v="0"/>
    <x v="0"/>
    <n v="62276.54"/>
  </r>
  <r>
    <x v="46"/>
    <s v="USA"/>
    <x v="1"/>
    <x v="1"/>
    <x v="8"/>
    <x v="2"/>
    <x v="3"/>
    <n v="0"/>
  </r>
  <r>
    <x v="46"/>
    <s v="USA"/>
    <x v="1"/>
    <x v="1"/>
    <x v="9"/>
    <x v="4"/>
    <x v="1"/>
    <n v="-379.47"/>
  </r>
  <r>
    <x v="46"/>
    <s v="USA"/>
    <x v="1"/>
    <x v="1"/>
    <x v="9"/>
    <x v="1"/>
    <x v="2"/>
    <n v="4863.24"/>
  </r>
  <r>
    <x v="46"/>
    <s v="USA"/>
    <x v="1"/>
    <x v="1"/>
    <x v="10"/>
    <x v="3"/>
    <x v="1"/>
    <n v="12387.94"/>
  </r>
  <r>
    <x v="46"/>
    <s v="USA"/>
    <x v="1"/>
    <x v="1"/>
    <x v="10"/>
    <x v="3"/>
    <x v="2"/>
    <n v="12428.3"/>
  </r>
  <r>
    <x v="46"/>
    <s v="USA"/>
    <x v="1"/>
    <x v="1"/>
    <x v="10"/>
    <x v="1"/>
    <x v="2"/>
    <n v="3833.8"/>
  </r>
  <r>
    <x v="46"/>
    <s v="USA"/>
    <x v="1"/>
    <x v="1"/>
    <x v="12"/>
    <x v="5"/>
    <x v="1"/>
    <n v="826.81"/>
  </r>
  <r>
    <x v="46"/>
    <s v="USA"/>
    <x v="1"/>
    <x v="1"/>
    <x v="13"/>
    <x v="0"/>
    <x v="1"/>
    <n v="4655.8900000000003"/>
  </r>
  <r>
    <x v="46"/>
    <s v="USA"/>
    <x v="1"/>
    <x v="1"/>
    <x v="13"/>
    <x v="0"/>
    <x v="2"/>
    <n v="1746.95"/>
  </r>
  <r>
    <x v="46"/>
    <s v="USA"/>
    <x v="1"/>
    <x v="1"/>
    <x v="14"/>
    <x v="3"/>
    <x v="3"/>
    <n v="15057.96"/>
  </r>
  <r>
    <x v="46"/>
    <s v="USA"/>
    <x v="1"/>
    <x v="1"/>
    <x v="14"/>
    <x v="4"/>
    <x v="3"/>
    <n v="0"/>
  </r>
  <r>
    <x v="46"/>
    <s v="USA"/>
    <x v="1"/>
    <x v="1"/>
    <x v="15"/>
    <x v="6"/>
    <x v="0"/>
    <n v="32826.9"/>
  </r>
  <r>
    <x v="46"/>
    <s v="USA"/>
    <x v="1"/>
    <x v="1"/>
    <x v="15"/>
    <x v="3"/>
    <x v="0"/>
    <n v="248699.47"/>
  </r>
  <r>
    <x v="46"/>
    <s v="USA"/>
    <x v="1"/>
    <x v="1"/>
    <x v="15"/>
    <x v="4"/>
    <x v="0"/>
    <n v="-40938.51"/>
  </r>
  <r>
    <x v="46"/>
    <s v="USA"/>
    <x v="1"/>
    <x v="1"/>
    <x v="15"/>
    <x v="5"/>
    <x v="1"/>
    <n v="803.34"/>
  </r>
  <r>
    <x v="46"/>
    <s v="USA"/>
    <x v="1"/>
    <x v="1"/>
    <x v="16"/>
    <x v="0"/>
    <x v="1"/>
    <n v="5068.8999999999996"/>
  </r>
  <r>
    <x v="46"/>
    <s v="USA"/>
    <x v="1"/>
    <x v="1"/>
    <x v="16"/>
    <x v="0"/>
    <x v="0"/>
    <n v="69283.289999999994"/>
  </r>
  <r>
    <x v="46"/>
    <s v="USA"/>
    <x v="1"/>
    <x v="1"/>
    <x v="17"/>
    <x v="6"/>
    <x v="2"/>
    <n v="68558.09"/>
  </r>
  <r>
    <x v="46"/>
    <s v="USA"/>
    <x v="1"/>
    <x v="1"/>
    <x v="17"/>
    <x v="0"/>
    <x v="0"/>
    <n v="68563.149999999994"/>
  </r>
  <r>
    <x v="46"/>
    <s v="USA"/>
    <x v="1"/>
    <x v="1"/>
    <x v="17"/>
    <x v="2"/>
    <x v="0"/>
    <n v="16806.759999999998"/>
  </r>
  <r>
    <x v="46"/>
    <s v="USA"/>
    <x v="1"/>
    <x v="1"/>
    <x v="33"/>
    <x v="0"/>
    <x v="1"/>
    <n v="4710.7299999999996"/>
  </r>
  <r>
    <x v="46"/>
    <s v="USA"/>
    <x v="1"/>
    <x v="1"/>
    <x v="33"/>
    <x v="0"/>
    <x v="3"/>
    <n v="0"/>
  </r>
  <r>
    <x v="46"/>
    <s v="USA"/>
    <x v="1"/>
    <x v="1"/>
    <x v="33"/>
    <x v="3"/>
    <x v="1"/>
    <n v="14638.28"/>
  </r>
  <r>
    <x v="46"/>
    <s v="USA"/>
    <x v="1"/>
    <x v="1"/>
    <x v="33"/>
    <x v="4"/>
    <x v="2"/>
    <n v="-438.1"/>
  </r>
  <r>
    <x v="46"/>
    <s v="USA"/>
    <x v="1"/>
    <x v="1"/>
    <x v="18"/>
    <x v="0"/>
    <x v="3"/>
    <n v="0"/>
  </r>
  <r>
    <x v="46"/>
    <s v="USA"/>
    <x v="1"/>
    <x v="1"/>
    <x v="18"/>
    <x v="3"/>
    <x v="3"/>
    <n v="14417.17"/>
  </r>
  <r>
    <x v="46"/>
    <s v="USA"/>
    <x v="1"/>
    <x v="1"/>
    <x v="18"/>
    <x v="1"/>
    <x v="2"/>
    <n v="4722.53"/>
  </r>
  <r>
    <x v="46"/>
    <s v="USA"/>
    <x v="1"/>
    <x v="1"/>
    <x v="19"/>
    <x v="6"/>
    <x v="3"/>
    <n v="0"/>
  </r>
  <r>
    <x v="46"/>
    <s v="USA"/>
    <x v="1"/>
    <x v="1"/>
    <x v="19"/>
    <x v="0"/>
    <x v="3"/>
    <n v="0"/>
  </r>
  <r>
    <x v="46"/>
    <s v="USA"/>
    <x v="1"/>
    <x v="1"/>
    <x v="19"/>
    <x v="3"/>
    <x v="3"/>
    <n v="13993.07"/>
  </r>
  <r>
    <x v="46"/>
    <s v="USA"/>
    <x v="1"/>
    <x v="1"/>
    <x v="19"/>
    <x v="2"/>
    <x v="3"/>
    <n v="0"/>
  </r>
  <r>
    <x v="46"/>
    <s v="USA"/>
    <x v="1"/>
    <x v="1"/>
    <x v="20"/>
    <x v="4"/>
    <x v="3"/>
    <n v="0"/>
  </r>
  <r>
    <x v="46"/>
    <s v="USA"/>
    <x v="1"/>
    <x v="1"/>
    <x v="21"/>
    <x v="3"/>
    <x v="0"/>
    <n v="219424.4"/>
  </r>
  <r>
    <x v="46"/>
    <s v="USA"/>
    <x v="1"/>
    <x v="1"/>
    <x v="21"/>
    <x v="1"/>
    <x v="1"/>
    <n v="7231.58"/>
  </r>
  <r>
    <x v="46"/>
    <s v="USA"/>
    <x v="1"/>
    <x v="1"/>
    <x v="21"/>
    <x v="1"/>
    <x v="2"/>
    <n v="4773.1899999999996"/>
  </r>
  <r>
    <x v="46"/>
    <s v="USA"/>
    <x v="1"/>
    <x v="1"/>
    <x v="22"/>
    <x v="6"/>
    <x v="2"/>
    <n v="62032.89"/>
  </r>
  <r>
    <x v="46"/>
    <s v="USA"/>
    <x v="1"/>
    <x v="1"/>
    <x v="23"/>
    <x v="6"/>
    <x v="1"/>
    <n v="219948.49"/>
  </r>
  <r>
    <x v="46"/>
    <s v="USA"/>
    <x v="1"/>
    <x v="1"/>
    <x v="23"/>
    <x v="3"/>
    <x v="3"/>
    <n v="13393.9"/>
  </r>
  <r>
    <x v="46"/>
    <s v="USA"/>
    <x v="1"/>
    <x v="1"/>
    <x v="23"/>
    <x v="1"/>
    <x v="3"/>
    <n v="0"/>
  </r>
  <r>
    <x v="46"/>
    <s v="USA"/>
    <x v="1"/>
    <x v="1"/>
    <x v="24"/>
    <x v="6"/>
    <x v="2"/>
    <n v="63312.08"/>
  </r>
  <r>
    <x v="46"/>
    <s v="USA"/>
    <x v="1"/>
    <x v="1"/>
    <x v="24"/>
    <x v="2"/>
    <x v="1"/>
    <n v="87458.83"/>
  </r>
  <r>
    <x v="46"/>
    <s v="USA"/>
    <x v="1"/>
    <x v="1"/>
    <x v="24"/>
    <x v="2"/>
    <x v="2"/>
    <n v="5011"/>
  </r>
  <r>
    <x v="46"/>
    <s v="USA"/>
    <x v="1"/>
    <x v="1"/>
    <x v="25"/>
    <x v="6"/>
    <x v="0"/>
    <n v="30304.58"/>
  </r>
  <r>
    <x v="46"/>
    <s v="USA"/>
    <x v="1"/>
    <x v="1"/>
    <x v="25"/>
    <x v="6"/>
    <x v="3"/>
    <n v="0"/>
  </r>
  <r>
    <x v="46"/>
    <s v="USA"/>
    <x v="1"/>
    <x v="1"/>
    <x v="25"/>
    <x v="0"/>
    <x v="0"/>
    <n v="60741.01"/>
  </r>
  <r>
    <x v="46"/>
    <s v="USA"/>
    <x v="1"/>
    <x v="1"/>
    <x v="25"/>
    <x v="0"/>
    <x v="2"/>
    <n v="1985.58"/>
  </r>
  <r>
    <x v="46"/>
    <s v="USA"/>
    <x v="1"/>
    <x v="1"/>
    <x v="25"/>
    <x v="4"/>
    <x v="1"/>
    <n v="-379.43"/>
  </r>
  <r>
    <x v="46"/>
    <s v="USA"/>
    <x v="1"/>
    <x v="1"/>
    <x v="25"/>
    <x v="1"/>
    <x v="1"/>
    <n v="7274.1"/>
  </r>
  <r>
    <x v="46"/>
    <s v="USA"/>
    <x v="1"/>
    <x v="1"/>
    <x v="26"/>
    <x v="4"/>
    <x v="0"/>
    <n v="-36064.379999999997"/>
  </r>
  <r>
    <x v="46"/>
    <s v="USA"/>
    <x v="1"/>
    <x v="1"/>
    <x v="26"/>
    <x v="4"/>
    <x v="2"/>
    <n v="-340.2"/>
  </r>
  <r>
    <x v="46"/>
    <s v="USA"/>
    <x v="1"/>
    <x v="1"/>
    <x v="26"/>
    <x v="2"/>
    <x v="2"/>
    <n v="4502.43"/>
  </r>
  <r>
    <x v="46"/>
    <s v="USA"/>
    <x v="1"/>
    <x v="1"/>
    <x v="34"/>
    <x v="0"/>
    <x v="1"/>
    <n v="4983.3500000000004"/>
  </r>
  <r>
    <x v="46"/>
    <s v="USA"/>
    <x v="1"/>
    <x v="1"/>
    <x v="34"/>
    <x v="0"/>
    <x v="3"/>
    <n v="0"/>
  </r>
  <r>
    <x v="46"/>
    <s v="USA"/>
    <x v="1"/>
    <x v="1"/>
    <x v="34"/>
    <x v="3"/>
    <x v="2"/>
    <n v="14714.92"/>
  </r>
  <r>
    <x v="46"/>
    <s v="USA"/>
    <x v="1"/>
    <x v="1"/>
    <x v="34"/>
    <x v="5"/>
    <x v="0"/>
    <n v="33160.379999999997"/>
  </r>
  <r>
    <x v="46"/>
    <s v="USA"/>
    <x v="1"/>
    <x v="1"/>
    <x v="34"/>
    <x v="2"/>
    <x v="2"/>
    <n v="5418.87"/>
  </r>
  <r>
    <x v="46"/>
    <s v="USA"/>
    <x v="1"/>
    <x v="1"/>
    <x v="27"/>
    <x v="6"/>
    <x v="3"/>
    <n v="0"/>
  </r>
  <r>
    <x v="46"/>
    <s v="USA"/>
    <x v="1"/>
    <x v="1"/>
    <x v="27"/>
    <x v="0"/>
    <x v="0"/>
    <n v="56518.01"/>
  </r>
  <r>
    <x v="46"/>
    <s v="USA"/>
    <x v="1"/>
    <x v="1"/>
    <x v="27"/>
    <x v="4"/>
    <x v="2"/>
    <n v="-325.68"/>
  </r>
  <r>
    <x v="46"/>
    <s v="USA"/>
    <x v="1"/>
    <x v="1"/>
    <x v="27"/>
    <x v="1"/>
    <x v="3"/>
    <n v="0"/>
  </r>
  <r>
    <x v="46"/>
    <s v="USA"/>
    <x v="1"/>
    <x v="1"/>
    <x v="28"/>
    <x v="4"/>
    <x v="1"/>
    <n v="-333.4"/>
  </r>
  <r>
    <x v="46"/>
    <s v="USA"/>
    <x v="1"/>
    <x v="1"/>
    <x v="28"/>
    <x v="4"/>
    <x v="2"/>
    <n v="-361.14"/>
  </r>
  <r>
    <x v="46"/>
    <s v="USA"/>
    <x v="1"/>
    <x v="1"/>
    <x v="29"/>
    <x v="3"/>
    <x v="2"/>
    <n v="13713.37"/>
  </r>
  <r>
    <x v="46"/>
    <s v="USA"/>
    <x v="1"/>
    <x v="1"/>
    <x v="29"/>
    <x v="5"/>
    <x v="1"/>
    <n v="688.71"/>
  </r>
  <r>
    <x v="46"/>
    <s v="USA"/>
    <x v="1"/>
    <x v="1"/>
    <x v="30"/>
    <x v="5"/>
    <x v="1"/>
    <n v="656.75"/>
  </r>
  <r>
    <x v="46"/>
    <s v="USA"/>
    <x v="1"/>
    <x v="1"/>
    <x v="31"/>
    <x v="6"/>
    <x v="3"/>
    <n v="0"/>
  </r>
  <r>
    <x v="46"/>
    <s v="USA"/>
    <x v="1"/>
    <x v="1"/>
    <x v="31"/>
    <x v="3"/>
    <x v="2"/>
    <n v="11559.64"/>
  </r>
  <r>
    <x v="46"/>
    <s v="USA"/>
    <x v="1"/>
    <x v="1"/>
    <x v="31"/>
    <x v="5"/>
    <x v="3"/>
    <n v="0"/>
  </r>
  <r>
    <x v="46"/>
    <s v="USA"/>
    <x v="1"/>
    <x v="1"/>
    <x v="32"/>
    <x v="0"/>
    <x v="2"/>
    <n v="1861.63"/>
  </r>
  <r>
    <x v="46"/>
    <s v="USA"/>
    <x v="1"/>
    <x v="1"/>
    <x v="32"/>
    <x v="3"/>
    <x v="2"/>
    <n v="13950.16"/>
  </r>
  <r>
    <x v="46"/>
    <s v="USA"/>
    <x v="1"/>
    <x v="1"/>
    <x v="32"/>
    <x v="1"/>
    <x v="1"/>
    <n v="6546.84"/>
  </r>
  <r>
    <x v="46"/>
    <s v="USA"/>
    <x v="1"/>
    <x v="1"/>
    <x v="32"/>
    <x v="1"/>
    <x v="0"/>
    <n v="200346.19"/>
  </r>
  <r>
    <x v="46"/>
    <s v="USA"/>
    <x v="1"/>
    <x v="1"/>
    <x v="32"/>
    <x v="1"/>
    <x v="3"/>
    <n v="0"/>
  </r>
  <r>
    <x v="46"/>
    <s v="USA"/>
    <x v="1"/>
    <x v="1"/>
    <x v="32"/>
    <x v="5"/>
    <x v="1"/>
    <n v="708.93"/>
  </r>
  <r>
    <x v="47"/>
    <s v="VEN"/>
    <x v="1"/>
    <x v="0"/>
    <x v="0"/>
    <x v="0"/>
    <x v="2"/>
    <n v="143.93"/>
  </r>
  <r>
    <x v="47"/>
    <s v="VEN"/>
    <x v="1"/>
    <x v="0"/>
    <x v="0"/>
    <x v="1"/>
    <x v="3"/>
    <n v="0"/>
  </r>
  <r>
    <x v="47"/>
    <s v="VEN"/>
    <x v="1"/>
    <x v="0"/>
    <x v="0"/>
    <x v="2"/>
    <x v="2"/>
    <n v="99.92"/>
  </r>
  <r>
    <x v="47"/>
    <s v="VEN"/>
    <x v="1"/>
    <x v="0"/>
    <x v="1"/>
    <x v="5"/>
    <x v="2"/>
    <n v="43.74"/>
  </r>
  <r>
    <x v="47"/>
    <s v="VEN"/>
    <x v="1"/>
    <x v="0"/>
    <x v="1"/>
    <x v="2"/>
    <x v="3"/>
    <n v="0"/>
  </r>
  <r>
    <x v="47"/>
    <s v="VEN"/>
    <x v="1"/>
    <x v="0"/>
    <x v="2"/>
    <x v="6"/>
    <x v="1"/>
    <n v="1969.03"/>
  </r>
  <r>
    <x v="47"/>
    <s v="VEN"/>
    <x v="1"/>
    <x v="0"/>
    <x v="2"/>
    <x v="3"/>
    <x v="2"/>
    <n v="1725.28"/>
  </r>
  <r>
    <x v="47"/>
    <s v="VEN"/>
    <x v="1"/>
    <x v="0"/>
    <x v="2"/>
    <x v="5"/>
    <x v="0"/>
    <n v="4304.6000000000004"/>
  </r>
  <r>
    <x v="47"/>
    <s v="VEN"/>
    <x v="1"/>
    <x v="0"/>
    <x v="2"/>
    <x v="2"/>
    <x v="3"/>
    <n v="0"/>
  </r>
  <r>
    <x v="47"/>
    <s v="VEN"/>
    <x v="1"/>
    <x v="0"/>
    <x v="3"/>
    <x v="2"/>
    <x v="0"/>
    <n v="272.64999999999998"/>
  </r>
  <r>
    <x v="47"/>
    <s v="VEN"/>
    <x v="1"/>
    <x v="0"/>
    <x v="5"/>
    <x v="0"/>
    <x v="1"/>
    <n v="333.24"/>
  </r>
  <r>
    <x v="47"/>
    <s v="VEN"/>
    <x v="1"/>
    <x v="0"/>
    <x v="5"/>
    <x v="5"/>
    <x v="2"/>
    <n v="39.93"/>
  </r>
  <r>
    <x v="47"/>
    <s v="VEN"/>
    <x v="1"/>
    <x v="0"/>
    <x v="6"/>
    <x v="6"/>
    <x v="1"/>
    <n v="1959.16"/>
  </r>
  <r>
    <x v="47"/>
    <s v="VEN"/>
    <x v="1"/>
    <x v="0"/>
    <x v="6"/>
    <x v="0"/>
    <x v="0"/>
    <n v="3630.48"/>
  </r>
  <r>
    <x v="47"/>
    <s v="VEN"/>
    <x v="1"/>
    <x v="0"/>
    <x v="6"/>
    <x v="5"/>
    <x v="1"/>
    <n v="77.959999999999994"/>
  </r>
  <r>
    <x v="47"/>
    <s v="VEN"/>
    <x v="1"/>
    <x v="0"/>
    <x v="7"/>
    <x v="6"/>
    <x v="0"/>
    <n v="301.58999999999997"/>
  </r>
  <r>
    <x v="47"/>
    <s v="VEN"/>
    <x v="1"/>
    <x v="0"/>
    <x v="7"/>
    <x v="5"/>
    <x v="2"/>
    <n v="45.86"/>
  </r>
  <r>
    <x v="47"/>
    <s v="VEN"/>
    <x v="1"/>
    <x v="0"/>
    <x v="7"/>
    <x v="2"/>
    <x v="1"/>
    <n v="1568.81"/>
  </r>
  <r>
    <x v="47"/>
    <s v="VEN"/>
    <x v="1"/>
    <x v="0"/>
    <x v="8"/>
    <x v="6"/>
    <x v="2"/>
    <n v="671.01"/>
  </r>
  <r>
    <x v="47"/>
    <s v="VEN"/>
    <x v="1"/>
    <x v="0"/>
    <x v="8"/>
    <x v="5"/>
    <x v="3"/>
    <n v="0"/>
  </r>
  <r>
    <x v="47"/>
    <s v="VEN"/>
    <x v="1"/>
    <x v="0"/>
    <x v="9"/>
    <x v="6"/>
    <x v="3"/>
    <n v="0"/>
  </r>
  <r>
    <x v="47"/>
    <s v="VEN"/>
    <x v="1"/>
    <x v="0"/>
    <x v="9"/>
    <x v="3"/>
    <x v="2"/>
    <n v="1822.61"/>
  </r>
  <r>
    <x v="47"/>
    <s v="VEN"/>
    <x v="1"/>
    <x v="0"/>
    <x v="9"/>
    <x v="4"/>
    <x v="1"/>
    <n v="19.02"/>
  </r>
  <r>
    <x v="47"/>
    <s v="VEN"/>
    <x v="1"/>
    <x v="0"/>
    <x v="9"/>
    <x v="5"/>
    <x v="0"/>
    <n v="4659.4399999999996"/>
  </r>
  <r>
    <x v="47"/>
    <s v="VEN"/>
    <x v="1"/>
    <x v="0"/>
    <x v="10"/>
    <x v="3"/>
    <x v="1"/>
    <n v="1489.45"/>
  </r>
  <r>
    <x v="47"/>
    <s v="VEN"/>
    <x v="1"/>
    <x v="0"/>
    <x v="10"/>
    <x v="3"/>
    <x v="2"/>
    <n v="1491.36"/>
  </r>
  <r>
    <x v="47"/>
    <s v="VEN"/>
    <x v="1"/>
    <x v="0"/>
    <x v="10"/>
    <x v="1"/>
    <x v="0"/>
    <n v="4523.25"/>
  </r>
  <r>
    <x v="47"/>
    <s v="VEN"/>
    <x v="1"/>
    <x v="0"/>
    <x v="10"/>
    <x v="2"/>
    <x v="1"/>
    <n v="1462.3"/>
  </r>
  <r>
    <x v="47"/>
    <s v="VEN"/>
    <x v="1"/>
    <x v="0"/>
    <x v="10"/>
    <x v="2"/>
    <x v="2"/>
    <n v="88.85"/>
  </r>
  <r>
    <x v="47"/>
    <s v="VEN"/>
    <x v="1"/>
    <x v="0"/>
    <x v="11"/>
    <x v="0"/>
    <x v="1"/>
    <n v="322.11"/>
  </r>
  <r>
    <x v="47"/>
    <s v="VEN"/>
    <x v="1"/>
    <x v="0"/>
    <x v="11"/>
    <x v="0"/>
    <x v="3"/>
    <n v="0"/>
  </r>
  <r>
    <x v="47"/>
    <s v="VEN"/>
    <x v="1"/>
    <x v="0"/>
    <x v="11"/>
    <x v="2"/>
    <x v="1"/>
    <n v="1461.34"/>
  </r>
  <r>
    <x v="47"/>
    <s v="VEN"/>
    <x v="1"/>
    <x v="0"/>
    <x v="12"/>
    <x v="0"/>
    <x v="2"/>
    <n v="158.86000000000001"/>
  </r>
  <r>
    <x v="47"/>
    <s v="VEN"/>
    <x v="1"/>
    <x v="0"/>
    <x v="12"/>
    <x v="3"/>
    <x v="2"/>
    <n v="1792.77"/>
  </r>
  <r>
    <x v="47"/>
    <s v="VEN"/>
    <x v="1"/>
    <x v="0"/>
    <x v="12"/>
    <x v="5"/>
    <x v="2"/>
    <n v="46.94"/>
  </r>
  <r>
    <x v="47"/>
    <s v="VEN"/>
    <x v="1"/>
    <x v="0"/>
    <x v="13"/>
    <x v="6"/>
    <x v="3"/>
    <n v="0"/>
  </r>
  <r>
    <x v="47"/>
    <s v="VEN"/>
    <x v="1"/>
    <x v="0"/>
    <x v="13"/>
    <x v="3"/>
    <x v="2"/>
    <n v="1826.44"/>
  </r>
  <r>
    <x v="47"/>
    <s v="VEN"/>
    <x v="1"/>
    <x v="0"/>
    <x v="13"/>
    <x v="5"/>
    <x v="2"/>
    <n v="49.11"/>
  </r>
  <r>
    <x v="47"/>
    <s v="VEN"/>
    <x v="1"/>
    <x v="0"/>
    <x v="13"/>
    <x v="2"/>
    <x v="2"/>
    <n v="103.07"/>
  </r>
  <r>
    <x v="47"/>
    <s v="VEN"/>
    <x v="1"/>
    <x v="0"/>
    <x v="14"/>
    <x v="3"/>
    <x v="3"/>
    <n v="1872.35"/>
  </r>
  <r>
    <x v="47"/>
    <s v="VEN"/>
    <x v="1"/>
    <x v="0"/>
    <x v="15"/>
    <x v="6"/>
    <x v="3"/>
    <n v="0"/>
  </r>
  <r>
    <x v="47"/>
    <s v="VEN"/>
    <x v="1"/>
    <x v="0"/>
    <x v="15"/>
    <x v="0"/>
    <x v="0"/>
    <n v="3879.7"/>
  </r>
  <r>
    <x v="47"/>
    <s v="VEN"/>
    <x v="1"/>
    <x v="0"/>
    <x v="15"/>
    <x v="5"/>
    <x v="3"/>
    <n v="0"/>
  </r>
  <r>
    <x v="47"/>
    <s v="VEN"/>
    <x v="1"/>
    <x v="0"/>
    <x v="16"/>
    <x v="3"/>
    <x v="0"/>
    <n v="28768.44"/>
  </r>
  <r>
    <x v="47"/>
    <s v="VEN"/>
    <x v="1"/>
    <x v="0"/>
    <x v="16"/>
    <x v="1"/>
    <x v="2"/>
    <n v="116.97"/>
  </r>
  <r>
    <x v="47"/>
    <s v="VEN"/>
    <x v="1"/>
    <x v="0"/>
    <x v="16"/>
    <x v="2"/>
    <x v="2"/>
    <n v="116.19"/>
  </r>
  <r>
    <x v="47"/>
    <s v="VEN"/>
    <x v="1"/>
    <x v="0"/>
    <x v="17"/>
    <x v="3"/>
    <x v="0"/>
    <n v="30491.25"/>
  </r>
  <r>
    <x v="47"/>
    <s v="VEN"/>
    <x v="1"/>
    <x v="0"/>
    <x v="17"/>
    <x v="5"/>
    <x v="0"/>
    <n v="4476.74"/>
  </r>
  <r>
    <x v="47"/>
    <s v="VEN"/>
    <x v="1"/>
    <x v="0"/>
    <x v="33"/>
    <x v="0"/>
    <x v="2"/>
    <n v="150.11000000000001"/>
  </r>
  <r>
    <x v="47"/>
    <s v="VEN"/>
    <x v="1"/>
    <x v="0"/>
    <x v="33"/>
    <x v="3"/>
    <x v="2"/>
    <n v="1717.81"/>
  </r>
  <r>
    <x v="47"/>
    <s v="VEN"/>
    <x v="1"/>
    <x v="0"/>
    <x v="33"/>
    <x v="2"/>
    <x v="3"/>
    <n v="0"/>
  </r>
  <r>
    <x v="47"/>
    <s v="VEN"/>
    <x v="1"/>
    <x v="0"/>
    <x v="18"/>
    <x v="3"/>
    <x v="0"/>
    <n v="32032.080000000002"/>
  </r>
  <r>
    <x v="47"/>
    <s v="VEN"/>
    <x v="1"/>
    <x v="0"/>
    <x v="18"/>
    <x v="4"/>
    <x v="1"/>
    <n v="20.74"/>
  </r>
  <r>
    <x v="47"/>
    <s v="VEN"/>
    <x v="1"/>
    <x v="0"/>
    <x v="18"/>
    <x v="5"/>
    <x v="3"/>
    <n v="0"/>
  </r>
  <r>
    <x v="47"/>
    <s v="VEN"/>
    <x v="1"/>
    <x v="0"/>
    <x v="18"/>
    <x v="2"/>
    <x v="3"/>
    <n v="0"/>
  </r>
  <r>
    <x v="47"/>
    <s v="VEN"/>
    <x v="1"/>
    <x v="0"/>
    <x v="19"/>
    <x v="3"/>
    <x v="1"/>
    <n v="1591.94"/>
  </r>
  <r>
    <x v="47"/>
    <s v="VEN"/>
    <x v="1"/>
    <x v="0"/>
    <x v="19"/>
    <x v="1"/>
    <x v="0"/>
    <n v="4799.4799999999996"/>
  </r>
  <r>
    <x v="47"/>
    <s v="VEN"/>
    <x v="1"/>
    <x v="0"/>
    <x v="20"/>
    <x v="0"/>
    <x v="0"/>
    <n v="4711.9399999999996"/>
  </r>
  <r>
    <x v="47"/>
    <s v="VEN"/>
    <x v="1"/>
    <x v="0"/>
    <x v="20"/>
    <x v="3"/>
    <x v="1"/>
    <n v="1838.67"/>
  </r>
  <r>
    <x v="47"/>
    <s v="VEN"/>
    <x v="1"/>
    <x v="0"/>
    <x v="20"/>
    <x v="1"/>
    <x v="0"/>
    <n v="5403.32"/>
  </r>
  <r>
    <x v="47"/>
    <s v="VEN"/>
    <x v="1"/>
    <x v="0"/>
    <x v="20"/>
    <x v="5"/>
    <x v="2"/>
    <n v="45.78"/>
  </r>
  <r>
    <x v="47"/>
    <s v="VEN"/>
    <x v="1"/>
    <x v="0"/>
    <x v="21"/>
    <x v="3"/>
    <x v="2"/>
    <n v="1843.7"/>
  </r>
  <r>
    <x v="47"/>
    <s v="VEN"/>
    <x v="1"/>
    <x v="0"/>
    <x v="21"/>
    <x v="1"/>
    <x v="3"/>
    <n v="0"/>
  </r>
  <r>
    <x v="47"/>
    <s v="VEN"/>
    <x v="1"/>
    <x v="0"/>
    <x v="22"/>
    <x v="6"/>
    <x v="1"/>
    <n v="2427.52"/>
  </r>
  <r>
    <x v="47"/>
    <s v="VEN"/>
    <x v="1"/>
    <x v="0"/>
    <x v="22"/>
    <x v="0"/>
    <x v="3"/>
    <n v="0"/>
  </r>
  <r>
    <x v="47"/>
    <s v="VEN"/>
    <x v="1"/>
    <x v="0"/>
    <x v="23"/>
    <x v="3"/>
    <x v="2"/>
    <n v="1952.28"/>
  </r>
  <r>
    <x v="47"/>
    <s v="VEN"/>
    <x v="1"/>
    <x v="0"/>
    <x v="23"/>
    <x v="4"/>
    <x v="1"/>
    <n v="19.03"/>
  </r>
  <r>
    <x v="47"/>
    <s v="VEN"/>
    <x v="1"/>
    <x v="0"/>
    <x v="23"/>
    <x v="1"/>
    <x v="0"/>
    <n v="5691.19"/>
  </r>
  <r>
    <x v="47"/>
    <s v="VEN"/>
    <x v="1"/>
    <x v="0"/>
    <x v="23"/>
    <x v="1"/>
    <x v="3"/>
    <n v="0"/>
  </r>
  <r>
    <x v="47"/>
    <s v="VEN"/>
    <x v="1"/>
    <x v="0"/>
    <x v="23"/>
    <x v="5"/>
    <x v="0"/>
    <n v="4606.0600000000004"/>
  </r>
  <r>
    <x v="47"/>
    <s v="VEN"/>
    <x v="1"/>
    <x v="0"/>
    <x v="23"/>
    <x v="2"/>
    <x v="2"/>
    <n v="102.15"/>
  </r>
  <r>
    <x v="47"/>
    <s v="VEN"/>
    <x v="1"/>
    <x v="0"/>
    <x v="24"/>
    <x v="6"/>
    <x v="1"/>
    <n v="2160.81"/>
  </r>
  <r>
    <x v="47"/>
    <s v="VEN"/>
    <x v="1"/>
    <x v="0"/>
    <x v="24"/>
    <x v="0"/>
    <x v="2"/>
    <n v="162.34"/>
  </r>
  <r>
    <x v="47"/>
    <s v="VEN"/>
    <x v="1"/>
    <x v="0"/>
    <x v="24"/>
    <x v="5"/>
    <x v="2"/>
    <n v="47.04"/>
  </r>
  <r>
    <x v="47"/>
    <s v="VEN"/>
    <x v="1"/>
    <x v="0"/>
    <x v="25"/>
    <x v="0"/>
    <x v="3"/>
    <n v="0"/>
  </r>
  <r>
    <x v="47"/>
    <s v="VEN"/>
    <x v="1"/>
    <x v="0"/>
    <x v="25"/>
    <x v="4"/>
    <x v="0"/>
    <n v="2086.64"/>
  </r>
  <r>
    <x v="47"/>
    <s v="VEN"/>
    <x v="1"/>
    <x v="0"/>
    <x v="25"/>
    <x v="5"/>
    <x v="0"/>
    <n v="5199.99"/>
  </r>
  <r>
    <x v="47"/>
    <s v="VEN"/>
    <x v="1"/>
    <x v="0"/>
    <x v="26"/>
    <x v="5"/>
    <x v="0"/>
    <n v="5287.77"/>
  </r>
  <r>
    <x v="47"/>
    <s v="VEN"/>
    <x v="1"/>
    <x v="0"/>
    <x v="26"/>
    <x v="2"/>
    <x v="1"/>
    <n v="1747.64"/>
  </r>
  <r>
    <x v="47"/>
    <s v="VEN"/>
    <x v="1"/>
    <x v="0"/>
    <x v="34"/>
    <x v="6"/>
    <x v="0"/>
    <n v="304.47000000000003"/>
  </r>
  <r>
    <x v="47"/>
    <s v="VEN"/>
    <x v="1"/>
    <x v="0"/>
    <x v="34"/>
    <x v="0"/>
    <x v="3"/>
    <n v="0"/>
  </r>
  <r>
    <x v="47"/>
    <s v="VEN"/>
    <x v="1"/>
    <x v="0"/>
    <x v="34"/>
    <x v="3"/>
    <x v="2"/>
    <n v="1900.45"/>
  </r>
  <r>
    <x v="47"/>
    <s v="VEN"/>
    <x v="1"/>
    <x v="0"/>
    <x v="34"/>
    <x v="5"/>
    <x v="2"/>
    <n v="50.73"/>
  </r>
  <r>
    <x v="47"/>
    <s v="VEN"/>
    <x v="1"/>
    <x v="0"/>
    <x v="34"/>
    <x v="2"/>
    <x v="3"/>
    <n v="0"/>
  </r>
  <r>
    <x v="47"/>
    <s v="VEN"/>
    <x v="1"/>
    <x v="0"/>
    <x v="27"/>
    <x v="2"/>
    <x v="0"/>
    <n v="275.89"/>
  </r>
  <r>
    <x v="47"/>
    <s v="VEN"/>
    <x v="1"/>
    <x v="0"/>
    <x v="28"/>
    <x v="3"/>
    <x v="2"/>
    <n v="1962.77"/>
  </r>
  <r>
    <x v="47"/>
    <s v="VEN"/>
    <x v="1"/>
    <x v="0"/>
    <x v="29"/>
    <x v="6"/>
    <x v="3"/>
    <n v="0"/>
  </r>
  <r>
    <x v="47"/>
    <s v="VEN"/>
    <x v="1"/>
    <x v="0"/>
    <x v="29"/>
    <x v="3"/>
    <x v="1"/>
    <n v="1632.09"/>
  </r>
  <r>
    <x v="47"/>
    <s v="VEN"/>
    <x v="1"/>
    <x v="0"/>
    <x v="29"/>
    <x v="2"/>
    <x v="1"/>
    <n v="1352.57"/>
  </r>
  <r>
    <x v="47"/>
    <s v="VEN"/>
    <x v="1"/>
    <x v="0"/>
    <x v="29"/>
    <x v="2"/>
    <x v="0"/>
    <n v="269.33"/>
  </r>
  <r>
    <x v="47"/>
    <s v="VEN"/>
    <x v="1"/>
    <x v="0"/>
    <x v="30"/>
    <x v="6"/>
    <x v="2"/>
    <n v="623.5"/>
  </r>
  <r>
    <x v="47"/>
    <s v="VEN"/>
    <x v="1"/>
    <x v="0"/>
    <x v="30"/>
    <x v="1"/>
    <x v="1"/>
    <n v="163.76"/>
  </r>
  <r>
    <x v="47"/>
    <s v="VEN"/>
    <x v="1"/>
    <x v="0"/>
    <x v="30"/>
    <x v="5"/>
    <x v="2"/>
    <n v="49.69"/>
  </r>
  <r>
    <x v="47"/>
    <s v="VEN"/>
    <x v="1"/>
    <x v="0"/>
    <x v="31"/>
    <x v="6"/>
    <x v="1"/>
    <n v="2242.3200000000002"/>
  </r>
  <r>
    <x v="47"/>
    <s v="VEN"/>
    <x v="1"/>
    <x v="0"/>
    <x v="31"/>
    <x v="3"/>
    <x v="2"/>
    <n v="1969.42"/>
  </r>
  <r>
    <x v="47"/>
    <s v="VEN"/>
    <x v="1"/>
    <x v="0"/>
    <x v="31"/>
    <x v="2"/>
    <x v="0"/>
    <n v="310.57"/>
  </r>
  <r>
    <x v="47"/>
    <s v="VEN"/>
    <x v="1"/>
    <x v="0"/>
    <x v="31"/>
    <x v="2"/>
    <x v="3"/>
    <n v="0"/>
  </r>
  <r>
    <x v="47"/>
    <s v="VEN"/>
    <x v="1"/>
    <x v="0"/>
    <x v="32"/>
    <x v="6"/>
    <x v="1"/>
    <n v="2907.8"/>
  </r>
  <r>
    <x v="47"/>
    <s v="VEN"/>
    <x v="1"/>
    <x v="0"/>
    <x v="32"/>
    <x v="6"/>
    <x v="0"/>
    <n v="393.19"/>
  </r>
  <r>
    <x v="47"/>
    <s v="VEN"/>
    <x v="1"/>
    <x v="0"/>
    <x v="32"/>
    <x v="0"/>
    <x v="1"/>
    <n v="438.46"/>
  </r>
  <r>
    <x v="47"/>
    <s v="VEN"/>
    <x v="1"/>
    <x v="0"/>
    <x v="32"/>
    <x v="3"/>
    <x v="3"/>
    <n v="2268.6"/>
  </r>
  <r>
    <x v="47"/>
    <s v="VEN"/>
    <x v="1"/>
    <x v="0"/>
    <x v="32"/>
    <x v="4"/>
    <x v="1"/>
    <n v="24.71"/>
  </r>
  <r>
    <x v="48"/>
    <s v="VNM"/>
    <x v="3"/>
    <x v="2"/>
    <x v="0"/>
    <x v="6"/>
    <x v="0"/>
    <n v="1857.6"/>
  </r>
  <r>
    <x v="48"/>
    <s v="VNM"/>
    <x v="3"/>
    <x v="2"/>
    <x v="0"/>
    <x v="4"/>
    <x v="1"/>
    <n v="175.84"/>
  </r>
  <r>
    <x v="48"/>
    <s v="VNM"/>
    <x v="3"/>
    <x v="2"/>
    <x v="0"/>
    <x v="4"/>
    <x v="0"/>
    <n v="17119.78"/>
  </r>
  <r>
    <x v="48"/>
    <s v="VNM"/>
    <x v="3"/>
    <x v="2"/>
    <x v="0"/>
    <x v="1"/>
    <x v="0"/>
    <n v="97094.32"/>
  </r>
  <r>
    <x v="48"/>
    <s v="VNM"/>
    <x v="3"/>
    <x v="2"/>
    <x v="1"/>
    <x v="1"/>
    <x v="3"/>
    <n v="0"/>
  </r>
  <r>
    <x v="48"/>
    <s v="VNM"/>
    <x v="3"/>
    <x v="2"/>
    <x v="2"/>
    <x v="0"/>
    <x v="1"/>
    <n v="1256.3"/>
  </r>
  <r>
    <x v="48"/>
    <s v="VNM"/>
    <x v="3"/>
    <x v="2"/>
    <x v="2"/>
    <x v="0"/>
    <x v="2"/>
    <n v="549.84"/>
  </r>
  <r>
    <x v="48"/>
    <s v="VNM"/>
    <x v="3"/>
    <x v="2"/>
    <x v="2"/>
    <x v="3"/>
    <x v="0"/>
    <n v="65044.79"/>
  </r>
  <r>
    <x v="48"/>
    <s v="VNM"/>
    <x v="3"/>
    <x v="2"/>
    <x v="2"/>
    <x v="4"/>
    <x v="3"/>
    <n v="0"/>
  </r>
  <r>
    <x v="48"/>
    <s v="VNM"/>
    <x v="3"/>
    <x v="2"/>
    <x v="3"/>
    <x v="6"/>
    <x v="1"/>
    <n v="13026.87"/>
  </r>
  <r>
    <x v="48"/>
    <s v="VNM"/>
    <x v="3"/>
    <x v="2"/>
    <x v="3"/>
    <x v="1"/>
    <x v="2"/>
    <n v="2161.5300000000002"/>
  </r>
  <r>
    <x v="48"/>
    <s v="VNM"/>
    <x v="3"/>
    <x v="2"/>
    <x v="3"/>
    <x v="5"/>
    <x v="0"/>
    <n v="61500.57"/>
  </r>
  <r>
    <x v="48"/>
    <s v="VNM"/>
    <x v="3"/>
    <x v="2"/>
    <x v="3"/>
    <x v="5"/>
    <x v="2"/>
    <n v="608.85"/>
  </r>
  <r>
    <x v="48"/>
    <s v="VNM"/>
    <x v="3"/>
    <x v="2"/>
    <x v="4"/>
    <x v="0"/>
    <x v="0"/>
    <n v="16549.38"/>
  </r>
  <r>
    <x v="48"/>
    <s v="VNM"/>
    <x v="3"/>
    <x v="2"/>
    <x v="4"/>
    <x v="5"/>
    <x v="2"/>
    <n v="620.78"/>
  </r>
  <r>
    <x v="48"/>
    <s v="VNM"/>
    <x v="3"/>
    <x v="2"/>
    <x v="4"/>
    <x v="2"/>
    <x v="1"/>
    <n v="17901.080000000002"/>
  </r>
  <r>
    <x v="48"/>
    <s v="VNM"/>
    <x v="3"/>
    <x v="2"/>
    <x v="5"/>
    <x v="2"/>
    <x v="1"/>
    <n v="16557.939999999999"/>
  </r>
  <r>
    <x v="48"/>
    <s v="VNM"/>
    <x v="3"/>
    <x v="2"/>
    <x v="6"/>
    <x v="6"/>
    <x v="3"/>
    <n v="0"/>
  </r>
  <r>
    <x v="48"/>
    <s v="VNM"/>
    <x v="3"/>
    <x v="2"/>
    <x v="6"/>
    <x v="4"/>
    <x v="0"/>
    <n v="19151.63"/>
  </r>
  <r>
    <x v="48"/>
    <s v="VNM"/>
    <x v="3"/>
    <x v="2"/>
    <x v="6"/>
    <x v="4"/>
    <x v="3"/>
    <n v="0"/>
  </r>
  <r>
    <x v="48"/>
    <s v="VNM"/>
    <x v="3"/>
    <x v="2"/>
    <x v="6"/>
    <x v="5"/>
    <x v="1"/>
    <n v="1251.8900000000001"/>
  </r>
  <r>
    <x v="48"/>
    <s v="VNM"/>
    <x v="3"/>
    <x v="2"/>
    <x v="7"/>
    <x v="6"/>
    <x v="1"/>
    <n v="12572.45"/>
  </r>
  <r>
    <x v="48"/>
    <s v="VNM"/>
    <x v="3"/>
    <x v="2"/>
    <x v="7"/>
    <x v="4"/>
    <x v="1"/>
    <n v="161.41"/>
  </r>
  <r>
    <x v="48"/>
    <s v="VNM"/>
    <x v="3"/>
    <x v="2"/>
    <x v="7"/>
    <x v="2"/>
    <x v="3"/>
    <n v="0"/>
  </r>
  <r>
    <x v="48"/>
    <s v="VNM"/>
    <x v="3"/>
    <x v="2"/>
    <x v="8"/>
    <x v="6"/>
    <x v="1"/>
    <n v="15036.6"/>
  </r>
  <r>
    <x v="48"/>
    <s v="VNM"/>
    <x v="3"/>
    <x v="2"/>
    <x v="8"/>
    <x v="6"/>
    <x v="2"/>
    <n v="4591.68"/>
  </r>
  <r>
    <x v="48"/>
    <s v="VNM"/>
    <x v="3"/>
    <x v="2"/>
    <x v="8"/>
    <x v="0"/>
    <x v="0"/>
    <n v="20666.61"/>
  </r>
  <r>
    <x v="48"/>
    <s v="VNM"/>
    <x v="3"/>
    <x v="2"/>
    <x v="8"/>
    <x v="0"/>
    <x v="3"/>
    <n v="0"/>
  </r>
  <r>
    <x v="48"/>
    <s v="VNM"/>
    <x v="3"/>
    <x v="2"/>
    <x v="8"/>
    <x v="4"/>
    <x v="3"/>
    <n v="0"/>
  </r>
  <r>
    <x v="48"/>
    <s v="VNM"/>
    <x v="3"/>
    <x v="2"/>
    <x v="8"/>
    <x v="1"/>
    <x v="2"/>
    <n v="2563.9899999999998"/>
  </r>
  <r>
    <x v="48"/>
    <s v="VNM"/>
    <x v="3"/>
    <x v="2"/>
    <x v="9"/>
    <x v="6"/>
    <x v="3"/>
    <n v="0"/>
  </r>
  <r>
    <x v="48"/>
    <s v="VNM"/>
    <x v="3"/>
    <x v="2"/>
    <x v="9"/>
    <x v="1"/>
    <x v="3"/>
    <n v="0"/>
  </r>
  <r>
    <x v="48"/>
    <s v="VNM"/>
    <x v="3"/>
    <x v="2"/>
    <x v="10"/>
    <x v="0"/>
    <x v="0"/>
    <n v="20051.72"/>
  </r>
  <r>
    <x v="48"/>
    <s v="VNM"/>
    <x v="3"/>
    <x v="2"/>
    <x v="12"/>
    <x v="0"/>
    <x v="2"/>
    <n v="760.55"/>
  </r>
  <r>
    <x v="48"/>
    <s v="VNM"/>
    <x v="3"/>
    <x v="2"/>
    <x v="12"/>
    <x v="3"/>
    <x v="0"/>
    <n v="75519.42"/>
  </r>
  <r>
    <x v="48"/>
    <s v="VNM"/>
    <x v="3"/>
    <x v="2"/>
    <x v="12"/>
    <x v="4"/>
    <x v="1"/>
    <n v="265.11"/>
  </r>
  <r>
    <x v="48"/>
    <s v="VNM"/>
    <x v="3"/>
    <x v="2"/>
    <x v="13"/>
    <x v="0"/>
    <x v="0"/>
    <n v="19901.75"/>
  </r>
  <r>
    <x v="48"/>
    <s v="VNM"/>
    <x v="3"/>
    <x v="2"/>
    <x v="13"/>
    <x v="1"/>
    <x v="1"/>
    <n v="3957.69"/>
  </r>
  <r>
    <x v="48"/>
    <s v="VNM"/>
    <x v="3"/>
    <x v="2"/>
    <x v="13"/>
    <x v="2"/>
    <x v="2"/>
    <n v="1551.73"/>
  </r>
  <r>
    <x v="48"/>
    <s v="VNM"/>
    <x v="3"/>
    <x v="2"/>
    <x v="14"/>
    <x v="4"/>
    <x v="0"/>
    <n v="22843.25"/>
  </r>
  <r>
    <x v="48"/>
    <s v="VNM"/>
    <x v="3"/>
    <x v="2"/>
    <x v="15"/>
    <x v="3"/>
    <x v="2"/>
    <n v="4648.08"/>
  </r>
  <r>
    <x v="48"/>
    <s v="VNM"/>
    <x v="3"/>
    <x v="2"/>
    <x v="15"/>
    <x v="2"/>
    <x v="1"/>
    <n v="27821.1"/>
  </r>
  <r>
    <x v="48"/>
    <s v="VNM"/>
    <x v="3"/>
    <x v="2"/>
    <x v="16"/>
    <x v="0"/>
    <x v="1"/>
    <n v="1681.88"/>
  </r>
  <r>
    <x v="48"/>
    <s v="VNM"/>
    <x v="3"/>
    <x v="2"/>
    <x v="16"/>
    <x v="1"/>
    <x v="3"/>
    <n v="0"/>
  </r>
  <r>
    <x v="48"/>
    <s v="VNM"/>
    <x v="3"/>
    <x v="2"/>
    <x v="17"/>
    <x v="0"/>
    <x v="0"/>
    <n v="21245.279999999999"/>
  </r>
  <r>
    <x v="48"/>
    <s v="VNM"/>
    <x v="3"/>
    <x v="2"/>
    <x v="17"/>
    <x v="3"/>
    <x v="1"/>
    <n v="5077.16"/>
  </r>
  <r>
    <x v="48"/>
    <s v="VNM"/>
    <x v="3"/>
    <x v="2"/>
    <x v="17"/>
    <x v="1"/>
    <x v="3"/>
    <n v="0"/>
  </r>
  <r>
    <x v="48"/>
    <s v="VNM"/>
    <x v="3"/>
    <x v="2"/>
    <x v="33"/>
    <x v="0"/>
    <x v="2"/>
    <n v="740.98"/>
  </r>
  <r>
    <x v="48"/>
    <s v="VNM"/>
    <x v="3"/>
    <x v="2"/>
    <x v="33"/>
    <x v="3"/>
    <x v="0"/>
    <n v="93244.06"/>
  </r>
  <r>
    <x v="48"/>
    <s v="VNM"/>
    <x v="3"/>
    <x v="2"/>
    <x v="18"/>
    <x v="0"/>
    <x v="0"/>
    <n v="24359.24"/>
  </r>
  <r>
    <x v="48"/>
    <s v="VNM"/>
    <x v="3"/>
    <x v="2"/>
    <x v="18"/>
    <x v="4"/>
    <x v="3"/>
    <n v="0"/>
  </r>
  <r>
    <x v="48"/>
    <s v="VNM"/>
    <x v="3"/>
    <x v="2"/>
    <x v="18"/>
    <x v="4"/>
    <x v="2"/>
    <n v="268.77999999999997"/>
  </r>
  <r>
    <x v="48"/>
    <s v="VNM"/>
    <x v="3"/>
    <x v="2"/>
    <x v="18"/>
    <x v="1"/>
    <x v="0"/>
    <n v="150070.25"/>
  </r>
  <r>
    <x v="48"/>
    <s v="VNM"/>
    <x v="3"/>
    <x v="2"/>
    <x v="18"/>
    <x v="5"/>
    <x v="1"/>
    <n v="1589.52"/>
  </r>
  <r>
    <x v="48"/>
    <s v="VNM"/>
    <x v="3"/>
    <x v="2"/>
    <x v="18"/>
    <x v="5"/>
    <x v="2"/>
    <n v="820.62"/>
  </r>
  <r>
    <x v="48"/>
    <s v="VNM"/>
    <x v="3"/>
    <x v="2"/>
    <x v="18"/>
    <x v="2"/>
    <x v="1"/>
    <n v="28424.71"/>
  </r>
  <r>
    <x v="48"/>
    <s v="VNM"/>
    <x v="3"/>
    <x v="2"/>
    <x v="18"/>
    <x v="2"/>
    <x v="2"/>
    <n v="1651.06"/>
  </r>
  <r>
    <x v="48"/>
    <s v="VNM"/>
    <x v="3"/>
    <x v="2"/>
    <x v="19"/>
    <x v="6"/>
    <x v="2"/>
    <n v="5903.84"/>
  </r>
  <r>
    <x v="48"/>
    <s v="VNM"/>
    <x v="3"/>
    <x v="2"/>
    <x v="19"/>
    <x v="3"/>
    <x v="0"/>
    <n v="86998.65"/>
  </r>
  <r>
    <x v="48"/>
    <s v="VNM"/>
    <x v="3"/>
    <x v="2"/>
    <x v="19"/>
    <x v="3"/>
    <x v="3"/>
    <n v="5342.16"/>
  </r>
  <r>
    <x v="48"/>
    <s v="VNM"/>
    <x v="3"/>
    <x v="2"/>
    <x v="20"/>
    <x v="0"/>
    <x v="0"/>
    <n v="22829.27"/>
  </r>
  <r>
    <x v="48"/>
    <s v="VNM"/>
    <x v="3"/>
    <x v="2"/>
    <x v="20"/>
    <x v="3"/>
    <x v="0"/>
    <n v="86175.75"/>
  </r>
  <r>
    <x v="48"/>
    <s v="VNM"/>
    <x v="3"/>
    <x v="2"/>
    <x v="20"/>
    <x v="4"/>
    <x v="2"/>
    <n v="279.08"/>
  </r>
  <r>
    <x v="48"/>
    <s v="VNM"/>
    <x v="3"/>
    <x v="2"/>
    <x v="20"/>
    <x v="5"/>
    <x v="3"/>
    <n v="0"/>
  </r>
  <r>
    <x v="48"/>
    <s v="VNM"/>
    <x v="3"/>
    <x v="2"/>
    <x v="21"/>
    <x v="0"/>
    <x v="1"/>
    <n v="1933.05"/>
  </r>
  <r>
    <x v="48"/>
    <s v="VNM"/>
    <x v="3"/>
    <x v="2"/>
    <x v="21"/>
    <x v="1"/>
    <x v="1"/>
    <n v="4373.6000000000004"/>
  </r>
  <r>
    <x v="48"/>
    <s v="VNM"/>
    <x v="3"/>
    <x v="2"/>
    <x v="22"/>
    <x v="3"/>
    <x v="1"/>
    <n v="5187.59"/>
  </r>
  <r>
    <x v="48"/>
    <s v="VNM"/>
    <x v="3"/>
    <x v="2"/>
    <x v="22"/>
    <x v="4"/>
    <x v="2"/>
    <n v="268.3"/>
  </r>
  <r>
    <x v="48"/>
    <s v="VNM"/>
    <x v="3"/>
    <x v="2"/>
    <x v="22"/>
    <x v="1"/>
    <x v="2"/>
    <n v="3051.6"/>
  </r>
  <r>
    <x v="48"/>
    <s v="VNM"/>
    <x v="3"/>
    <x v="2"/>
    <x v="23"/>
    <x v="0"/>
    <x v="2"/>
    <n v="779.86"/>
  </r>
  <r>
    <x v="48"/>
    <s v="VNM"/>
    <x v="3"/>
    <x v="2"/>
    <x v="23"/>
    <x v="3"/>
    <x v="1"/>
    <n v="5254.33"/>
  </r>
  <r>
    <x v="48"/>
    <s v="VNM"/>
    <x v="3"/>
    <x v="2"/>
    <x v="23"/>
    <x v="4"/>
    <x v="3"/>
    <n v="0"/>
  </r>
  <r>
    <x v="48"/>
    <s v="VNM"/>
    <x v="3"/>
    <x v="2"/>
    <x v="23"/>
    <x v="2"/>
    <x v="3"/>
    <n v="0"/>
  </r>
  <r>
    <x v="48"/>
    <s v="VNM"/>
    <x v="3"/>
    <x v="2"/>
    <x v="25"/>
    <x v="4"/>
    <x v="2"/>
    <n v="282.55"/>
  </r>
  <r>
    <x v="48"/>
    <s v="VNM"/>
    <x v="3"/>
    <x v="2"/>
    <x v="25"/>
    <x v="2"/>
    <x v="3"/>
    <n v="0"/>
  </r>
  <r>
    <x v="48"/>
    <s v="VNM"/>
    <x v="3"/>
    <x v="2"/>
    <x v="26"/>
    <x v="6"/>
    <x v="2"/>
    <n v="5867.24"/>
  </r>
  <r>
    <x v="48"/>
    <s v="VNM"/>
    <x v="3"/>
    <x v="2"/>
    <x v="26"/>
    <x v="4"/>
    <x v="0"/>
    <n v="29167.89"/>
  </r>
  <r>
    <x v="48"/>
    <s v="VNM"/>
    <x v="3"/>
    <x v="2"/>
    <x v="26"/>
    <x v="5"/>
    <x v="2"/>
    <n v="875.23"/>
  </r>
  <r>
    <x v="48"/>
    <s v="VNM"/>
    <x v="3"/>
    <x v="2"/>
    <x v="34"/>
    <x v="6"/>
    <x v="3"/>
    <n v="0"/>
  </r>
  <r>
    <x v="48"/>
    <s v="VNM"/>
    <x v="3"/>
    <x v="2"/>
    <x v="34"/>
    <x v="3"/>
    <x v="0"/>
    <n v="84757.01"/>
  </r>
  <r>
    <x v="48"/>
    <s v="VNM"/>
    <x v="3"/>
    <x v="2"/>
    <x v="34"/>
    <x v="1"/>
    <x v="0"/>
    <n v="151480.87"/>
  </r>
  <r>
    <x v="48"/>
    <s v="VNM"/>
    <x v="3"/>
    <x v="2"/>
    <x v="27"/>
    <x v="3"/>
    <x v="3"/>
    <n v="4614.34"/>
  </r>
  <r>
    <x v="48"/>
    <s v="VNM"/>
    <x v="3"/>
    <x v="2"/>
    <x v="27"/>
    <x v="4"/>
    <x v="1"/>
    <n v="253.09"/>
  </r>
  <r>
    <x v="48"/>
    <s v="VNM"/>
    <x v="3"/>
    <x v="2"/>
    <x v="27"/>
    <x v="4"/>
    <x v="2"/>
    <n v="259.38"/>
  </r>
  <r>
    <x v="48"/>
    <s v="VNM"/>
    <x v="3"/>
    <x v="2"/>
    <x v="27"/>
    <x v="5"/>
    <x v="1"/>
    <n v="1755.23"/>
  </r>
  <r>
    <x v="48"/>
    <s v="VNM"/>
    <x v="3"/>
    <x v="2"/>
    <x v="28"/>
    <x v="0"/>
    <x v="0"/>
    <n v="23942.37"/>
  </r>
  <r>
    <x v="48"/>
    <s v="VNM"/>
    <x v="3"/>
    <x v="2"/>
    <x v="28"/>
    <x v="3"/>
    <x v="0"/>
    <n v="90239.49"/>
  </r>
  <r>
    <x v="48"/>
    <s v="VNM"/>
    <x v="3"/>
    <x v="2"/>
    <x v="29"/>
    <x v="1"/>
    <x v="3"/>
    <n v="0"/>
  </r>
  <r>
    <x v="48"/>
    <s v="VNM"/>
    <x v="3"/>
    <x v="2"/>
    <x v="29"/>
    <x v="2"/>
    <x v="1"/>
    <n v="29596.13"/>
  </r>
  <r>
    <x v="48"/>
    <s v="VNM"/>
    <x v="3"/>
    <x v="2"/>
    <x v="29"/>
    <x v="2"/>
    <x v="0"/>
    <n v="5588.32"/>
  </r>
  <r>
    <x v="48"/>
    <s v="VNM"/>
    <x v="3"/>
    <x v="2"/>
    <x v="30"/>
    <x v="6"/>
    <x v="3"/>
    <n v="0"/>
  </r>
  <r>
    <x v="48"/>
    <s v="VNM"/>
    <x v="3"/>
    <x v="2"/>
    <x v="30"/>
    <x v="4"/>
    <x v="1"/>
    <n v="299.16000000000003"/>
  </r>
  <r>
    <x v="48"/>
    <s v="VNM"/>
    <x v="3"/>
    <x v="2"/>
    <x v="31"/>
    <x v="6"/>
    <x v="1"/>
    <n v="18944.97"/>
  </r>
  <r>
    <x v="48"/>
    <s v="VNM"/>
    <x v="3"/>
    <x v="2"/>
    <x v="31"/>
    <x v="0"/>
    <x v="3"/>
    <n v="0"/>
  </r>
  <r>
    <x v="48"/>
    <s v="VNM"/>
    <x v="3"/>
    <x v="2"/>
    <x v="31"/>
    <x v="3"/>
    <x v="2"/>
    <n v="5293.6"/>
  </r>
  <r>
    <x v="48"/>
    <s v="VNM"/>
    <x v="3"/>
    <x v="2"/>
    <x v="31"/>
    <x v="4"/>
    <x v="2"/>
    <n v="274.24"/>
  </r>
  <r>
    <x v="48"/>
    <s v="VNM"/>
    <x v="3"/>
    <x v="2"/>
    <x v="31"/>
    <x v="1"/>
    <x v="2"/>
    <n v="2951.3"/>
  </r>
  <r>
    <x v="48"/>
    <s v="VNM"/>
    <x v="3"/>
    <x v="2"/>
    <x v="32"/>
    <x v="0"/>
    <x v="1"/>
    <n v="2249.4499999999998"/>
  </r>
  <r>
    <x v="48"/>
    <s v="VNM"/>
    <x v="3"/>
    <x v="2"/>
    <x v="32"/>
    <x v="3"/>
    <x v="1"/>
    <n v="6481.88"/>
  </r>
  <r>
    <x v="48"/>
    <s v="VNM"/>
    <x v="3"/>
    <x v="2"/>
    <x v="32"/>
    <x v="1"/>
    <x v="2"/>
    <n v="3353.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B72B78-25F4-4290-9DDD-2AA2A2845C36}" name="TOTAL EMISSIOS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showAll="0"/>
    <pivotField showAll="0"/>
    <pivotField showAll="0"/>
    <pivotField showAll="0"/>
    <pivotField showAll="0"/>
    <pivotField dataField="1" numFmtId="1" showAll="0"/>
  </pivotFields>
  <rowItems count="1">
    <i/>
  </rowItems>
  <colItems count="1">
    <i/>
  </colItems>
  <dataFields count="1">
    <dataField name="Sum of emissions_ktco2e"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6FF9F-6895-4103-A6EB-4888699F16F0}" name="TOP GAS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V2:W7" firstHeaderRow="1" firstDataRow="1"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items count="8">
        <item x="6"/>
        <item x="0"/>
        <item x="3"/>
        <item x="4"/>
        <item x="1"/>
        <item x="5"/>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numFmtId="1" showAll="0"/>
  </pivotFields>
  <rowFields count="1">
    <field x="6"/>
  </rowFields>
  <rowItems count="5">
    <i>
      <x v="1"/>
    </i>
    <i>
      <x/>
    </i>
    <i>
      <x v="3"/>
    </i>
    <i>
      <x v="2"/>
    </i>
    <i t="grand">
      <x/>
    </i>
  </rowItems>
  <colItems count="1">
    <i/>
  </colItems>
  <dataFields count="1">
    <dataField name="Sum of emissions_ktco2e" fld="7" baseField="0" baseItem="0" numFmtId="1"/>
  </dataFields>
  <chartFormats count="10">
    <chartFormat chart="3"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1"/>
          </reference>
        </references>
      </pivotArea>
    </chartFormat>
    <chartFormat chart="8" format="8">
      <pivotArea type="data" outline="0" fieldPosition="0">
        <references count="2">
          <reference field="4294967294" count="1" selected="0">
            <x v="0"/>
          </reference>
          <reference field="6" count="1" selected="0">
            <x v="0"/>
          </reference>
        </references>
      </pivotArea>
    </chartFormat>
    <chartFormat chart="8" format="9">
      <pivotArea type="data" outline="0" fieldPosition="0">
        <references count="2">
          <reference field="4294967294" count="1" selected="0">
            <x v="0"/>
          </reference>
          <reference field="6" count="1" selected="0">
            <x v="3"/>
          </reference>
        </references>
      </pivotArea>
    </chartFormat>
    <chartFormat chart="8" format="10">
      <pivotArea type="data" outline="0" fieldPosition="0">
        <references count="2">
          <reference field="4294967294" count="1" selected="0">
            <x v="0"/>
          </reference>
          <reference field="6" count="1" selected="0">
            <x v="2"/>
          </reference>
        </references>
      </pivotArea>
    </chartFormat>
    <chartFormat chart="3" format="1">
      <pivotArea type="data" outline="0" fieldPosition="0">
        <references count="2">
          <reference field="4294967294" count="1" selected="0">
            <x v="0"/>
          </reference>
          <reference field="6" count="1" selected="0">
            <x v="1"/>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3"/>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00B39C-8956-4412-BAA9-5106E25F2E04}" name="TOP REGION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B2:AC8" firstHeaderRow="1" firstDataRow="1"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axis="axisRow" showAll="0" sortType="de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items count="8">
        <item x="6"/>
        <item x="0"/>
        <item x="3"/>
        <item x="4"/>
        <item x="1"/>
        <item x="5"/>
        <item x="2"/>
        <item t="default"/>
      </items>
    </pivotField>
    <pivotField showAll="0"/>
    <pivotField dataField="1" numFmtId="1" showAll="0"/>
  </pivotFields>
  <rowFields count="1">
    <field x="2"/>
  </rowFields>
  <rowItems count="6">
    <i>
      <x v="2"/>
    </i>
    <i>
      <x v="3"/>
    </i>
    <i>
      <x/>
    </i>
    <i>
      <x v="1"/>
    </i>
    <i>
      <x v="4"/>
    </i>
    <i t="grand">
      <x/>
    </i>
  </rowItems>
  <colItems count="1">
    <i/>
  </colItems>
  <dataFields count="1">
    <dataField name="Sum of emissions_ktco2e" fld="7" baseField="0" baseItem="0" numFmtId="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B19D8-3160-4961-9FBE-47CDE33A275A}" name="STACKED COUNTRY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O1:AW52" firstHeaderRow="1" firstDataRow="2" firstDataCol="1"/>
  <pivotFields count="8">
    <pivotField axis="axisRow"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axis="axisCol" showAll="0">
      <items count="8">
        <item x="6"/>
        <item x="0"/>
        <item x="3"/>
        <item x="4"/>
        <item x="1"/>
        <item x="5"/>
        <item x="2"/>
        <item t="default"/>
      </items>
    </pivotField>
    <pivotField showAll="0"/>
    <pivotField dataField="1" numFmtId="1"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5"/>
  </colFields>
  <colItems count="8">
    <i>
      <x/>
    </i>
    <i>
      <x v="1"/>
    </i>
    <i>
      <x v="2"/>
    </i>
    <i>
      <x v="3"/>
    </i>
    <i>
      <x v="4"/>
    </i>
    <i>
      <x v="5"/>
    </i>
    <i>
      <x v="6"/>
    </i>
    <i t="grand">
      <x/>
    </i>
  </colItems>
  <dataFields count="1">
    <dataField name="Sum of emissions_ktco2e" fld="7" baseField="0" baseItem="0" numFmtId="1"/>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599458-F7F1-4AEA-BA18-73F0A0B80478}" name="TOP COUNTRY CARD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54" firstHeaderRow="1" firstDataRow="1" firstDataCol="1" rowPageCount="1" colPageCount="1"/>
  <pivotFields count="8">
    <pivotField axis="axisRow" showAll="0"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pivotField showAll="0"/>
    <pivotField dataField="1" numFmtId="1" showAll="0"/>
  </pivotFields>
  <rowFields count="1">
    <field x="0"/>
  </rowFields>
  <rowItems count="50">
    <i>
      <x v="7"/>
    </i>
    <i>
      <x v="11"/>
    </i>
    <i>
      <x v="33"/>
    </i>
    <i>
      <x v="13"/>
    </i>
    <i>
      <x v="26"/>
    </i>
    <i>
      <x v="38"/>
    </i>
    <i>
      <x v="22"/>
    </i>
    <i>
      <x v="18"/>
    </i>
    <i>
      <x v="36"/>
    </i>
    <i>
      <x v="12"/>
    </i>
    <i>
      <x v="17"/>
    </i>
    <i>
      <x v="34"/>
    </i>
    <i>
      <x v="45"/>
    </i>
    <i>
      <x v="46"/>
    </i>
    <i>
      <x v="27"/>
    </i>
    <i>
      <x v="9"/>
    </i>
    <i>
      <x v="2"/>
    </i>
    <i>
      <x v="14"/>
    </i>
    <i>
      <x v="42"/>
    </i>
    <i>
      <x v="4"/>
    </i>
    <i>
      <x v="37"/>
    </i>
    <i>
      <x v="15"/>
    </i>
    <i>
      <x v="48"/>
    </i>
    <i>
      <x v="39"/>
    </i>
    <i>
      <x v="1"/>
    </i>
    <i>
      <x v="28"/>
    </i>
    <i>
      <x v="35"/>
    </i>
    <i>
      <x v="44"/>
    </i>
    <i>
      <x v="31"/>
    </i>
    <i>
      <x v="5"/>
    </i>
    <i>
      <x v="29"/>
    </i>
    <i>
      <x/>
    </i>
    <i>
      <x v="3"/>
    </i>
    <i>
      <x v="40"/>
    </i>
    <i>
      <x v="23"/>
    </i>
    <i>
      <x v="10"/>
    </i>
    <i>
      <x v="24"/>
    </i>
    <i>
      <x v="32"/>
    </i>
    <i>
      <x v="16"/>
    </i>
    <i>
      <x v="41"/>
    </i>
    <i>
      <x v="20"/>
    </i>
    <i>
      <x v="21"/>
    </i>
    <i>
      <x v="8"/>
    </i>
    <i>
      <x v="19"/>
    </i>
    <i>
      <x v="47"/>
    </i>
    <i>
      <x v="30"/>
    </i>
    <i>
      <x v="6"/>
    </i>
    <i>
      <x v="25"/>
    </i>
    <i>
      <x v="43"/>
    </i>
    <i t="grand">
      <x/>
    </i>
  </rowItems>
  <colItems count="1">
    <i/>
  </colItems>
  <pageFields count="1">
    <pageField fld="4" hier="-1"/>
  </pageFields>
  <dataFields count="1">
    <dataField name="Sum of emissions_ktco2e"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09565B-2B65-401F-A4B4-E9853091107C}" name="TOP SECTORS "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S2:T9" firstHeaderRow="1" firstDataRow="1"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axis="axisRow" showAll="0" sortType="descending">
      <items count="8">
        <item x="6"/>
        <item x="0"/>
        <item x="3"/>
        <item x="4"/>
        <item x="1"/>
        <item x="5"/>
        <item x="2"/>
        <item t="default"/>
      </items>
      <autoSortScope>
        <pivotArea dataOnly="0" outline="0" fieldPosition="0">
          <references count="1">
            <reference field="4294967294" count="1" selected="0">
              <x v="0"/>
            </reference>
          </references>
        </pivotArea>
      </autoSortScope>
    </pivotField>
    <pivotField showAll="0"/>
    <pivotField dataField="1" numFmtId="1" showAll="0"/>
  </pivotFields>
  <rowFields count="1">
    <field x="5"/>
  </rowFields>
  <rowItems count="7">
    <i>
      <x v="4"/>
    </i>
    <i>
      <x v="5"/>
    </i>
    <i>
      <x/>
    </i>
    <i>
      <x v="2"/>
    </i>
    <i>
      <x v="6"/>
    </i>
    <i>
      <x v="1"/>
    </i>
    <i>
      <x v="3"/>
    </i>
  </rowItems>
  <colItems count="1">
    <i/>
  </colItems>
  <dataFields count="1">
    <dataField name="Sum of emissions_ktco2e" fld="7"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84A89C-22EE-4535-B6DF-574B262B609C}" name="TOP GROUP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2:Z7" firstHeaderRow="1" firstDataRow="1"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items count="8">
        <item x="6"/>
        <item x="0"/>
        <item x="3"/>
        <item x="4"/>
        <item x="1"/>
        <item x="5"/>
        <item x="2"/>
        <item t="default"/>
      </items>
    </pivotField>
    <pivotField showAll="0"/>
    <pivotField dataField="1" numFmtId="1" showAll="0"/>
  </pivotFields>
  <rowFields count="1">
    <field x="3"/>
  </rowFields>
  <rowItems count="5">
    <i>
      <x/>
    </i>
    <i>
      <x v="3"/>
    </i>
    <i>
      <x v="2"/>
    </i>
    <i>
      <x v="1"/>
    </i>
    <i t="grand">
      <x/>
    </i>
  </rowItems>
  <colItems count="1">
    <i/>
  </colItems>
  <dataFields count="1">
    <dataField name="Sum of emissions_ktco2e" fld="7" baseField="0" baseItem="0" numFmtId="1"/>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3"/>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4F155B-8311-4F0B-89AA-7BEE7FF03A9D}" name="STACKED INCOME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E2:AM8" firstHeaderRow="1" firstDataRow="2"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axis="axisRow" showAll="0">
      <items count="5">
        <item x="1"/>
        <item x="3"/>
        <item x="2"/>
        <item x="0"/>
        <item t="default"/>
      </items>
    </pivotField>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axis="axisCol" showAll="0">
      <items count="8">
        <item x="6"/>
        <item x="0"/>
        <item x="3"/>
        <item x="4"/>
        <item x="1"/>
        <item x="5"/>
        <item x="2"/>
        <item t="default"/>
      </items>
    </pivotField>
    <pivotField showAll="0"/>
    <pivotField dataField="1" numFmtId="1" showAll="0"/>
  </pivotFields>
  <rowFields count="1">
    <field x="3"/>
  </rowFields>
  <rowItems count="5">
    <i>
      <x/>
    </i>
    <i>
      <x v="1"/>
    </i>
    <i>
      <x v="2"/>
    </i>
    <i>
      <x v="3"/>
    </i>
    <i t="grand">
      <x/>
    </i>
  </rowItems>
  <colFields count="1">
    <field x="5"/>
  </colFields>
  <colItems count="8">
    <i>
      <x/>
    </i>
    <i>
      <x v="1"/>
    </i>
    <i>
      <x v="2"/>
    </i>
    <i>
      <x v="3"/>
    </i>
    <i>
      <x v="4"/>
    </i>
    <i>
      <x v="5"/>
    </i>
    <i>
      <x v="6"/>
    </i>
    <i t="grand">
      <x/>
    </i>
  </colItems>
  <dataFields count="1">
    <dataField name="Sum of emissions_ktco2e" fld="7" baseField="0" baseItem="0" numFmtId="1"/>
  </dataFields>
  <chartFormats count="7">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73F466-2182-4837-AEFC-067C9450BCEB}" name="TOP 10"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N3:O13" firstHeaderRow="1" firstDataRow="1" firstDataCol="1"/>
  <pivotFields count="8">
    <pivotField axis="axisRow" showAll="0" measureFilter="1"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items count="8">
        <item x="6"/>
        <item x="0"/>
        <item x="3"/>
        <item x="4"/>
        <item x="1"/>
        <item x="5"/>
        <item x="2"/>
        <item t="default"/>
      </items>
    </pivotField>
    <pivotField showAll="0"/>
    <pivotField dataField="1" numFmtId="1" showAll="0"/>
  </pivotFields>
  <rowFields count="1">
    <field x="0"/>
  </rowFields>
  <rowItems count="10">
    <i>
      <x v="7"/>
    </i>
    <i>
      <x v="11"/>
    </i>
    <i>
      <x v="33"/>
    </i>
    <i>
      <x v="13"/>
    </i>
    <i>
      <x v="26"/>
    </i>
    <i>
      <x v="38"/>
    </i>
    <i>
      <x v="22"/>
    </i>
    <i>
      <x v="18"/>
    </i>
    <i>
      <x v="36"/>
    </i>
    <i>
      <x v="12"/>
    </i>
  </rowItems>
  <colItems count="1">
    <i/>
  </colItems>
  <dataFields count="1">
    <dataField name="Sum of emissions_ktco2e" fld="7"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11B9B2-0FEE-4A0E-972C-EA054F6CB61E}"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Y1:BD10" firstHeaderRow="1" firstDataRow="2" firstDataCol="1"/>
  <pivotFields count="8">
    <pivotField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showAll="0"/>
    <pivotField showAll="0"/>
    <pivotField showAll="0"/>
    <pivotField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axis="axisRow" showAll="0">
      <items count="8">
        <item x="6"/>
        <item x="0"/>
        <item x="3"/>
        <item x="4"/>
        <item x="1"/>
        <item x="5"/>
        <item x="2"/>
        <item t="default"/>
      </items>
    </pivotField>
    <pivotField axis="axisCol" showAll="0">
      <items count="5">
        <item x="1"/>
        <item x="0"/>
        <item x="3"/>
        <item x="2"/>
        <item t="default"/>
      </items>
    </pivotField>
    <pivotField dataField="1" numFmtId="1" showAll="0"/>
  </pivotFields>
  <rowFields count="1">
    <field x="5"/>
  </rowFields>
  <rowItems count="8">
    <i>
      <x/>
    </i>
    <i>
      <x v="1"/>
    </i>
    <i>
      <x v="2"/>
    </i>
    <i>
      <x v="3"/>
    </i>
    <i>
      <x v="4"/>
    </i>
    <i>
      <x v="5"/>
    </i>
    <i>
      <x v="6"/>
    </i>
    <i t="grand">
      <x/>
    </i>
  </rowItems>
  <colFields count="1">
    <field x="6"/>
  </colFields>
  <colItems count="5">
    <i>
      <x/>
    </i>
    <i>
      <x v="1"/>
    </i>
    <i>
      <x v="2"/>
    </i>
    <i>
      <x v="3"/>
    </i>
    <i t="grand">
      <x/>
    </i>
  </colItems>
  <dataFields count="1">
    <dataField name="Sum of emissions_ktco2e" fld="7" baseField="0" baseItem="0" numFmtId="1"/>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4B87306-841A-426A-9EC0-9FD087F67280}" name="GAS CARD "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rowPageCount="1" colPageCount="1"/>
  <pivotFields count="8">
    <pivotField showAll="0"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dataField="1" numFmtId="1" showAll="0"/>
  </pivotFields>
  <rowFields count="1">
    <field x="6"/>
  </rowFields>
  <rowItems count="5">
    <i>
      <x v="1"/>
    </i>
    <i>
      <x/>
    </i>
    <i>
      <x v="3"/>
    </i>
    <i>
      <x v="2"/>
    </i>
    <i t="grand">
      <x/>
    </i>
  </rowItems>
  <colItems count="1">
    <i/>
  </colItems>
  <pageFields count="1">
    <pageField fld="4" hier="-1"/>
  </pageFields>
  <dataFields count="1">
    <dataField name="Sum of emissions_ktco2e" fld="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1B7E7A-84E3-4A17-8012-0118A3290CA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K5" firstHeaderRow="1" firstDataRow="2" firstDataCol="1"/>
  <pivotFields count="8">
    <pivotField showAll="0"/>
    <pivotField showAll="0"/>
    <pivotField showAll="0"/>
    <pivotField showAll="0"/>
    <pivotField axis="axisCol" showAll="0">
      <items count="36">
        <item x="0"/>
        <item x="1"/>
        <item x="2"/>
        <item x="3"/>
        <item x="4"/>
        <item x="5"/>
        <item x="6"/>
        <item x="7"/>
        <item x="8"/>
        <item x="9"/>
        <item x="10"/>
        <item x="11"/>
        <item x="12"/>
        <item x="13"/>
        <item x="14"/>
        <item x="15"/>
        <item x="16"/>
        <item x="17"/>
        <item x="33"/>
        <item x="18"/>
        <item x="19"/>
        <item x="20"/>
        <item x="21"/>
        <item x="22"/>
        <item x="23"/>
        <item x="24"/>
        <item x="25"/>
        <item x="26"/>
        <item x="34"/>
        <item x="27"/>
        <item x="28"/>
        <item x="29"/>
        <item x="30"/>
        <item x="31"/>
        <item x="32"/>
        <item t="default"/>
      </items>
    </pivotField>
    <pivotField showAll="0"/>
    <pivotField showAll="0"/>
    <pivotField dataField="1" numFmtId="1" showAll="0"/>
  </pivotFields>
  <rowItems count="1">
    <i/>
  </rowItems>
  <colFields count="1">
    <field x="4"/>
  </colFields>
  <col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colItems>
  <dataFields count="1">
    <dataField name="Sum of emissions_ktco2e" fld="7" baseField="0" baseItem="0" numFmtId="1"/>
  </dataFields>
  <chartFormats count="3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 chart="2" format="6" series="1">
      <pivotArea type="data" outline="0" fieldPosition="0">
        <references count="2">
          <reference field="4294967294" count="1" selected="0">
            <x v="0"/>
          </reference>
          <reference field="4" count="1" selected="0">
            <x v="6"/>
          </reference>
        </references>
      </pivotArea>
    </chartFormat>
    <chartFormat chart="2" format="7" series="1">
      <pivotArea type="data" outline="0" fieldPosition="0">
        <references count="2">
          <reference field="4294967294" count="1" selected="0">
            <x v="0"/>
          </reference>
          <reference field="4" count="1" selected="0">
            <x v="7"/>
          </reference>
        </references>
      </pivotArea>
    </chartFormat>
    <chartFormat chart="2" format="8" series="1">
      <pivotArea type="data" outline="0" fieldPosition="0">
        <references count="2">
          <reference field="4294967294" count="1" selected="0">
            <x v="0"/>
          </reference>
          <reference field="4" count="1" selected="0">
            <x v="8"/>
          </reference>
        </references>
      </pivotArea>
    </chartFormat>
    <chartFormat chart="2" format="9" series="1">
      <pivotArea type="data" outline="0" fieldPosition="0">
        <references count="2">
          <reference field="4294967294" count="1" selected="0">
            <x v="0"/>
          </reference>
          <reference field="4" count="1" selected="0">
            <x v="9"/>
          </reference>
        </references>
      </pivotArea>
    </chartFormat>
    <chartFormat chart="2" format="10" series="1">
      <pivotArea type="data" outline="0" fieldPosition="0">
        <references count="2">
          <reference field="4294967294" count="1" selected="0">
            <x v="0"/>
          </reference>
          <reference field="4" count="1" selected="0">
            <x v="10"/>
          </reference>
        </references>
      </pivotArea>
    </chartFormat>
    <chartFormat chart="2" format="11" series="1">
      <pivotArea type="data" outline="0" fieldPosition="0">
        <references count="2">
          <reference field="4294967294" count="1" selected="0">
            <x v="0"/>
          </reference>
          <reference field="4" count="1" selected="0">
            <x v="11"/>
          </reference>
        </references>
      </pivotArea>
    </chartFormat>
    <chartFormat chart="2" format="12" series="1">
      <pivotArea type="data" outline="0" fieldPosition="0">
        <references count="2">
          <reference field="4294967294" count="1" selected="0">
            <x v="0"/>
          </reference>
          <reference field="4" count="1" selected="0">
            <x v="12"/>
          </reference>
        </references>
      </pivotArea>
    </chartFormat>
    <chartFormat chart="2" format="13" series="1">
      <pivotArea type="data" outline="0" fieldPosition="0">
        <references count="2">
          <reference field="4294967294" count="1" selected="0">
            <x v="0"/>
          </reference>
          <reference field="4" count="1" selected="0">
            <x v="13"/>
          </reference>
        </references>
      </pivotArea>
    </chartFormat>
    <chartFormat chart="2" format="14" series="1">
      <pivotArea type="data" outline="0" fieldPosition="0">
        <references count="2">
          <reference field="4294967294" count="1" selected="0">
            <x v="0"/>
          </reference>
          <reference field="4" count="1" selected="0">
            <x v="14"/>
          </reference>
        </references>
      </pivotArea>
    </chartFormat>
    <chartFormat chart="2" format="15" series="1">
      <pivotArea type="data" outline="0" fieldPosition="0">
        <references count="2">
          <reference field="4294967294" count="1" selected="0">
            <x v="0"/>
          </reference>
          <reference field="4" count="1" selected="0">
            <x v="15"/>
          </reference>
        </references>
      </pivotArea>
    </chartFormat>
    <chartFormat chart="2" format="16" series="1">
      <pivotArea type="data" outline="0" fieldPosition="0">
        <references count="2">
          <reference field="4294967294" count="1" selected="0">
            <x v="0"/>
          </reference>
          <reference field="4" count="1" selected="0">
            <x v="16"/>
          </reference>
        </references>
      </pivotArea>
    </chartFormat>
    <chartFormat chart="2" format="17" series="1">
      <pivotArea type="data" outline="0" fieldPosition="0">
        <references count="2">
          <reference field="4294967294" count="1" selected="0">
            <x v="0"/>
          </reference>
          <reference field="4" count="1" selected="0">
            <x v="17"/>
          </reference>
        </references>
      </pivotArea>
    </chartFormat>
    <chartFormat chart="2" format="18" series="1">
      <pivotArea type="data" outline="0" fieldPosition="0">
        <references count="2">
          <reference field="4294967294" count="1" selected="0">
            <x v="0"/>
          </reference>
          <reference field="4" count="1" selected="0">
            <x v="18"/>
          </reference>
        </references>
      </pivotArea>
    </chartFormat>
    <chartFormat chart="2" format="19" series="1">
      <pivotArea type="data" outline="0" fieldPosition="0">
        <references count="2">
          <reference field="4294967294" count="1" selected="0">
            <x v="0"/>
          </reference>
          <reference field="4" count="1" selected="0">
            <x v="19"/>
          </reference>
        </references>
      </pivotArea>
    </chartFormat>
    <chartFormat chart="2" format="20" series="1">
      <pivotArea type="data" outline="0" fieldPosition="0">
        <references count="2">
          <reference field="4294967294" count="1" selected="0">
            <x v="0"/>
          </reference>
          <reference field="4" count="1" selected="0">
            <x v="20"/>
          </reference>
        </references>
      </pivotArea>
    </chartFormat>
    <chartFormat chart="2" format="21" series="1">
      <pivotArea type="data" outline="0" fieldPosition="0">
        <references count="2">
          <reference field="4294967294" count="1" selected="0">
            <x v="0"/>
          </reference>
          <reference field="4" count="1" selected="0">
            <x v="21"/>
          </reference>
        </references>
      </pivotArea>
    </chartFormat>
    <chartFormat chart="2" format="22" series="1">
      <pivotArea type="data" outline="0" fieldPosition="0">
        <references count="2">
          <reference field="4294967294" count="1" selected="0">
            <x v="0"/>
          </reference>
          <reference field="4" count="1" selected="0">
            <x v="22"/>
          </reference>
        </references>
      </pivotArea>
    </chartFormat>
    <chartFormat chart="2" format="23" series="1">
      <pivotArea type="data" outline="0" fieldPosition="0">
        <references count="2">
          <reference field="4294967294" count="1" selected="0">
            <x v="0"/>
          </reference>
          <reference field="4" count="1" selected="0">
            <x v="23"/>
          </reference>
        </references>
      </pivotArea>
    </chartFormat>
    <chartFormat chart="2" format="24" series="1">
      <pivotArea type="data" outline="0" fieldPosition="0">
        <references count="2">
          <reference field="4294967294" count="1" selected="0">
            <x v="0"/>
          </reference>
          <reference field="4" count="1" selected="0">
            <x v="24"/>
          </reference>
        </references>
      </pivotArea>
    </chartFormat>
    <chartFormat chart="2" format="25" series="1">
      <pivotArea type="data" outline="0" fieldPosition="0">
        <references count="2">
          <reference field="4294967294" count="1" selected="0">
            <x v="0"/>
          </reference>
          <reference field="4" count="1" selected="0">
            <x v="25"/>
          </reference>
        </references>
      </pivotArea>
    </chartFormat>
    <chartFormat chart="2" format="26" series="1">
      <pivotArea type="data" outline="0" fieldPosition="0">
        <references count="2">
          <reference field="4294967294" count="1" selected="0">
            <x v="0"/>
          </reference>
          <reference field="4" count="1" selected="0">
            <x v="26"/>
          </reference>
        </references>
      </pivotArea>
    </chartFormat>
    <chartFormat chart="2" format="27" series="1">
      <pivotArea type="data" outline="0" fieldPosition="0">
        <references count="2">
          <reference field="4294967294" count="1" selected="0">
            <x v="0"/>
          </reference>
          <reference field="4" count="1" selected="0">
            <x v="27"/>
          </reference>
        </references>
      </pivotArea>
    </chartFormat>
    <chartFormat chart="2" format="28" series="1">
      <pivotArea type="data" outline="0" fieldPosition="0">
        <references count="2">
          <reference field="4294967294" count="1" selected="0">
            <x v="0"/>
          </reference>
          <reference field="4" count="1" selected="0">
            <x v="28"/>
          </reference>
        </references>
      </pivotArea>
    </chartFormat>
    <chartFormat chart="2" format="29" series="1">
      <pivotArea type="data" outline="0" fieldPosition="0">
        <references count="2">
          <reference field="4294967294" count="1" selected="0">
            <x v="0"/>
          </reference>
          <reference field="4" count="1" selected="0">
            <x v="29"/>
          </reference>
        </references>
      </pivotArea>
    </chartFormat>
    <chartFormat chart="2" format="30" series="1">
      <pivotArea type="data" outline="0" fieldPosition="0">
        <references count="2">
          <reference field="4294967294" count="1" selected="0">
            <x v="0"/>
          </reference>
          <reference field="4" count="1" selected="0">
            <x v="30"/>
          </reference>
        </references>
      </pivotArea>
    </chartFormat>
    <chartFormat chart="2" format="31" series="1">
      <pivotArea type="data" outline="0" fieldPosition="0">
        <references count="2">
          <reference field="4294967294" count="1" selected="0">
            <x v="0"/>
          </reference>
          <reference field="4" count="1" selected="0">
            <x v="31"/>
          </reference>
        </references>
      </pivotArea>
    </chartFormat>
    <chartFormat chart="2" format="32" series="1">
      <pivotArea type="data" outline="0" fieldPosition="0">
        <references count="2">
          <reference field="4294967294" count="1" selected="0">
            <x v="0"/>
          </reference>
          <reference field="4" count="1" selected="0">
            <x v="32"/>
          </reference>
        </references>
      </pivotArea>
    </chartFormat>
    <chartFormat chart="2" format="33" series="1">
      <pivotArea type="data" outline="0" fieldPosition="0">
        <references count="2">
          <reference field="4294967294" count="1" selected="0">
            <x v="0"/>
          </reference>
          <reference field="4" count="1" selected="0">
            <x v="33"/>
          </reference>
        </references>
      </pivotArea>
    </chartFormat>
    <chartFormat chart="2" format="34" series="1">
      <pivotArea type="data" outline="0" fieldPosition="0">
        <references count="2">
          <reference field="4294967294" count="1" selected="0">
            <x v="0"/>
          </reference>
          <reference field="4"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67D0D31-D28A-4095-A7EE-D6F51CFE413D}" sourceName="year">
  <pivotTables>
    <pivotTable tabId="27" name="TOP 10"/>
    <pivotTable tabId="27" name="PivotTable21"/>
    <pivotTable tabId="27" name="STACKED COUNTRY "/>
    <pivotTable tabId="27" name="STACKED INCOME "/>
    <pivotTable tabId="27" name="TOP GAS "/>
    <pivotTable tabId="27" name="TOP GROUP "/>
    <pivotTable tabId="27" name="TOP REGION "/>
    <pivotTable tabId="27" name="TOP SECTORS "/>
  </pivotTables>
  <data>
    <tabular pivotCacheId="969457631">
      <items count="35">
        <i x="0" s="1"/>
        <i x="1" s="1"/>
        <i x="2" s="1"/>
        <i x="3" s="1"/>
        <i x="4" s="1"/>
        <i x="5" s="1"/>
        <i x="6" s="1"/>
        <i x="7" s="1"/>
        <i x="8" s="1"/>
        <i x="9" s="1"/>
        <i x="10" s="1"/>
        <i x="11" s="1"/>
        <i x="12" s="1"/>
        <i x="13" s="1"/>
        <i x="14" s="1"/>
        <i x="15" s="1"/>
        <i x="16" s="1"/>
        <i x="17" s="1"/>
        <i x="33" s="1"/>
        <i x="18" s="1"/>
        <i x="19" s="1"/>
        <i x="20" s="1"/>
        <i x="21" s="1"/>
        <i x="22" s="1"/>
        <i x="23" s="1"/>
        <i x="24" s="1"/>
        <i x="25" s="1"/>
        <i x="26" s="1"/>
        <i x="34" s="1"/>
        <i x="27" s="1"/>
        <i x="28" s="1"/>
        <i x="29" s="1"/>
        <i x="30" s="1"/>
        <i x="31" s="1"/>
        <i x="3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25DA49-7E0E-4C04-B34E-8D9DC719B206}" sourceName="country">
  <pivotTables>
    <pivotTable tabId="27" name="PivotTable21"/>
    <pivotTable tabId="27" name="TOP GAS "/>
    <pivotTable tabId="27" name="TOP SECTORS "/>
  </pivotTables>
  <data>
    <tabular pivotCacheId="969457631">
      <items count="49">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30707B8B-5DE5-444E-BFCF-BE6DF226589B}" sourceName="sector">
  <pivotTables>
    <pivotTable tabId="27" name="PivotTable21"/>
    <pivotTable tabId="27" name="STACKED COUNTRY "/>
    <pivotTable tabId="27" name="STACKED INCOME "/>
    <pivotTable tabId="27" name="TOP GROUP "/>
    <pivotTable tabId="27" name="TOP REGION "/>
    <pivotTable tabId="27" name="TOP GAS "/>
  </pivotTables>
  <data>
    <tabular pivotCacheId="969457631">
      <items count="7">
        <i x="6" s="1"/>
        <i x="0" s="1"/>
        <i x="3"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4ED15FB-6BD1-4E73-8137-D16059E35C5C}" cache="Slicer_year" caption="year" style="SlicerStyleLight1 2 2" rowHeight="365760"/>
  <slicer name="country 1" xr10:uid="{585C2913-3FD7-498E-BCD1-03A820294933}" cache="Slicer_country" caption="country" style="SlicerStyleLight1 2" rowHeight="640080"/>
  <slicer name="sector 1" xr10:uid="{84A72479-E5FF-4E82-8648-9A850CB5A47F}" cache="Slicer_sector" caption="sector"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9945C2B-E1A1-40D6-BE0F-1284AE912EB5}" cache="Slicer_year" caption="year" rowHeight="234950"/>
  <slicer name="year 1" xr10:uid="{198FD0D5-EE38-4DE1-A6A5-50AA338CC14D}" cache="Slicer_year" caption="year" rowHeight="234950"/>
  <slicer name="country" xr10:uid="{E87AD264-F3EA-45F7-843E-E7F74CAA41FF}" cache="Slicer_country" caption="country" rowHeight="234950"/>
  <slicer name="sector" xr10:uid="{20A15F9D-18C0-436D-B26F-94D21F627172}" cache="Slicer_sector" caption="se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2D3685-78D5-42B0-BF4F-EA74734732B2}" name="Table3" displayName="Table3" ref="A1:H5001" totalsRowShown="0" headerRowDxfId="20" headerRowBorderDxfId="19" tableBorderDxfId="18">
  <autoFilter ref="A1:H5001" xr:uid="{F42D3685-78D5-42B0-BF4F-EA74734732B2}"/>
  <tableColumns count="8">
    <tableColumn id="1" xr3:uid="{8B28BFB8-AC75-4660-9962-88FB4B8BBEEC}" name="country"/>
    <tableColumn id="2" xr3:uid="{7436282C-DD83-4C8C-8BD7-EB39A634D5F9}" name="iso3"/>
    <tableColumn id="3" xr3:uid="{8D4D53A6-37D5-40CC-940F-5C4BECBABF2E}" name="region"/>
    <tableColumn id="4" xr3:uid="{0C6DB1A7-8BAF-4BE6-901F-F153594A538A}" name="income_group"/>
    <tableColumn id="5" xr3:uid="{EB93524C-18E4-4890-931C-026344A320BD}" name="year"/>
    <tableColumn id="6" xr3:uid="{7D5277C9-E5FA-4D30-A52D-E12076865D49}" name="sector"/>
    <tableColumn id="7" xr3:uid="{7A49C489-03E5-4650-830B-169EFED710D9}" name="gas"/>
    <tableColumn id="8" xr3:uid="{F5147192-C597-4FFD-9205-CB8AB4B3BD92}" name="emissions_ktco2e" dataDxfId="1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8D3BCD-A182-4DF9-A89D-D43294F4A405}" name="Table2" displayName="Table2" ref="A1:C34" totalsRowShown="0">
  <autoFilter ref="A1:C34" xr:uid="{128D3BCD-A182-4DF9-A89D-D43294F4A405}"/>
  <tableColumns count="3">
    <tableColumn id="1" xr3:uid="{B34C70F5-5694-4D49-85BF-49F6D54016CA}" name="Entity"/>
    <tableColumn id="2" xr3:uid="{E46D2138-E1DB-4704-82F1-DF4C62853511}" name="Year"/>
    <tableColumn id="3" xr3:uid="{14331B9B-10E7-405B-BC5D-66202AC4A4A3}" name="Global Average Tempreature"/>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39138C-B704-4842-AEDB-CAF5A86769A9}" name="Table1" displayName="Table1" ref="A1:I50" totalsRowShown="0" headerRowDxfId="16" headerRowBorderDxfId="15" tableBorderDxfId="14">
  <autoFilter ref="A1:I50" xr:uid="{8E39138C-B704-4842-AEDB-CAF5A86769A9}"/>
  <tableColumns count="9">
    <tableColumn id="1" xr3:uid="{8F2F5C5A-A06A-41AD-9BB9-EA1ABEA2B853}" name="country"/>
    <tableColumn id="2" xr3:uid="{0114839D-0270-4A16-86BE-5A4248449C8B}" name="iso3"/>
    <tableColumn id="3" xr3:uid="{B97F06C1-4E0C-41E4-861A-17E54ADE2234}" name="region"/>
    <tableColumn id="4" xr3:uid="{C4AFE61D-2C67-4B0F-A1A4-E3B5EDF57EED}" name="income_group"/>
    <tableColumn id="5" xr3:uid="{81EECE50-DC58-4AEF-B034-2FA03C012004}" name="size"/>
    <tableColumn id="6" xr3:uid="{B0B66415-0D00-4B40-B437-57CFF6B60475}" name="pop_2010_millions" dataDxfId="13"/>
    <tableColumn id="7" xr3:uid="{11702FC4-B41D-42C7-A608-3E8F7A2645E9}" name="gdp_pc_2010_usd" dataDxfId="12"/>
    <tableColumn id="8" xr3:uid="{B90C31BD-AFAB-4640-BF72-4B4CD41F149D}" name="base_total_2010_kt" dataDxfId="11"/>
    <tableColumn id="9" xr3:uid="{486D0721-465F-4EFC-9CFC-FB2E561B3880}" name="emission per capital" dataDxfId="10">
      <calculatedColumnFormula>H2/F2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メイリオ"/>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32F97-C625-4E1C-BBF6-D89821318408}">
  <dimension ref="U43:AK135"/>
  <sheetViews>
    <sheetView showGridLines="0" showRowColHeaders="0" tabSelected="1" zoomScale="29" workbookViewId="0">
      <selection activeCell="BR54" sqref="BR54"/>
    </sheetView>
  </sheetViews>
  <sheetFormatPr defaultRowHeight="14.4"/>
  <cols>
    <col min="1" max="16384" width="8.88671875" style="9"/>
  </cols>
  <sheetData>
    <row r="43" spans="21:21">
      <c r="U43" s="9" t="s">
        <v>161</v>
      </c>
    </row>
    <row r="135" spans="37:37">
      <c r="AK135" s="9" t="s">
        <v>158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0D24-38E4-40F0-BB9F-A260D5104630}">
  <dimension ref="A1:BE54"/>
  <sheetViews>
    <sheetView topLeftCell="AO1" workbookViewId="0">
      <selection activeCell="AY28" sqref="AY28:BD37"/>
    </sheetView>
  </sheetViews>
  <sheetFormatPr defaultRowHeight="14.4"/>
  <cols>
    <col min="1" max="1" width="23.109375" bestFit="1" customWidth="1"/>
    <col min="2" max="2" width="8.88671875" style="7"/>
    <col min="7" max="7" width="8.88671875" style="7"/>
    <col min="9" max="9" width="13.109375" bestFit="1" customWidth="1"/>
    <col min="10" max="10" width="23.109375" bestFit="1" customWidth="1"/>
    <col min="12" max="12" width="8.88671875" style="7"/>
    <col min="14" max="14" width="13.109375" bestFit="1" customWidth="1"/>
    <col min="15" max="15" width="23.109375" bestFit="1" customWidth="1"/>
    <col min="17" max="17" width="8.88671875" style="7"/>
    <col min="19" max="19" width="13.109375" bestFit="1" customWidth="1"/>
    <col min="20" max="20" width="23.109375" bestFit="1" customWidth="1"/>
    <col min="21" max="21" width="8.88671875" style="7"/>
    <col min="22" max="22" width="13.109375" bestFit="1" customWidth="1"/>
    <col min="23" max="23" width="23.109375" bestFit="1" customWidth="1"/>
    <col min="24" max="24" width="8.88671875" style="7"/>
    <col min="25" max="25" width="13.109375" bestFit="1" customWidth="1"/>
    <col min="26" max="26" width="23.109375" bestFit="1" customWidth="1"/>
    <col min="27" max="27" width="8.88671875" style="7"/>
    <col min="28" max="28" width="13.109375" bestFit="1" customWidth="1"/>
    <col min="29" max="29" width="23.109375" bestFit="1" customWidth="1"/>
    <col min="30" max="30" width="8.88671875" style="7"/>
    <col min="31" max="31" width="23.109375" bestFit="1" customWidth="1"/>
    <col min="32" max="32" width="16.21875" bestFit="1" customWidth="1"/>
    <col min="33" max="33" width="9.21875" bestFit="1" customWidth="1"/>
    <col min="34" max="34" width="9.5546875" bestFit="1" customWidth="1"/>
    <col min="35" max="35" width="8.88671875" bestFit="1" customWidth="1"/>
    <col min="36" max="36" width="9.21875" bestFit="1" customWidth="1"/>
    <col min="37" max="37" width="9.44140625" bestFit="1" customWidth="1"/>
    <col min="38" max="38" width="9.5546875" bestFit="1" customWidth="1"/>
    <col min="39" max="39" width="11.21875" bestFit="1" customWidth="1"/>
    <col min="40" max="40" width="8.88671875" style="7"/>
    <col min="41" max="41" width="23.109375" bestFit="1" customWidth="1"/>
    <col min="42" max="42" width="16.21875" bestFit="1" customWidth="1"/>
    <col min="43" max="43" width="9.21875" bestFit="1" customWidth="1"/>
    <col min="44" max="44" width="9.5546875" bestFit="1" customWidth="1"/>
    <col min="45" max="45" width="8.88671875" bestFit="1" customWidth="1"/>
    <col min="46" max="46" width="9.21875" bestFit="1" customWidth="1"/>
    <col min="47" max="47" width="9.44140625" bestFit="1" customWidth="1"/>
    <col min="48" max="48" width="9.5546875" bestFit="1" customWidth="1"/>
    <col min="49" max="49" width="11.21875" bestFit="1" customWidth="1"/>
    <col min="50" max="50" width="8.88671875" style="7"/>
    <col min="51" max="51" width="23.109375" bestFit="1" customWidth="1"/>
    <col min="52" max="52" width="16.21875" bestFit="1" customWidth="1"/>
    <col min="53" max="53" width="9.44140625" bestFit="1" customWidth="1"/>
    <col min="54" max="54" width="8.109375" bestFit="1" customWidth="1"/>
    <col min="55" max="55" width="8.33203125" bestFit="1" customWidth="1"/>
    <col min="56" max="56" width="11.21875" bestFit="1" customWidth="1"/>
    <col min="57" max="57" width="8.88671875" style="7"/>
  </cols>
  <sheetData>
    <row r="1" spans="1:56">
      <c r="AO1" s="5" t="s">
        <v>155</v>
      </c>
      <c r="AP1" s="5" t="s">
        <v>156</v>
      </c>
      <c r="AY1" s="5" t="s">
        <v>155</v>
      </c>
      <c r="AZ1" s="5" t="s">
        <v>156</v>
      </c>
    </row>
    <row r="2" spans="1:56">
      <c r="C2" s="5" t="s">
        <v>4</v>
      </c>
      <c r="D2" t="s">
        <v>157</v>
      </c>
      <c r="I2" s="5" t="s">
        <v>4</v>
      </c>
      <c r="J2" t="s">
        <v>157</v>
      </c>
      <c r="S2" s="5" t="s">
        <v>153</v>
      </c>
      <c r="T2" t="s">
        <v>155</v>
      </c>
      <c r="V2" s="5" t="s">
        <v>153</v>
      </c>
      <c r="W2" t="s">
        <v>155</v>
      </c>
      <c r="Y2" s="5" t="s">
        <v>153</v>
      </c>
      <c r="Z2" t="s">
        <v>155</v>
      </c>
      <c r="AB2" s="5" t="s">
        <v>153</v>
      </c>
      <c r="AC2" t="s">
        <v>155</v>
      </c>
      <c r="AE2" s="5" t="s">
        <v>155</v>
      </c>
      <c r="AF2" s="5" t="s">
        <v>156</v>
      </c>
      <c r="AO2" s="5" t="s">
        <v>153</v>
      </c>
      <c r="AP2" t="s">
        <v>22</v>
      </c>
      <c r="AQ2" t="s">
        <v>12</v>
      </c>
      <c r="AR2" t="s">
        <v>18</v>
      </c>
      <c r="AS2" t="s">
        <v>20</v>
      </c>
      <c r="AT2" t="s">
        <v>14</v>
      </c>
      <c r="AU2" t="s">
        <v>21</v>
      </c>
      <c r="AV2" t="s">
        <v>16</v>
      </c>
      <c r="AW2" t="s">
        <v>154</v>
      </c>
      <c r="AY2" s="5" t="s">
        <v>153</v>
      </c>
      <c r="AZ2" t="s">
        <v>15</v>
      </c>
      <c r="BA2" t="s">
        <v>13</v>
      </c>
      <c r="BB2" t="s">
        <v>19</v>
      </c>
      <c r="BC2" t="s">
        <v>17</v>
      </c>
      <c r="BD2" t="s">
        <v>154</v>
      </c>
    </row>
    <row r="3" spans="1:56">
      <c r="A3" t="s">
        <v>155</v>
      </c>
      <c r="N3" s="5" t="s">
        <v>153</v>
      </c>
      <c r="O3" t="s">
        <v>155</v>
      </c>
      <c r="S3" s="6" t="s">
        <v>14</v>
      </c>
      <c r="T3" s="2">
        <v>21491509.590000018</v>
      </c>
      <c r="V3" s="6" t="s">
        <v>13</v>
      </c>
      <c r="W3" s="2">
        <v>68794013.119999871</v>
      </c>
      <c r="Y3" s="6" t="s">
        <v>29</v>
      </c>
      <c r="Z3" s="2">
        <v>43116609.669999927</v>
      </c>
      <c r="AB3" s="6" t="s">
        <v>32</v>
      </c>
      <c r="AC3" s="2">
        <v>43119444.310000025</v>
      </c>
      <c r="AE3" s="5" t="s">
        <v>153</v>
      </c>
      <c r="AF3" t="s">
        <v>22</v>
      </c>
      <c r="AG3" t="s">
        <v>12</v>
      </c>
      <c r="AH3" t="s">
        <v>18</v>
      </c>
      <c r="AI3" t="s">
        <v>20</v>
      </c>
      <c r="AJ3" t="s">
        <v>14</v>
      </c>
      <c r="AK3" t="s">
        <v>21</v>
      </c>
      <c r="AL3" t="s">
        <v>16</v>
      </c>
      <c r="AM3" t="s">
        <v>154</v>
      </c>
      <c r="AO3" s="6" t="s">
        <v>8</v>
      </c>
      <c r="AP3" s="2">
        <v>254977.82</v>
      </c>
      <c r="AQ3" s="2">
        <v>200586.16</v>
      </c>
      <c r="AR3" s="2">
        <v>132414.13</v>
      </c>
      <c r="AS3" s="2">
        <v>-52541.57</v>
      </c>
      <c r="AT3" s="2">
        <v>94607.34</v>
      </c>
      <c r="AU3" s="2">
        <v>34083.400000000009</v>
      </c>
      <c r="AV3" s="2">
        <v>284916.88</v>
      </c>
      <c r="AW3" s="2">
        <v>949044.16</v>
      </c>
      <c r="AY3" s="6" t="s">
        <v>22</v>
      </c>
      <c r="AZ3" s="2">
        <v>13670947.249999996</v>
      </c>
      <c r="BA3" s="2">
        <v>1863524.9600000007</v>
      </c>
      <c r="BB3" s="2">
        <v>0</v>
      </c>
      <c r="BC3" s="2">
        <v>4187052.1600000015</v>
      </c>
      <c r="BD3" s="2">
        <v>19721524.369999997</v>
      </c>
    </row>
    <row r="4" spans="1:56">
      <c r="A4" s="2">
        <v>104559938.40999989</v>
      </c>
      <c r="C4" s="5" t="s">
        <v>153</v>
      </c>
      <c r="D4" t="s">
        <v>155</v>
      </c>
      <c r="I4" s="5" t="s">
        <v>153</v>
      </c>
      <c r="J4" t="s">
        <v>155</v>
      </c>
      <c r="N4" s="6" t="s">
        <v>40</v>
      </c>
      <c r="O4" s="2">
        <v>14113773.370000003</v>
      </c>
      <c r="S4" s="6" t="s">
        <v>21</v>
      </c>
      <c r="T4" s="2">
        <v>21091704.260000005</v>
      </c>
      <c r="V4" s="6" t="s">
        <v>15</v>
      </c>
      <c r="W4" s="2">
        <v>27729733.63000001</v>
      </c>
      <c r="Y4" s="6" t="s">
        <v>11</v>
      </c>
      <c r="Z4" s="2">
        <v>39374408.62000002</v>
      </c>
      <c r="AB4" s="6" t="s">
        <v>51</v>
      </c>
      <c r="AC4" s="2">
        <v>32833612.79000001</v>
      </c>
      <c r="AE4" s="6" t="s">
        <v>29</v>
      </c>
      <c r="AF4" s="2">
        <v>5764620.6399999987</v>
      </c>
      <c r="AG4" s="2">
        <v>4769798.8099999996</v>
      </c>
      <c r="AH4" s="2">
        <v>8801779.8400000092</v>
      </c>
      <c r="AI4" s="2">
        <v>-1246689.6499999992</v>
      </c>
      <c r="AJ4" s="2">
        <v>10727262.009999992</v>
      </c>
      <c r="AK4" s="2">
        <v>10929061.879999999</v>
      </c>
      <c r="AL4" s="2">
        <v>3370776.1400000006</v>
      </c>
      <c r="AM4" s="2">
        <v>43116609.670000002</v>
      </c>
      <c r="AO4" s="6" t="s">
        <v>23</v>
      </c>
      <c r="AP4" s="2">
        <v>46590.2</v>
      </c>
      <c r="AQ4" s="2">
        <v>56083.630000000005</v>
      </c>
      <c r="AR4" s="2">
        <v>324969.11000000004</v>
      </c>
      <c r="AS4" s="2">
        <v>-10618.26</v>
      </c>
      <c r="AT4" s="2">
        <v>783934.74</v>
      </c>
      <c r="AU4" s="2">
        <v>208200.33000000002</v>
      </c>
      <c r="AV4" s="2">
        <v>5802.74</v>
      </c>
      <c r="AW4" s="2">
        <v>1414962.49</v>
      </c>
      <c r="AY4" s="6" t="s">
        <v>12</v>
      </c>
      <c r="AZ4" s="2">
        <v>1051247.3600000003</v>
      </c>
      <c r="BA4" s="2">
        <v>10105215.349999998</v>
      </c>
      <c r="BB4" s="2">
        <v>0</v>
      </c>
      <c r="BC4" s="2">
        <v>333772.35000000003</v>
      </c>
      <c r="BD4" s="2">
        <v>11490235.059999997</v>
      </c>
    </row>
    <row r="5" spans="1:56">
      <c r="C5" s="6" t="s">
        <v>40</v>
      </c>
      <c r="D5" s="8">
        <v>0.13498260982764868</v>
      </c>
      <c r="I5" s="6" t="s">
        <v>13</v>
      </c>
      <c r="J5" s="8">
        <v>0.65793853904394184</v>
      </c>
      <c r="N5" s="6" t="s">
        <v>49</v>
      </c>
      <c r="O5" s="2">
        <v>8907765.8800000008</v>
      </c>
      <c r="S5" s="6" t="s">
        <v>22</v>
      </c>
      <c r="T5" s="2">
        <v>19721524.369999997</v>
      </c>
      <c r="V5" s="6" t="s">
        <v>17</v>
      </c>
      <c r="W5" s="2">
        <v>7010999.4600000121</v>
      </c>
      <c r="Y5" s="6" t="s">
        <v>33</v>
      </c>
      <c r="Z5" s="2">
        <v>21314447.419999987</v>
      </c>
      <c r="AB5" s="6" t="s">
        <v>10</v>
      </c>
      <c r="AC5" s="2">
        <v>14119145.480000006</v>
      </c>
      <c r="AE5" s="6" t="s">
        <v>48</v>
      </c>
      <c r="AF5" s="2">
        <v>213850.34000000003</v>
      </c>
      <c r="AG5" s="2">
        <v>87679.33</v>
      </c>
      <c r="AH5" s="2">
        <v>52415.12</v>
      </c>
      <c r="AI5" s="2">
        <v>74007.260000000009</v>
      </c>
      <c r="AJ5" s="2">
        <v>130966.12999999999</v>
      </c>
      <c r="AK5" s="2">
        <v>131841.13999999998</v>
      </c>
      <c r="AL5" s="2">
        <v>63713.37999999999</v>
      </c>
      <c r="AM5" s="2">
        <v>754472.70000000007</v>
      </c>
      <c r="AO5" s="6" t="s">
        <v>26</v>
      </c>
      <c r="AP5" s="2">
        <v>271258.98</v>
      </c>
      <c r="AQ5" s="2">
        <v>159076.00999999998</v>
      </c>
      <c r="AR5" s="2">
        <v>379971.39</v>
      </c>
      <c r="AS5" s="2">
        <v>-320.86</v>
      </c>
      <c r="AT5" s="2">
        <v>6547.1500000000005</v>
      </c>
      <c r="AU5" s="2">
        <v>1365533.1400000004</v>
      </c>
      <c r="AV5" s="2">
        <v>22964.5</v>
      </c>
      <c r="AW5" s="2">
        <v>2205030.3100000005</v>
      </c>
      <c r="AY5" s="6" t="s">
        <v>18</v>
      </c>
      <c r="AZ5" s="2">
        <v>947640.63000000035</v>
      </c>
      <c r="BA5" s="2">
        <v>16749478.780000009</v>
      </c>
      <c r="BB5" s="2">
        <v>1025192.1999999997</v>
      </c>
      <c r="BC5" s="2">
        <v>946426.92999999982</v>
      </c>
      <c r="BD5" s="2">
        <v>19668738.540000007</v>
      </c>
    </row>
    <row r="6" spans="1:56">
      <c r="C6" s="6" t="s">
        <v>49</v>
      </c>
      <c r="D6" s="8">
        <v>8.5192914374824014E-2</v>
      </c>
      <c r="I6" s="6" t="s">
        <v>15</v>
      </c>
      <c r="J6" s="8">
        <v>0.26520418863739498</v>
      </c>
      <c r="N6" s="6" t="s">
        <v>94</v>
      </c>
      <c r="O6" s="2">
        <v>6774335.8599999975</v>
      </c>
      <c r="S6" s="6" t="s">
        <v>18</v>
      </c>
      <c r="T6" s="2">
        <v>19668738.540000007</v>
      </c>
      <c r="V6" s="6" t="s">
        <v>19</v>
      </c>
      <c r="W6" s="2">
        <v>1025192.1999999997</v>
      </c>
      <c r="Y6" s="6" t="s">
        <v>48</v>
      </c>
      <c r="Z6" s="2">
        <v>754472.70000000007</v>
      </c>
      <c r="AB6" s="6" t="s">
        <v>25</v>
      </c>
      <c r="AC6" s="2">
        <v>12146038.85999999</v>
      </c>
      <c r="AE6" s="6" t="s">
        <v>33</v>
      </c>
      <c r="AF6" s="2">
        <v>3255623.9699999997</v>
      </c>
      <c r="AG6" s="2">
        <v>1591538.72</v>
      </c>
      <c r="AH6" s="2">
        <v>5253932.22</v>
      </c>
      <c r="AI6" s="2">
        <v>-617581.32000000018</v>
      </c>
      <c r="AJ6" s="2">
        <v>3952948.7500000014</v>
      </c>
      <c r="AK6" s="2">
        <v>5474495.7100000028</v>
      </c>
      <c r="AL6" s="2">
        <v>2403489.3700000015</v>
      </c>
      <c r="AM6" s="2">
        <v>21314447.420000006</v>
      </c>
      <c r="AO6" s="6" t="s">
        <v>30</v>
      </c>
      <c r="AP6" s="2">
        <v>36155.460000000006</v>
      </c>
      <c r="AQ6" s="2">
        <v>61716.59</v>
      </c>
      <c r="AR6" s="2">
        <v>357999.45999999996</v>
      </c>
      <c r="AS6" s="2">
        <v>13034.520000000002</v>
      </c>
      <c r="AT6" s="2">
        <v>58281.270000000004</v>
      </c>
      <c r="AU6" s="2">
        <v>230806.55000000002</v>
      </c>
      <c r="AV6" s="2">
        <v>83850.890000000014</v>
      </c>
      <c r="AW6" s="2">
        <v>841844.74</v>
      </c>
      <c r="AY6" s="6" t="s">
        <v>20</v>
      </c>
      <c r="AZ6" s="2">
        <v>-25925.35</v>
      </c>
      <c r="BA6" s="2">
        <v>-2917506.3299999991</v>
      </c>
      <c r="BB6" s="2">
        <v>0</v>
      </c>
      <c r="BC6" s="2">
        <v>-30219.279999999999</v>
      </c>
      <c r="BD6" s="2">
        <v>-2973650.959999999</v>
      </c>
    </row>
    <row r="7" spans="1:56">
      <c r="C7" s="6" t="s">
        <v>94</v>
      </c>
      <c r="D7" s="8">
        <v>6.4789019226814196E-2</v>
      </c>
      <c r="I7" s="6" t="s">
        <v>17</v>
      </c>
      <c r="J7" s="8">
        <v>6.7052444431523264E-2</v>
      </c>
      <c r="N7" s="6" t="s">
        <v>54</v>
      </c>
      <c r="O7" s="2">
        <v>6164962.6799999978</v>
      </c>
      <c r="S7" s="6" t="s">
        <v>16</v>
      </c>
      <c r="T7" s="2">
        <v>14069877.549999999</v>
      </c>
      <c r="V7" s="6" t="s">
        <v>154</v>
      </c>
      <c r="W7" s="2">
        <v>104559938.40999989</v>
      </c>
      <c r="Y7" s="6" t="s">
        <v>154</v>
      </c>
      <c r="Z7" s="2">
        <v>104559938.40999994</v>
      </c>
      <c r="AB7" s="6" t="s">
        <v>28</v>
      </c>
      <c r="AC7" s="2">
        <v>2341696.9700000011</v>
      </c>
      <c r="AE7" s="6" t="s">
        <v>11</v>
      </c>
      <c r="AF7" s="2">
        <v>10487429.419999996</v>
      </c>
      <c r="AG7" s="2">
        <v>5041218.200000003</v>
      </c>
      <c r="AH7" s="2">
        <v>5560611.3599999975</v>
      </c>
      <c r="AI7" s="2">
        <v>-1183387.2499999998</v>
      </c>
      <c r="AJ7" s="2">
        <v>6680332.6999999983</v>
      </c>
      <c r="AK7" s="2">
        <v>4556305.5299999993</v>
      </c>
      <c r="AL7" s="2">
        <v>8231898.6599999983</v>
      </c>
      <c r="AM7" s="2">
        <v>39374408.61999999</v>
      </c>
      <c r="AO7" s="6" t="s">
        <v>34</v>
      </c>
      <c r="AP7" s="2">
        <v>224735.00000000003</v>
      </c>
      <c r="AQ7" s="2">
        <v>550370.9</v>
      </c>
      <c r="AR7" s="2">
        <v>785831.86</v>
      </c>
      <c r="AS7" s="2">
        <v>-389403.70000000007</v>
      </c>
      <c r="AT7" s="2">
        <v>44052.590000000004</v>
      </c>
      <c r="AU7" s="2">
        <v>185287.21000000002</v>
      </c>
      <c r="AV7" s="2">
        <v>548072.93999999994</v>
      </c>
      <c r="AW7" s="2">
        <v>1948946.8</v>
      </c>
      <c r="AY7" s="6" t="s">
        <v>14</v>
      </c>
      <c r="AZ7" s="2">
        <v>848590.93999999971</v>
      </c>
      <c r="BA7" s="2">
        <v>20170572.610000003</v>
      </c>
      <c r="BB7" s="2">
        <v>0</v>
      </c>
      <c r="BC7" s="2">
        <v>472346.03999999992</v>
      </c>
      <c r="BD7" s="2">
        <v>21491509.590000004</v>
      </c>
    </row>
    <row r="8" spans="1:56">
      <c r="C8" s="6" t="s">
        <v>54</v>
      </c>
      <c r="D8" s="8">
        <v>5.8961039703619302E-2</v>
      </c>
      <c r="I8" s="6" t="s">
        <v>19</v>
      </c>
      <c r="J8" s="8">
        <v>9.8048278871399226E-3</v>
      </c>
      <c r="N8" s="6" t="s">
        <v>80</v>
      </c>
      <c r="O8" s="2">
        <v>5181351.0200000005</v>
      </c>
      <c r="S8" s="6" t="s">
        <v>12</v>
      </c>
      <c r="T8" s="2">
        <v>11490235.059999997</v>
      </c>
      <c r="AB8" s="6" t="s">
        <v>154</v>
      </c>
      <c r="AC8" s="2">
        <v>104559938.41000003</v>
      </c>
      <c r="AE8" s="6" t="s">
        <v>154</v>
      </c>
      <c r="AF8" s="2">
        <v>19721524.369999997</v>
      </c>
      <c r="AG8" s="2">
        <v>11490235.060000002</v>
      </c>
      <c r="AH8" s="2">
        <v>19668738.540000007</v>
      </c>
      <c r="AI8" s="2">
        <v>-2973650.959999999</v>
      </c>
      <c r="AJ8" s="2">
        <v>21491509.589999992</v>
      </c>
      <c r="AK8" s="2">
        <v>21091704.260000002</v>
      </c>
      <c r="AL8" s="2">
        <v>14069877.550000001</v>
      </c>
      <c r="AM8" s="2">
        <v>104559938.41</v>
      </c>
      <c r="AO8" s="6" t="s">
        <v>36</v>
      </c>
      <c r="AP8" s="2">
        <v>309919.86</v>
      </c>
      <c r="AQ8" s="2">
        <v>132408.51999999999</v>
      </c>
      <c r="AR8" s="2">
        <v>148512.35</v>
      </c>
      <c r="AS8" s="2">
        <v>-125710.47999999998</v>
      </c>
      <c r="AT8" s="2">
        <v>392617.44</v>
      </c>
      <c r="AU8" s="2">
        <v>159286.63999999998</v>
      </c>
      <c r="AV8" s="2">
        <v>27153.259999999995</v>
      </c>
      <c r="AW8" s="2">
        <v>1044187.59</v>
      </c>
      <c r="AY8" s="6" t="s">
        <v>21</v>
      </c>
      <c r="AZ8" s="2">
        <v>360886.9600000002</v>
      </c>
      <c r="BA8" s="2">
        <v>20549695.500000004</v>
      </c>
      <c r="BB8" s="2">
        <v>0</v>
      </c>
      <c r="BC8" s="2">
        <v>181121.8</v>
      </c>
      <c r="BD8" s="2">
        <v>21091704.260000005</v>
      </c>
    </row>
    <row r="9" spans="1:56">
      <c r="C9" s="6" t="s">
        <v>80</v>
      </c>
      <c r="D9" s="8">
        <v>4.9553883626852466E-2</v>
      </c>
      <c r="I9" s="6" t="s">
        <v>154</v>
      </c>
      <c r="J9" s="8">
        <v>1</v>
      </c>
      <c r="N9" s="6" t="s">
        <v>104</v>
      </c>
      <c r="O9" s="2">
        <v>4157289.34</v>
      </c>
      <c r="S9" s="6" t="s">
        <v>20</v>
      </c>
      <c r="T9" s="2">
        <v>-2973650.9600000028</v>
      </c>
      <c r="AO9" s="6" t="s">
        <v>38</v>
      </c>
      <c r="AP9" s="2">
        <v>14858.49</v>
      </c>
      <c r="AQ9" s="2">
        <v>14741.760000000002</v>
      </c>
      <c r="AR9" s="2">
        <v>13006.61</v>
      </c>
      <c r="AS9" s="2">
        <v>-996.52999999999986</v>
      </c>
      <c r="AT9" s="2">
        <v>22017.089999999997</v>
      </c>
      <c r="AU9" s="2">
        <v>67473.790000000008</v>
      </c>
      <c r="AV9" s="2">
        <v>8743.7499999999982</v>
      </c>
      <c r="AW9" s="2">
        <v>139844.96000000002</v>
      </c>
      <c r="AY9" s="6" t="s">
        <v>16</v>
      </c>
      <c r="AZ9" s="2">
        <v>10876345.840000002</v>
      </c>
      <c r="BA9" s="2">
        <v>2273032.25</v>
      </c>
      <c r="BB9" s="2">
        <v>0</v>
      </c>
      <c r="BC9" s="2">
        <v>920499.45999999973</v>
      </c>
      <c r="BD9" s="2">
        <v>14069877.550000001</v>
      </c>
    </row>
    <row r="10" spans="1:56">
      <c r="A10">
        <f>GETPIVOTDATA("emissions_ktco2e",$A$3)</f>
        <v>104559938.40999989</v>
      </c>
      <c r="C10" s="6" t="s">
        <v>104</v>
      </c>
      <c r="D10" s="8">
        <v>3.9759867911345309E-2</v>
      </c>
      <c r="N10" s="6" t="s">
        <v>72</v>
      </c>
      <c r="O10" s="2">
        <v>3792908.8200000017</v>
      </c>
      <c r="AO10" s="6" t="s">
        <v>40</v>
      </c>
      <c r="AP10" s="2">
        <v>4308887.5900000008</v>
      </c>
      <c r="AQ10" s="2">
        <v>1714254.6</v>
      </c>
      <c r="AR10" s="2">
        <v>1578898.4899999998</v>
      </c>
      <c r="AS10" s="2">
        <v>512729.17999999993</v>
      </c>
      <c r="AT10" s="2">
        <v>1307833.8999999999</v>
      </c>
      <c r="AU10" s="2">
        <v>1494540.33</v>
      </c>
      <c r="AV10" s="2">
        <v>3196629.28</v>
      </c>
      <c r="AW10" s="2">
        <v>14113773.370000001</v>
      </c>
      <c r="AY10" s="6" t="s">
        <v>154</v>
      </c>
      <c r="AZ10" s="2">
        <v>27729733.629999995</v>
      </c>
      <c r="BA10" s="2">
        <v>68794013.12000002</v>
      </c>
      <c r="BB10" s="2">
        <v>1025192.1999999997</v>
      </c>
      <c r="BC10" s="2">
        <v>7010999.4600000009</v>
      </c>
      <c r="BD10" s="2">
        <v>104559938.41</v>
      </c>
    </row>
    <row r="11" spans="1:56">
      <c r="C11" s="6" t="s">
        <v>72</v>
      </c>
      <c r="D11" s="8">
        <v>3.6274971826468223E-2</v>
      </c>
      <c r="N11" s="6" t="s">
        <v>64</v>
      </c>
      <c r="O11" s="2">
        <v>3647899.38</v>
      </c>
      <c r="AO11" s="6" t="s">
        <v>42</v>
      </c>
      <c r="AP11" s="2">
        <v>44438.409999999996</v>
      </c>
      <c r="AQ11" s="2">
        <v>59168.1</v>
      </c>
      <c r="AR11" s="2">
        <v>71984.06</v>
      </c>
      <c r="AS11" s="2">
        <v>-35279.06</v>
      </c>
      <c r="AT11" s="2">
        <v>73632.529999999984</v>
      </c>
      <c r="AU11" s="2">
        <v>62364.979999999996</v>
      </c>
      <c r="AV11" s="2">
        <v>4426.4100000000008</v>
      </c>
      <c r="AW11" s="2">
        <v>280735.42999999993</v>
      </c>
    </row>
    <row r="12" spans="1:56">
      <c r="C12" s="6" t="s">
        <v>64</v>
      </c>
      <c r="D12" s="8">
        <v>3.4888117145745363E-2</v>
      </c>
      <c r="N12" s="6" t="s">
        <v>100</v>
      </c>
      <c r="O12" s="2">
        <v>3544053.6399999987</v>
      </c>
      <c r="AO12" s="6" t="s">
        <v>44</v>
      </c>
      <c r="AP12" s="2">
        <v>95181.119999999995</v>
      </c>
      <c r="AQ12" s="2">
        <v>218905.22000000003</v>
      </c>
      <c r="AR12" s="2">
        <v>489041.2</v>
      </c>
      <c r="AS12" s="2">
        <v>220771.97000000006</v>
      </c>
      <c r="AT12" s="2">
        <v>129215.99</v>
      </c>
      <c r="AU12" s="2">
        <v>881656.95000000007</v>
      </c>
      <c r="AV12" s="2">
        <v>171997.16999999998</v>
      </c>
      <c r="AW12" s="2">
        <v>2206769.62</v>
      </c>
    </row>
    <row r="13" spans="1:56">
      <c r="A13">
        <f>GETPIVOTDATA("emissions_ktco2e",$A$3)</f>
        <v>104559938.40999989</v>
      </c>
      <c r="C13" s="6" t="s">
        <v>100</v>
      </c>
      <c r="D13" s="8">
        <v>3.3894947662488774E-2</v>
      </c>
      <c r="N13" s="6" t="s">
        <v>52</v>
      </c>
      <c r="O13" s="2">
        <v>2535084.8000000003</v>
      </c>
      <c r="AO13" s="6" t="s">
        <v>46</v>
      </c>
      <c r="AP13" s="2">
        <v>213850.34000000003</v>
      </c>
      <c r="AQ13" s="2">
        <v>87679.33</v>
      </c>
      <c r="AR13" s="2">
        <v>52415.12</v>
      </c>
      <c r="AS13" s="2">
        <v>74007.260000000009</v>
      </c>
      <c r="AT13" s="2">
        <v>130966.12999999999</v>
      </c>
      <c r="AU13" s="2">
        <v>131841.13999999998</v>
      </c>
      <c r="AV13" s="2">
        <v>63713.37999999999</v>
      </c>
      <c r="AW13" s="2">
        <v>754472.70000000007</v>
      </c>
    </row>
    <row r="14" spans="1:56">
      <c r="C14" s="6" t="s">
        <v>52</v>
      </c>
      <c r="D14" s="8">
        <v>2.4245278244708186E-2</v>
      </c>
      <c r="AO14" s="6" t="s">
        <v>49</v>
      </c>
      <c r="AP14" s="2">
        <v>232720.35</v>
      </c>
      <c r="AQ14" s="2">
        <v>75042.859999999986</v>
      </c>
      <c r="AR14" s="2">
        <v>3272761.3700000006</v>
      </c>
      <c r="AS14" s="2">
        <v>214355.07</v>
      </c>
      <c r="AT14" s="2">
        <v>3603551.47</v>
      </c>
      <c r="AU14" s="2">
        <v>1255549.8399999999</v>
      </c>
      <c r="AV14" s="2">
        <v>253784.92</v>
      </c>
      <c r="AW14" s="2">
        <v>8907765.8800000008</v>
      </c>
    </row>
    <row r="15" spans="1:56">
      <c r="C15" s="6" t="s">
        <v>62</v>
      </c>
      <c r="D15" s="8">
        <v>2.4110761906865213E-2</v>
      </c>
      <c r="AO15" s="6" t="s">
        <v>52</v>
      </c>
      <c r="AP15" s="2">
        <v>314750.40000000002</v>
      </c>
      <c r="AQ15" s="2">
        <v>232264.02000000002</v>
      </c>
      <c r="AR15" s="2">
        <v>367395.86000000004</v>
      </c>
      <c r="AS15" s="2">
        <v>-100930.67000000001</v>
      </c>
      <c r="AT15" s="2">
        <v>1029092.1499999999</v>
      </c>
      <c r="AU15" s="2">
        <v>371776.49999999994</v>
      </c>
      <c r="AV15" s="2">
        <v>320736.53999999998</v>
      </c>
      <c r="AW15" s="2">
        <v>2535084.7999999998</v>
      </c>
    </row>
    <row r="16" spans="1:56">
      <c r="C16" s="6" t="s">
        <v>96</v>
      </c>
      <c r="D16" s="8">
        <v>2.327451753517153E-2</v>
      </c>
      <c r="AO16" s="6" t="s">
        <v>54</v>
      </c>
      <c r="AP16" s="2">
        <v>1362993.4299999997</v>
      </c>
      <c r="AQ16" s="2">
        <v>304137.93</v>
      </c>
      <c r="AR16" s="2">
        <v>146927.31999999995</v>
      </c>
      <c r="AS16" s="2">
        <v>-879262.23000000021</v>
      </c>
      <c r="AT16" s="2">
        <v>1333548.2300000002</v>
      </c>
      <c r="AU16" s="2">
        <v>2500045.44</v>
      </c>
      <c r="AV16" s="2">
        <v>1396572.56</v>
      </c>
      <c r="AW16" s="2">
        <v>6164962.6799999997</v>
      </c>
    </row>
    <row r="17" spans="3:49">
      <c r="C17" s="6" t="s">
        <v>118</v>
      </c>
      <c r="D17" s="8">
        <v>2.2742304903390957E-2</v>
      </c>
      <c r="AO17" s="6" t="s">
        <v>56</v>
      </c>
      <c r="AP17" s="2">
        <v>173341.08000000002</v>
      </c>
      <c r="AQ17" s="2">
        <v>20980.329999999998</v>
      </c>
      <c r="AR17" s="2">
        <v>246940.62</v>
      </c>
      <c r="AS17" s="2">
        <v>150680.14000000001</v>
      </c>
      <c r="AT17" s="2">
        <v>888647.98</v>
      </c>
      <c r="AU17" s="2">
        <v>344244.02</v>
      </c>
      <c r="AV17" s="2">
        <v>339478.06999999995</v>
      </c>
      <c r="AW17" s="2">
        <v>2164312.2399999998</v>
      </c>
    </row>
    <row r="18" spans="3:49">
      <c r="C18" s="6" t="s">
        <v>120</v>
      </c>
      <c r="D18" s="8">
        <v>2.1795250883411468E-2</v>
      </c>
      <c r="AO18" s="6" t="s">
        <v>58</v>
      </c>
      <c r="AP18" s="2">
        <v>861029.76</v>
      </c>
      <c r="AQ18" s="2">
        <v>336327.27</v>
      </c>
      <c r="AR18" s="2">
        <v>14915.49</v>
      </c>
      <c r="AS18" s="2">
        <v>18184.960000000003</v>
      </c>
      <c r="AT18" s="2">
        <v>191740.39</v>
      </c>
      <c r="AU18" s="2">
        <v>159297.69</v>
      </c>
      <c r="AV18" s="2">
        <v>115655.06</v>
      </c>
      <c r="AW18" s="2">
        <v>1697150.62</v>
      </c>
    </row>
    <row r="19" spans="3:49">
      <c r="C19" s="6" t="s">
        <v>82</v>
      </c>
      <c r="D19" s="8">
        <v>2.1314947425283212E-2</v>
      </c>
      <c r="AO19" s="6" t="s">
        <v>60</v>
      </c>
      <c r="AP19" s="2">
        <v>39986.370000000003</v>
      </c>
      <c r="AQ19" s="2">
        <v>67192.570000000007</v>
      </c>
      <c r="AR19" s="2">
        <v>130957.20999999999</v>
      </c>
      <c r="AS19" s="2">
        <v>15333.240000000002</v>
      </c>
      <c r="AT19" s="2">
        <v>115413.57999999999</v>
      </c>
      <c r="AU19" s="2">
        <v>39308.060000000005</v>
      </c>
      <c r="AV19" s="2">
        <v>32133.88</v>
      </c>
      <c r="AW19" s="2">
        <v>440324.91</v>
      </c>
    </row>
    <row r="20" spans="3:49">
      <c r="C20" s="6" t="s">
        <v>44</v>
      </c>
      <c r="D20" s="8">
        <v>2.1105307190855679E-2</v>
      </c>
      <c r="AO20" s="6" t="s">
        <v>62</v>
      </c>
      <c r="AP20" s="2">
        <v>477752.35000000003</v>
      </c>
      <c r="AQ20" s="2">
        <v>719776.39999999991</v>
      </c>
      <c r="AR20" s="2">
        <v>118387</v>
      </c>
      <c r="AS20" s="2">
        <v>141073.82999999999</v>
      </c>
      <c r="AT20" s="2">
        <v>298892.36</v>
      </c>
      <c r="AU20" s="2">
        <v>655445.66</v>
      </c>
      <c r="AV20" s="2">
        <v>109692.18</v>
      </c>
      <c r="AW20" s="2">
        <v>2521019.7800000003</v>
      </c>
    </row>
    <row r="21" spans="3:49">
      <c r="C21" s="6" t="s">
        <v>26</v>
      </c>
      <c r="D21" s="8">
        <v>2.1088672617170495E-2</v>
      </c>
      <c r="AO21" s="6" t="s">
        <v>64</v>
      </c>
      <c r="AP21" s="2">
        <v>474120.32000000007</v>
      </c>
      <c r="AQ21" s="2">
        <v>1277613.1099999999</v>
      </c>
      <c r="AR21" s="2">
        <v>762435.03999999992</v>
      </c>
      <c r="AS21" s="2">
        <v>-811760.23</v>
      </c>
      <c r="AT21" s="2">
        <v>626274.31999999995</v>
      </c>
      <c r="AU21" s="2">
        <v>617952.94000000006</v>
      </c>
      <c r="AV21" s="2">
        <v>701263.88</v>
      </c>
      <c r="AW21" s="2">
        <v>3647899.3799999994</v>
      </c>
    </row>
    <row r="22" spans="3:49">
      <c r="C22" s="6" t="s">
        <v>56</v>
      </c>
      <c r="D22" s="8">
        <v>2.0699249377073157E-2</v>
      </c>
      <c r="AO22" s="6" t="s">
        <v>66</v>
      </c>
      <c r="AP22" s="2">
        <v>73404.53</v>
      </c>
      <c r="AQ22" s="2">
        <v>16525.02</v>
      </c>
      <c r="AR22" s="2">
        <v>39058.389999999985</v>
      </c>
      <c r="AS22" s="2">
        <v>-18516.66</v>
      </c>
      <c r="AT22" s="2">
        <v>64002.5</v>
      </c>
      <c r="AU22" s="2">
        <v>85988.17</v>
      </c>
      <c r="AV22" s="2">
        <v>13374.949999999999</v>
      </c>
      <c r="AW22" s="2">
        <v>273836.89999999997</v>
      </c>
    </row>
    <row r="23" spans="3:49">
      <c r="C23" s="6" t="s">
        <v>112</v>
      </c>
      <c r="D23" s="8">
        <v>1.9172999816995585E-2</v>
      </c>
      <c r="AO23" s="6" t="s">
        <v>68</v>
      </c>
      <c r="AP23" s="2">
        <v>35501.68</v>
      </c>
      <c r="AQ23" s="2">
        <v>69306.14</v>
      </c>
      <c r="AR23" s="2">
        <v>176273.28999999998</v>
      </c>
      <c r="AS23" s="2">
        <v>16047.02</v>
      </c>
      <c r="AT23" s="2">
        <v>13543.220000000001</v>
      </c>
      <c r="AU23" s="2">
        <v>49385.389999999992</v>
      </c>
      <c r="AV23" s="2">
        <v>16681.190000000002</v>
      </c>
      <c r="AW23" s="2">
        <v>376737.93</v>
      </c>
    </row>
    <row r="24" spans="3:49">
      <c r="C24" s="6" t="s">
        <v>34</v>
      </c>
      <c r="D24" s="8">
        <v>1.8639517482860392E-2</v>
      </c>
      <c r="AO24" s="6" t="s">
        <v>70</v>
      </c>
      <c r="AP24" s="2">
        <v>168795.02</v>
      </c>
      <c r="AQ24" s="2">
        <v>51454.750000000007</v>
      </c>
      <c r="AR24" s="2">
        <v>13477.77</v>
      </c>
      <c r="AS24" s="2">
        <v>620.35</v>
      </c>
      <c r="AT24" s="2">
        <v>19458.370000000003</v>
      </c>
      <c r="AU24" s="2">
        <v>20827.78</v>
      </c>
      <c r="AV24" s="2">
        <v>97328.000000000015</v>
      </c>
      <c r="AW24" s="2">
        <v>371962.04</v>
      </c>
    </row>
    <row r="25" spans="3:49">
      <c r="C25" s="6" t="s">
        <v>102</v>
      </c>
      <c r="D25" s="8">
        <v>1.7594363366840476E-2</v>
      </c>
      <c r="AO25" s="6" t="s">
        <v>72</v>
      </c>
      <c r="AP25" s="2">
        <v>318918.02</v>
      </c>
      <c r="AQ25" s="2">
        <v>920918.13000000012</v>
      </c>
      <c r="AR25" s="2">
        <v>1366412.9899999998</v>
      </c>
      <c r="AS25" s="2">
        <v>-39488.229999999996</v>
      </c>
      <c r="AT25" s="2">
        <v>381147.85</v>
      </c>
      <c r="AU25" s="2">
        <v>337063.04000000004</v>
      </c>
      <c r="AV25" s="2">
        <v>507937.01999999996</v>
      </c>
      <c r="AW25" s="2">
        <v>3792908.82</v>
      </c>
    </row>
    <row r="26" spans="3:49">
      <c r="C26" s="6" t="s">
        <v>58</v>
      </c>
      <c r="D26" s="8">
        <v>1.6231365911341115E-2</v>
      </c>
      <c r="AO26" s="6" t="s">
        <v>74</v>
      </c>
      <c r="AP26" s="2">
        <v>111067.45999999999</v>
      </c>
      <c r="AQ26" s="2">
        <v>63222.249999999993</v>
      </c>
      <c r="AR26" s="2">
        <v>183398.00000000003</v>
      </c>
      <c r="AS26" s="2">
        <v>32577.5</v>
      </c>
      <c r="AT26" s="2">
        <v>129938.76000000001</v>
      </c>
      <c r="AU26" s="2">
        <v>203335.83</v>
      </c>
      <c r="AV26" s="2">
        <v>53115.82</v>
      </c>
      <c r="AW26" s="2">
        <v>776655.62</v>
      </c>
    </row>
    <row r="27" spans="3:49">
      <c r="C27" s="6" t="s">
        <v>124</v>
      </c>
      <c r="D27" s="8">
        <v>1.5220165621748293E-2</v>
      </c>
      <c r="AO27" s="6" t="s">
        <v>76</v>
      </c>
      <c r="AP27" s="2">
        <v>20096.349999999999</v>
      </c>
      <c r="AQ27" s="2">
        <v>114634.34</v>
      </c>
      <c r="AR27" s="2">
        <v>82777.599999999991</v>
      </c>
      <c r="AS27" s="2">
        <v>-17700.050000000003</v>
      </c>
      <c r="AT27" s="2">
        <v>251653.88999999998</v>
      </c>
      <c r="AU27" s="2">
        <v>127865.70999999999</v>
      </c>
      <c r="AV27" s="2">
        <v>6027.6699999999992</v>
      </c>
      <c r="AW27" s="2">
        <v>585355.51</v>
      </c>
    </row>
    <row r="28" spans="3:49">
      <c r="C28" s="6" t="s">
        <v>106</v>
      </c>
      <c r="D28" s="8">
        <v>1.4083455024866064E-2</v>
      </c>
      <c r="AO28" s="6" t="s">
        <v>78</v>
      </c>
      <c r="AP28" s="2">
        <v>56024.53</v>
      </c>
      <c r="AQ28" s="2">
        <v>9939.0499999999993</v>
      </c>
      <c r="AR28" s="2">
        <v>72028.039999999994</v>
      </c>
      <c r="AS28" s="2">
        <v>-25092.800000000003</v>
      </c>
      <c r="AT28" s="2">
        <v>12249.05</v>
      </c>
      <c r="AU28" s="2">
        <v>10230.66</v>
      </c>
      <c r="AV28" s="2">
        <v>1288.1300000000001</v>
      </c>
      <c r="AW28" s="2">
        <v>136666.66</v>
      </c>
    </row>
    <row r="29" spans="3:49">
      <c r="C29" s="6" t="s">
        <v>23</v>
      </c>
      <c r="D29" s="8">
        <v>1.3532549000283984E-2</v>
      </c>
      <c r="AO29" s="6" t="s">
        <v>80</v>
      </c>
      <c r="AP29" s="2">
        <v>732601.14999999991</v>
      </c>
      <c r="AQ29" s="2">
        <v>541751.11</v>
      </c>
      <c r="AR29" s="2">
        <v>2709151.8800000004</v>
      </c>
      <c r="AS29" s="2">
        <v>9679.630000000001</v>
      </c>
      <c r="AT29" s="2">
        <v>152644.29999999999</v>
      </c>
      <c r="AU29" s="2">
        <v>910292.38000000012</v>
      </c>
      <c r="AV29" s="2">
        <v>125230.57</v>
      </c>
      <c r="AW29" s="2">
        <v>5181351.0200000005</v>
      </c>
    </row>
    <row r="30" spans="3:49">
      <c r="C30" s="6" t="s">
        <v>84</v>
      </c>
      <c r="D30" s="8">
        <v>1.3279174616147327E-2</v>
      </c>
      <c r="AO30" s="6" t="s">
        <v>82</v>
      </c>
      <c r="AP30" s="2">
        <v>159569.55000000002</v>
      </c>
      <c r="AQ30" s="2">
        <v>334588.57999999996</v>
      </c>
      <c r="AR30" s="2">
        <v>431504.08</v>
      </c>
      <c r="AS30" s="2">
        <v>5458.0399999999991</v>
      </c>
      <c r="AT30" s="2">
        <v>632410.03999999992</v>
      </c>
      <c r="AU30" s="2">
        <v>550001.24000000011</v>
      </c>
      <c r="AV30" s="2">
        <v>115158.06</v>
      </c>
      <c r="AW30" s="2">
        <v>2228689.5900000003</v>
      </c>
    </row>
    <row r="31" spans="3:49">
      <c r="C31" s="6" t="s">
        <v>98</v>
      </c>
      <c r="D31" s="8">
        <v>1.2432869986041154E-2</v>
      </c>
      <c r="AO31" s="6" t="s">
        <v>84</v>
      </c>
      <c r="AP31" s="2">
        <v>388793.45999999996</v>
      </c>
      <c r="AQ31" s="2">
        <v>160658.79</v>
      </c>
      <c r="AR31" s="2">
        <v>384338.05000000005</v>
      </c>
      <c r="AS31" s="2">
        <v>-185706.08</v>
      </c>
      <c r="AT31" s="2">
        <v>519597.14999999997</v>
      </c>
      <c r="AU31" s="2">
        <v>113399.24</v>
      </c>
      <c r="AV31" s="2">
        <v>7389.07</v>
      </c>
      <c r="AW31" s="2">
        <v>1388469.6800000002</v>
      </c>
    </row>
    <row r="32" spans="3:49">
      <c r="C32" s="6" t="s">
        <v>116</v>
      </c>
      <c r="D32" s="8">
        <v>1.2400600456704118E-2</v>
      </c>
      <c r="AO32" s="6" t="s">
        <v>86</v>
      </c>
      <c r="AP32" s="2">
        <v>289177.71000000002</v>
      </c>
      <c r="AQ32" s="2">
        <v>153907.07</v>
      </c>
      <c r="AR32" s="2">
        <v>117256.91</v>
      </c>
      <c r="AS32" s="2">
        <v>-49233.440000000002</v>
      </c>
      <c r="AT32" s="2">
        <v>133081.97</v>
      </c>
      <c r="AU32" s="2">
        <v>216327.45000000004</v>
      </c>
      <c r="AV32" s="2">
        <v>172012.91</v>
      </c>
      <c r="AW32" s="2">
        <v>1032530.5800000002</v>
      </c>
    </row>
    <row r="33" spans="3:49">
      <c r="C33" s="6" t="s">
        <v>90</v>
      </c>
      <c r="D33" s="8">
        <v>1.1007696327123343E-2</v>
      </c>
      <c r="AO33" s="6" t="s">
        <v>88</v>
      </c>
      <c r="AP33" s="2">
        <v>84992.190000000017</v>
      </c>
      <c r="AQ33" s="2">
        <v>1795.03</v>
      </c>
      <c r="AR33" s="2">
        <v>5948.28</v>
      </c>
      <c r="AS33" s="2">
        <v>-55725.62999999999</v>
      </c>
      <c r="AT33" s="2">
        <v>46347.869999999995</v>
      </c>
      <c r="AU33" s="2">
        <v>26290.949999999997</v>
      </c>
      <c r="AV33" s="2">
        <v>59606.04</v>
      </c>
      <c r="AW33" s="2">
        <v>169254.73</v>
      </c>
    </row>
    <row r="34" spans="3:49">
      <c r="C34" s="6" t="s">
        <v>36</v>
      </c>
      <c r="D34" s="8">
        <v>9.9864977531407516E-3</v>
      </c>
      <c r="AO34" s="6" t="s">
        <v>90</v>
      </c>
      <c r="AP34" s="2">
        <v>608954.53</v>
      </c>
      <c r="AQ34" s="2">
        <v>94337.43</v>
      </c>
      <c r="AR34" s="2">
        <v>80143.740000000005</v>
      </c>
      <c r="AS34" s="2">
        <v>-270418.34999999998</v>
      </c>
      <c r="AT34" s="2">
        <v>90677.549999999988</v>
      </c>
      <c r="AU34" s="2">
        <v>394806.82999999996</v>
      </c>
      <c r="AV34" s="2">
        <v>152462.32</v>
      </c>
      <c r="AW34" s="2">
        <v>1150964.0499999998</v>
      </c>
    </row>
    <row r="35" spans="3:49">
      <c r="C35" s="6" t="s">
        <v>86</v>
      </c>
      <c r="D35" s="8">
        <v>9.8750113638288988E-3</v>
      </c>
      <c r="AO35" s="6" t="s">
        <v>92</v>
      </c>
      <c r="AP35" s="2">
        <v>22517.320000000003</v>
      </c>
      <c r="AQ35" s="2">
        <v>42099.389999999992</v>
      </c>
      <c r="AR35" s="2">
        <v>304774.89999999997</v>
      </c>
      <c r="AS35" s="2">
        <v>21438.47</v>
      </c>
      <c r="AT35" s="2">
        <v>42078.240000000005</v>
      </c>
      <c r="AU35" s="2">
        <v>38655.33</v>
      </c>
      <c r="AV35" s="2">
        <v>9267.15</v>
      </c>
      <c r="AW35" s="2">
        <v>480830.8</v>
      </c>
    </row>
    <row r="36" spans="3:49">
      <c r="C36" s="6" t="s">
        <v>8</v>
      </c>
      <c r="D36" s="8">
        <v>9.0765562263303186E-3</v>
      </c>
      <c r="AO36" s="6" t="s">
        <v>94</v>
      </c>
      <c r="AP36" s="2">
        <v>3399965.9799999995</v>
      </c>
      <c r="AQ36" s="2">
        <v>634851.5</v>
      </c>
      <c r="AR36" s="2">
        <v>282090.48</v>
      </c>
      <c r="AS36" s="2">
        <v>-1004312.18</v>
      </c>
      <c r="AT36" s="2">
        <v>1555770.24</v>
      </c>
      <c r="AU36" s="2">
        <v>416866.4</v>
      </c>
      <c r="AV36" s="2">
        <v>1489103.4400000002</v>
      </c>
      <c r="AW36" s="2">
        <v>6774335.8599999994</v>
      </c>
    </row>
    <row r="37" spans="3:49">
      <c r="C37" s="6" t="s">
        <v>30</v>
      </c>
      <c r="D37" s="8">
        <v>8.0513125084194469E-3</v>
      </c>
      <c r="AO37" s="6" t="s">
        <v>96</v>
      </c>
      <c r="AP37" s="2">
        <v>341354.79</v>
      </c>
      <c r="AQ37" s="2">
        <v>224741.97999999998</v>
      </c>
      <c r="AR37" s="2">
        <v>336210.70000000007</v>
      </c>
      <c r="AS37" s="2">
        <v>-76225.39</v>
      </c>
      <c r="AT37" s="2">
        <v>344295.89999999997</v>
      </c>
      <c r="AU37" s="2">
        <v>1242653.3800000001</v>
      </c>
      <c r="AV37" s="2">
        <v>20550.760000000002</v>
      </c>
      <c r="AW37" s="2">
        <v>2433582.12</v>
      </c>
    </row>
    <row r="38" spans="3:49">
      <c r="C38" s="6" t="s">
        <v>108</v>
      </c>
      <c r="D38" s="8">
        <v>7.612285662209963E-3</v>
      </c>
      <c r="AO38" s="6" t="s">
        <v>98</v>
      </c>
      <c r="AP38" s="2">
        <v>110437.95999999999</v>
      </c>
      <c r="AQ38" s="2">
        <v>13165.619999999999</v>
      </c>
      <c r="AR38" s="2">
        <v>134061.56</v>
      </c>
      <c r="AS38" s="2">
        <v>-11718.02</v>
      </c>
      <c r="AT38" s="2">
        <v>351196.30000000005</v>
      </c>
      <c r="AU38" s="2">
        <v>455845.54</v>
      </c>
      <c r="AV38" s="2">
        <v>246991.16</v>
      </c>
      <c r="AW38" s="2">
        <v>1299980.1199999999</v>
      </c>
    </row>
    <row r="39" spans="3:49">
      <c r="C39" s="6" t="s">
        <v>74</v>
      </c>
      <c r="D39" s="8">
        <v>7.427850779278212E-3</v>
      </c>
      <c r="AO39" s="6" t="s">
        <v>100</v>
      </c>
      <c r="AP39" s="2">
        <v>40529.020000000004</v>
      </c>
      <c r="AQ39" s="2">
        <v>60130.07</v>
      </c>
      <c r="AR39" s="2">
        <v>127718.54</v>
      </c>
      <c r="AS39" s="2">
        <v>72061.25</v>
      </c>
      <c r="AT39" s="2">
        <v>1546520.1</v>
      </c>
      <c r="AU39" s="2">
        <v>778500.25</v>
      </c>
      <c r="AV39" s="2">
        <v>918594.41</v>
      </c>
      <c r="AW39" s="2">
        <v>3544053.64</v>
      </c>
    </row>
    <row r="40" spans="3:49">
      <c r="C40" s="6" t="s">
        <v>46</v>
      </c>
      <c r="D40" s="8">
        <v>7.2156957193448695E-3</v>
      </c>
      <c r="AO40" s="6" t="s">
        <v>102</v>
      </c>
      <c r="AP40" s="2">
        <v>681704.22000000009</v>
      </c>
      <c r="AQ40" s="2">
        <v>165637.57999999999</v>
      </c>
      <c r="AR40" s="2">
        <v>48800.54</v>
      </c>
      <c r="AS40" s="2">
        <v>-355272.48000000004</v>
      </c>
      <c r="AT40" s="2">
        <v>995573.3</v>
      </c>
      <c r="AU40" s="2">
        <v>298078.67000000004</v>
      </c>
      <c r="AV40" s="2">
        <v>5143.7200000000012</v>
      </c>
      <c r="AW40" s="2">
        <v>1839665.55</v>
      </c>
    </row>
    <row r="41" spans="3:49">
      <c r="C41" s="6" t="s">
        <v>76</v>
      </c>
      <c r="D41" s="8">
        <v>5.5982771116859925E-3</v>
      </c>
      <c r="AO41" s="6" t="s">
        <v>104</v>
      </c>
      <c r="AP41" s="2">
        <v>586532.59</v>
      </c>
      <c r="AQ41" s="2">
        <v>105712.72</v>
      </c>
      <c r="AR41" s="2">
        <v>516048.58</v>
      </c>
      <c r="AS41" s="2">
        <v>79211.740000000005</v>
      </c>
      <c r="AT41" s="2">
        <v>104613.68</v>
      </c>
      <c r="AU41" s="2">
        <v>2161872.08</v>
      </c>
      <c r="AV41" s="2">
        <v>603297.95000000007</v>
      </c>
      <c r="AW41" s="2">
        <v>4157289.34</v>
      </c>
    </row>
    <row r="42" spans="3:49">
      <c r="C42" s="6" t="s">
        <v>92</v>
      </c>
      <c r="D42" s="8">
        <v>4.5986140324085507E-3</v>
      </c>
      <c r="AO42" s="6" t="s">
        <v>106</v>
      </c>
      <c r="AP42" s="2">
        <v>293361.12</v>
      </c>
      <c r="AQ42" s="2">
        <v>72789.300000000017</v>
      </c>
      <c r="AR42" s="2">
        <v>103620.19</v>
      </c>
      <c r="AS42" s="2">
        <v>-736.12999999999988</v>
      </c>
      <c r="AT42" s="2">
        <v>165798.65</v>
      </c>
      <c r="AU42" s="2">
        <v>642183.84000000008</v>
      </c>
      <c r="AV42" s="2">
        <v>195548.21999999997</v>
      </c>
      <c r="AW42" s="2">
        <v>1472565.1900000002</v>
      </c>
    </row>
    <row r="43" spans="3:49">
      <c r="C43" s="6" t="s">
        <v>60</v>
      </c>
      <c r="D43" s="8">
        <v>4.2112200590000348E-3</v>
      </c>
      <c r="AO43" s="6" t="s">
        <v>108</v>
      </c>
      <c r="AP43" s="2">
        <v>69157.540000000008</v>
      </c>
      <c r="AQ43" s="2">
        <v>115807.52</v>
      </c>
      <c r="AR43" s="2">
        <v>253251.21999999997</v>
      </c>
      <c r="AS43" s="2">
        <v>-57933.53</v>
      </c>
      <c r="AT43" s="2">
        <v>71820.239999999991</v>
      </c>
      <c r="AU43" s="2">
        <v>290409.43999999994</v>
      </c>
      <c r="AV43" s="2">
        <v>53427.69</v>
      </c>
      <c r="AW43" s="2">
        <v>795940.11999999988</v>
      </c>
    </row>
    <row r="44" spans="3:49">
      <c r="C44" s="6" t="s">
        <v>110</v>
      </c>
      <c r="D44" s="8">
        <v>4.1408002585299154E-3</v>
      </c>
      <c r="AO44" s="6" t="s">
        <v>110</v>
      </c>
      <c r="AP44" s="2">
        <v>83626.86</v>
      </c>
      <c r="AQ44" s="2">
        <v>2372.15</v>
      </c>
      <c r="AR44" s="2">
        <v>23462.14</v>
      </c>
      <c r="AS44" s="2">
        <v>12715.27</v>
      </c>
      <c r="AT44" s="2">
        <v>187288.59</v>
      </c>
      <c r="AU44" s="2">
        <v>103981.96999999999</v>
      </c>
      <c r="AV44" s="2">
        <v>19514.839999999997</v>
      </c>
      <c r="AW44" s="2">
        <v>432961.81999999995</v>
      </c>
    </row>
    <row r="45" spans="3:49">
      <c r="C45" s="6" t="s">
        <v>68</v>
      </c>
      <c r="D45" s="8">
        <v>3.6030810244238737E-3</v>
      </c>
      <c r="AO45" s="6" t="s">
        <v>112</v>
      </c>
      <c r="AP45" s="2">
        <v>404280.57999999996</v>
      </c>
      <c r="AQ45" s="2">
        <v>106234.76</v>
      </c>
      <c r="AR45" s="2">
        <v>238443.34</v>
      </c>
      <c r="AS45" s="2">
        <v>-165676.40000000002</v>
      </c>
      <c r="AT45" s="2">
        <v>340620.89</v>
      </c>
      <c r="AU45" s="2">
        <v>284197.78999999998</v>
      </c>
      <c r="AV45" s="2">
        <v>796626.72000000009</v>
      </c>
      <c r="AW45" s="2">
        <v>2004727.6800000002</v>
      </c>
    </row>
    <row r="46" spans="3:49">
      <c r="C46" s="6" t="s">
        <v>70</v>
      </c>
      <c r="D46" s="8">
        <v>3.5574049263635186E-3</v>
      </c>
      <c r="AO46" s="6" t="s">
        <v>114</v>
      </c>
      <c r="AP46" s="2">
        <v>35665.979999999996</v>
      </c>
      <c r="AQ46" s="2">
        <v>19976.77</v>
      </c>
      <c r="AR46" s="2">
        <v>43788.570000000007</v>
      </c>
      <c r="AS46" s="2">
        <v>-8899.24</v>
      </c>
      <c r="AT46" s="2">
        <v>22377.87</v>
      </c>
      <c r="AU46" s="2">
        <v>5431.5199999999995</v>
      </c>
      <c r="AV46" s="2">
        <v>4267.32</v>
      </c>
      <c r="AW46" s="2">
        <v>122608.79000000001</v>
      </c>
    </row>
    <row r="47" spans="3:49">
      <c r="C47" s="6" t="s">
        <v>42</v>
      </c>
      <c r="D47" s="8">
        <v>2.6849234445718716E-3</v>
      </c>
      <c r="AO47" s="6" t="s">
        <v>116</v>
      </c>
      <c r="AP47" s="2">
        <v>36195.949999999997</v>
      </c>
      <c r="AQ47" s="2">
        <v>211667.18</v>
      </c>
      <c r="AR47" s="2">
        <v>95895.15</v>
      </c>
      <c r="AS47" s="2">
        <v>-13826.56</v>
      </c>
      <c r="AT47" s="2">
        <v>675873.92</v>
      </c>
      <c r="AU47" s="2">
        <v>131307.93</v>
      </c>
      <c r="AV47" s="2">
        <v>159492.45000000001</v>
      </c>
      <c r="AW47" s="2">
        <v>1296606.02</v>
      </c>
    </row>
    <row r="48" spans="3:49">
      <c r="C48" s="6" t="s">
        <v>66</v>
      </c>
      <c r="D48" s="8">
        <v>2.6189466459537502E-3</v>
      </c>
      <c r="AO48" s="6" t="s">
        <v>118</v>
      </c>
      <c r="AP48" s="2">
        <v>3094.4399999999996</v>
      </c>
      <c r="AQ48" s="2">
        <v>353416.68</v>
      </c>
      <c r="AR48" s="2">
        <v>686194.8899999999</v>
      </c>
      <c r="AS48" s="2">
        <v>167451.07</v>
      </c>
      <c r="AT48" s="2">
        <v>828714.82</v>
      </c>
      <c r="AU48" s="2">
        <v>261397.3</v>
      </c>
      <c r="AV48" s="2">
        <v>77664.799999999988</v>
      </c>
      <c r="AW48" s="2">
        <v>2377933.9999999995</v>
      </c>
    </row>
    <row r="49" spans="3:49">
      <c r="C49" s="6" t="s">
        <v>122</v>
      </c>
      <c r="D49" s="8">
        <v>2.0372248036789956E-3</v>
      </c>
      <c r="AO49" s="6" t="s">
        <v>120</v>
      </c>
      <c r="AP49" s="2">
        <v>713894.85999999987</v>
      </c>
      <c r="AQ49" s="2">
        <v>346840.14</v>
      </c>
      <c r="AR49" s="2">
        <v>670976.9600000002</v>
      </c>
      <c r="AS49" s="2">
        <v>-81016.339999999982</v>
      </c>
      <c r="AT49" s="2">
        <v>239591.47</v>
      </c>
      <c r="AU49" s="2">
        <v>71759.469999999987</v>
      </c>
      <c r="AV49" s="2">
        <v>316863.53000000003</v>
      </c>
      <c r="AW49" s="2">
        <v>2278910.09</v>
      </c>
    </row>
    <row r="50" spans="3:49">
      <c r="C50" s="6" t="s">
        <v>88</v>
      </c>
      <c r="D50" s="8">
        <v>1.6187340254191715E-3</v>
      </c>
      <c r="AO50" s="6" t="s">
        <v>122</v>
      </c>
      <c r="AP50" s="2">
        <v>15960.4</v>
      </c>
      <c r="AQ50" s="2">
        <v>13931.169999999998</v>
      </c>
      <c r="AR50" s="2">
        <v>121989.75999999999</v>
      </c>
      <c r="AS50" s="2">
        <v>2170.14</v>
      </c>
      <c r="AT50" s="2">
        <v>20697.969999999998</v>
      </c>
      <c r="AU50" s="2">
        <v>29031.38</v>
      </c>
      <c r="AV50" s="2">
        <v>9231.2799999999988</v>
      </c>
      <c r="AW50" s="2">
        <v>213012.1</v>
      </c>
    </row>
    <row r="51" spans="3:49">
      <c r="C51" s="6" t="s">
        <v>38</v>
      </c>
      <c r="D51" s="8">
        <v>1.3374621497158935E-3</v>
      </c>
      <c r="AO51" s="6" t="s">
        <v>124</v>
      </c>
      <c r="AP51" s="2">
        <v>77801.25</v>
      </c>
      <c r="AQ51" s="2">
        <v>179497.53</v>
      </c>
      <c r="AR51" s="2">
        <v>623878.31000000006</v>
      </c>
      <c r="AS51" s="2">
        <v>91069.49000000002</v>
      </c>
      <c r="AT51" s="2">
        <v>421058.24000000005</v>
      </c>
      <c r="AU51" s="2">
        <v>69022.689999999988</v>
      </c>
      <c r="AV51" s="2">
        <v>129092.07</v>
      </c>
      <c r="AW51" s="2">
        <v>1591419.58</v>
      </c>
    </row>
    <row r="52" spans="3:49">
      <c r="C52" s="6" t="s">
        <v>78</v>
      </c>
      <c r="D52" s="8">
        <v>1.3070652305102097E-3</v>
      </c>
      <c r="AO52" s="6" t="s">
        <v>154</v>
      </c>
      <c r="AP52" s="2">
        <v>19721524.369999994</v>
      </c>
      <c r="AQ52" s="2">
        <v>11490235.059999999</v>
      </c>
      <c r="AR52" s="2">
        <v>19668738.539999999</v>
      </c>
      <c r="AS52" s="2">
        <v>-2973650.96</v>
      </c>
      <c r="AT52" s="2">
        <v>21491509.590000004</v>
      </c>
      <c r="AU52" s="2">
        <v>21091704.259999998</v>
      </c>
      <c r="AV52" s="2">
        <v>14069877.550000001</v>
      </c>
      <c r="AW52" s="2">
        <v>104559938.41000001</v>
      </c>
    </row>
    <row r="53" spans="3:49">
      <c r="C53" s="6" t="s">
        <v>114</v>
      </c>
      <c r="D53" s="8">
        <v>1.1726172744978764E-3</v>
      </c>
    </row>
    <row r="54" spans="3:49">
      <c r="C54" s="6" t="s">
        <v>154</v>
      </c>
      <c r="D54" s="8">
        <v>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8C37-6269-4266-A6F6-B07F8A16911C}">
  <dimension ref="A3:AK18"/>
  <sheetViews>
    <sheetView workbookViewId="0">
      <selection activeCell="C17" sqref="C17:D17"/>
    </sheetView>
  </sheetViews>
  <sheetFormatPr defaultRowHeight="14.4"/>
  <cols>
    <col min="1" max="1" width="23.109375" bestFit="1" customWidth="1"/>
    <col min="2" max="2" width="16.21875" bestFit="1" customWidth="1"/>
    <col min="3" max="3" width="8.109375" bestFit="1" customWidth="1"/>
    <col min="4" max="4" width="8.21875" bestFit="1" customWidth="1"/>
    <col min="5" max="5" width="8.109375" bestFit="1" customWidth="1"/>
    <col min="6" max="7" width="8.33203125" bestFit="1" customWidth="1"/>
    <col min="8" max="8" width="8.109375" bestFit="1" customWidth="1"/>
    <col min="9" max="9" width="8" bestFit="1" customWidth="1"/>
    <col min="10" max="10" width="8.33203125" bestFit="1" customWidth="1"/>
    <col min="11" max="11" width="8.21875" bestFit="1" customWidth="1"/>
    <col min="12" max="12" width="8.5546875" bestFit="1" customWidth="1"/>
    <col min="13" max="13" width="8.33203125" bestFit="1" customWidth="1"/>
    <col min="14" max="14" width="8.109375" bestFit="1" customWidth="1"/>
    <col min="15" max="16" width="8.21875" bestFit="1" customWidth="1"/>
    <col min="17" max="17" width="8" bestFit="1" customWidth="1"/>
    <col min="18" max="19" width="8.44140625" bestFit="1" customWidth="1"/>
    <col min="20" max="20" width="8.109375" bestFit="1" customWidth="1"/>
    <col min="21" max="21" width="8.44140625" bestFit="1" customWidth="1"/>
    <col min="22" max="22" width="8" bestFit="1" customWidth="1"/>
    <col min="23" max="23" width="8.21875" bestFit="1" customWidth="1"/>
    <col min="24" max="25" width="8.109375" bestFit="1" customWidth="1"/>
    <col min="26" max="26" width="8" bestFit="1" customWidth="1"/>
    <col min="27" max="27" width="8.44140625" bestFit="1" customWidth="1"/>
    <col min="28" max="28" width="8.33203125" bestFit="1" customWidth="1"/>
    <col min="29" max="29" width="8.21875" bestFit="1" customWidth="1"/>
    <col min="30" max="32" width="8.33203125" bestFit="1" customWidth="1"/>
    <col min="33" max="34" width="8.21875" bestFit="1" customWidth="1"/>
    <col min="35" max="35" width="8.33203125" bestFit="1" customWidth="1"/>
    <col min="36" max="36" width="8.21875" bestFit="1" customWidth="1"/>
    <col min="37" max="37" width="11.21875" bestFit="1" customWidth="1"/>
  </cols>
  <sheetData>
    <row r="3" spans="1:37">
      <c r="B3" s="5" t="s">
        <v>156</v>
      </c>
    </row>
    <row r="4" spans="1:37">
      <c r="B4">
        <v>1990</v>
      </c>
      <c r="C4">
        <v>1991</v>
      </c>
      <c r="D4">
        <v>1992</v>
      </c>
      <c r="E4">
        <v>1993</v>
      </c>
      <c r="F4">
        <v>1994</v>
      </c>
      <c r="G4">
        <v>1995</v>
      </c>
      <c r="H4">
        <v>1996</v>
      </c>
      <c r="I4">
        <v>1997</v>
      </c>
      <c r="J4">
        <v>1998</v>
      </c>
      <c r="K4">
        <v>1999</v>
      </c>
      <c r="L4">
        <v>2000</v>
      </c>
      <c r="M4">
        <v>2001</v>
      </c>
      <c r="N4">
        <v>2002</v>
      </c>
      <c r="O4">
        <v>2003</v>
      </c>
      <c r="P4">
        <v>2004</v>
      </c>
      <c r="Q4">
        <v>2005</v>
      </c>
      <c r="R4">
        <v>2006</v>
      </c>
      <c r="S4">
        <v>2007</v>
      </c>
      <c r="T4">
        <v>2008</v>
      </c>
      <c r="U4">
        <v>2009</v>
      </c>
      <c r="V4">
        <v>2010</v>
      </c>
      <c r="W4">
        <v>2011</v>
      </c>
      <c r="X4">
        <v>2012</v>
      </c>
      <c r="Y4">
        <v>2013</v>
      </c>
      <c r="Z4">
        <v>2014</v>
      </c>
      <c r="AA4">
        <v>2015</v>
      </c>
      <c r="AB4">
        <v>2016</v>
      </c>
      <c r="AC4">
        <v>2017</v>
      </c>
      <c r="AD4">
        <v>2018</v>
      </c>
      <c r="AE4">
        <v>2019</v>
      </c>
      <c r="AF4">
        <v>2020</v>
      </c>
      <c r="AG4">
        <v>2021</v>
      </c>
      <c r="AH4">
        <v>2022</v>
      </c>
      <c r="AI4">
        <v>2023</v>
      </c>
      <c r="AJ4">
        <v>2024</v>
      </c>
      <c r="AK4" t="s">
        <v>154</v>
      </c>
    </row>
    <row r="5" spans="1:37">
      <c r="A5" t="s">
        <v>155</v>
      </c>
      <c r="B5" s="2">
        <v>2703031.7499999991</v>
      </c>
      <c r="C5" s="2">
        <v>2870703.14</v>
      </c>
      <c r="D5" s="2">
        <v>1787476.6200000003</v>
      </c>
      <c r="E5" s="2">
        <v>1851769.8499999994</v>
      </c>
      <c r="F5" s="2">
        <v>4321990.2500000009</v>
      </c>
      <c r="G5" s="2">
        <v>1292975.7799999991</v>
      </c>
      <c r="H5" s="2">
        <v>3720911.8999999994</v>
      </c>
      <c r="I5" s="2">
        <v>3107222.6599999983</v>
      </c>
      <c r="J5" s="2">
        <v>4178673.2399999984</v>
      </c>
      <c r="K5" s="2">
        <v>2176902.59</v>
      </c>
      <c r="L5" s="2">
        <v>3694287.6599999992</v>
      </c>
      <c r="M5" s="2">
        <v>3893363.4600000009</v>
      </c>
      <c r="N5" s="2">
        <v>2857723.38</v>
      </c>
      <c r="O5" s="2">
        <v>3110683.0599999991</v>
      </c>
      <c r="P5" s="2">
        <v>2258345.3300000005</v>
      </c>
      <c r="Q5" s="2">
        <v>2112254.9899999998</v>
      </c>
      <c r="R5" s="2">
        <v>3366905.5899999989</v>
      </c>
      <c r="S5" s="2">
        <v>3349048.1299999994</v>
      </c>
      <c r="T5" s="2">
        <v>2610117.4099999997</v>
      </c>
      <c r="U5" s="2">
        <v>4098342.8599999989</v>
      </c>
      <c r="V5" s="2">
        <v>2520301.3199999989</v>
      </c>
      <c r="W5" s="2">
        <v>2855074.1800000006</v>
      </c>
      <c r="X5" s="2">
        <v>2202229.4499999997</v>
      </c>
      <c r="Y5" s="2">
        <v>3177718.47</v>
      </c>
      <c r="Z5" s="2">
        <v>3701321.7399999988</v>
      </c>
      <c r="AA5" s="2">
        <v>2475947.81</v>
      </c>
      <c r="AB5" s="2">
        <v>3599138.7399999998</v>
      </c>
      <c r="AC5" s="2">
        <v>3593087.48</v>
      </c>
      <c r="AD5" s="2">
        <v>2430388.15</v>
      </c>
      <c r="AE5" s="2">
        <v>2807885.0399999986</v>
      </c>
      <c r="AF5" s="2">
        <v>3374645.2900000005</v>
      </c>
      <c r="AG5" s="2">
        <v>3207492.97</v>
      </c>
      <c r="AH5" s="2">
        <v>3708329.0599999987</v>
      </c>
      <c r="AI5" s="2">
        <v>2882426.79</v>
      </c>
      <c r="AJ5" s="2">
        <v>2661222.27</v>
      </c>
      <c r="AK5" s="2">
        <v>104559938.41</v>
      </c>
    </row>
    <row r="15" spans="1:37">
      <c r="D15" t="s">
        <v>159</v>
      </c>
      <c r="E15" t="s">
        <v>160</v>
      </c>
    </row>
    <row r="16" spans="1:37">
      <c r="C16">
        <v>2023</v>
      </c>
      <c r="D16" s="2">
        <v>2882426.79</v>
      </c>
      <c r="E16" s="2">
        <f>D18-D16</f>
        <v>2661222.2700000005</v>
      </c>
      <c r="F16" s="2">
        <f>D16-D17</f>
        <v>221204.52000000002</v>
      </c>
      <c r="G16">
        <f>(D16-D17)/D17*100</f>
        <v>8.3121399701799437</v>
      </c>
    </row>
    <row r="17" spans="3:5">
      <c r="C17">
        <v>2024</v>
      </c>
      <c r="D17" s="2">
        <v>2661222.27</v>
      </c>
      <c r="E17" s="2">
        <f>D18-D17</f>
        <v>2882426.7900000005</v>
      </c>
    </row>
    <row r="18" spans="3:5">
      <c r="D18" s="2">
        <f>SUM(D16:D17)</f>
        <v>5543649.0600000005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opLeftCell="A2" workbookViewId="0">
      <selection sqref="A1:H5001"/>
    </sheetView>
  </sheetViews>
  <sheetFormatPr defaultRowHeight="14.4"/>
  <cols>
    <col min="1" max="1" width="20" customWidth="1"/>
    <col min="2" max="2" width="6.21875" customWidth="1"/>
    <col min="4" max="4" width="15.109375" customWidth="1"/>
    <col min="5" max="5" width="14.6640625" customWidth="1"/>
    <col min="6" max="6" width="15.33203125" customWidth="1"/>
    <col min="7" max="7" width="14.77734375" customWidth="1"/>
    <col min="8" max="8" width="17.6640625" customWidth="1"/>
  </cols>
  <sheetData>
    <row r="1" spans="1:8">
      <c r="A1" s="3" t="s">
        <v>0</v>
      </c>
      <c r="B1" s="3" t="s">
        <v>1</v>
      </c>
      <c r="C1" s="3" t="s">
        <v>2</v>
      </c>
      <c r="D1" s="3" t="s">
        <v>3</v>
      </c>
      <c r="E1" s="3" t="s">
        <v>4</v>
      </c>
      <c r="F1" s="3" t="s">
        <v>5</v>
      </c>
      <c r="G1" s="3" t="s">
        <v>6</v>
      </c>
      <c r="H1" s="3" t="s">
        <v>7</v>
      </c>
    </row>
    <row r="2" spans="1:8">
      <c r="A2" t="s">
        <v>8</v>
      </c>
      <c r="B2" t="s">
        <v>9</v>
      </c>
      <c r="C2" t="s">
        <v>10</v>
      </c>
      <c r="D2" t="s">
        <v>11</v>
      </c>
      <c r="E2">
        <v>1990</v>
      </c>
      <c r="F2" t="s">
        <v>12</v>
      </c>
      <c r="G2" t="s">
        <v>13</v>
      </c>
      <c r="H2" s="2">
        <v>29253.59</v>
      </c>
    </row>
    <row r="3" spans="1:8">
      <c r="A3" t="s">
        <v>8</v>
      </c>
      <c r="B3" t="s">
        <v>9</v>
      </c>
      <c r="C3" t="s">
        <v>10</v>
      </c>
      <c r="D3" t="s">
        <v>11</v>
      </c>
      <c r="E3">
        <v>1990</v>
      </c>
      <c r="F3" t="s">
        <v>14</v>
      </c>
      <c r="G3" t="s">
        <v>15</v>
      </c>
      <c r="H3" s="2">
        <v>518.53</v>
      </c>
    </row>
    <row r="4" spans="1:8">
      <c r="A4" t="s">
        <v>8</v>
      </c>
      <c r="B4" t="s">
        <v>9</v>
      </c>
      <c r="C4" t="s">
        <v>10</v>
      </c>
      <c r="D4" t="s">
        <v>11</v>
      </c>
      <c r="E4">
        <v>1990</v>
      </c>
      <c r="F4" t="s">
        <v>16</v>
      </c>
      <c r="G4" t="s">
        <v>17</v>
      </c>
      <c r="H4" s="2">
        <v>2006.21</v>
      </c>
    </row>
    <row r="5" spans="1:8">
      <c r="A5" t="s">
        <v>8</v>
      </c>
      <c r="B5" t="s">
        <v>9</v>
      </c>
      <c r="C5" t="s">
        <v>10</v>
      </c>
      <c r="D5" t="s">
        <v>11</v>
      </c>
      <c r="E5">
        <v>1991</v>
      </c>
      <c r="F5" t="s">
        <v>18</v>
      </c>
      <c r="G5" t="s">
        <v>19</v>
      </c>
      <c r="H5" s="2">
        <v>1416.66</v>
      </c>
    </row>
    <row r="6" spans="1:8">
      <c r="A6" t="s">
        <v>8</v>
      </c>
      <c r="B6" t="s">
        <v>9</v>
      </c>
      <c r="C6" t="s">
        <v>10</v>
      </c>
      <c r="D6" t="s">
        <v>11</v>
      </c>
      <c r="E6">
        <v>1991</v>
      </c>
      <c r="F6" t="s">
        <v>18</v>
      </c>
      <c r="G6" t="s">
        <v>17</v>
      </c>
      <c r="H6" s="2">
        <v>1469.93</v>
      </c>
    </row>
    <row r="7" spans="1:8">
      <c r="A7" t="s">
        <v>8</v>
      </c>
      <c r="B7" t="s">
        <v>9</v>
      </c>
      <c r="C7" t="s">
        <v>10</v>
      </c>
      <c r="D7" t="s">
        <v>11</v>
      </c>
      <c r="E7">
        <v>1992</v>
      </c>
      <c r="F7" t="s">
        <v>12</v>
      </c>
      <c r="G7" t="s">
        <v>15</v>
      </c>
      <c r="H7" s="2">
        <v>2094.7199999999998</v>
      </c>
    </row>
    <row r="8" spans="1:8">
      <c r="A8" t="s">
        <v>8</v>
      </c>
      <c r="B8" t="s">
        <v>9</v>
      </c>
      <c r="C8" t="s">
        <v>10</v>
      </c>
      <c r="D8" t="s">
        <v>11</v>
      </c>
      <c r="E8">
        <v>1992</v>
      </c>
      <c r="F8" t="s">
        <v>12</v>
      </c>
      <c r="G8" t="s">
        <v>17</v>
      </c>
      <c r="H8" s="2">
        <v>980.46</v>
      </c>
    </row>
    <row r="9" spans="1:8">
      <c r="A9" t="s">
        <v>8</v>
      </c>
      <c r="B9" t="s">
        <v>9</v>
      </c>
      <c r="C9" t="s">
        <v>10</v>
      </c>
      <c r="D9" t="s">
        <v>11</v>
      </c>
      <c r="E9">
        <v>1992</v>
      </c>
      <c r="F9" t="s">
        <v>20</v>
      </c>
      <c r="G9" t="s">
        <v>17</v>
      </c>
      <c r="H9" s="2">
        <v>-253.37</v>
      </c>
    </row>
    <row r="10" spans="1:8">
      <c r="A10" t="s">
        <v>8</v>
      </c>
      <c r="B10" t="s">
        <v>9</v>
      </c>
      <c r="C10" t="s">
        <v>10</v>
      </c>
      <c r="D10" t="s">
        <v>11</v>
      </c>
      <c r="E10">
        <v>1993</v>
      </c>
      <c r="F10" t="s">
        <v>12</v>
      </c>
      <c r="G10" t="s">
        <v>13</v>
      </c>
      <c r="H10" s="2">
        <v>29157.52</v>
      </c>
    </row>
    <row r="11" spans="1:8">
      <c r="A11" t="s">
        <v>8</v>
      </c>
      <c r="B11" t="s">
        <v>9</v>
      </c>
      <c r="C11" t="s">
        <v>10</v>
      </c>
      <c r="D11" t="s">
        <v>11</v>
      </c>
      <c r="E11">
        <v>1993</v>
      </c>
      <c r="F11" t="s">
        <v>21</v>
      </c>
      <c r="G11" t="s">
        <v>19</v>
      </c>
      <c r="H11" s="2">
        <v>0</v>
      </c>
    </row>
    <row r="12" spans="1:8">
      <c r="A12" t="s">
        <v>8</v>
      </c>
      <c r="B12" t="s">
        <v>9</v>
      </c>
      <c r="C12" t="s">
        <v>10</v>
      </c>
      <c r="D12" t="s">
        <v>11</v>
      </c>
      <c r="E12">
        <v>1994</v>
      </c>
      <c r="F12" t="s">
        <v>22</v>
      </c>
      <c r="G12" t="s">
        <v>19</v>
      </c>
      <c r="H12" s="2">
        <v>0</v>
      </c>
    </row>
    <row r="13" spans="1:8">
      <c r="A13" t="s">
        <v>8</v>
      </c>
      <c r="B13" t="s">
        <v>9</v>
      </c>
      <c r="C13" t="s">
        <v>10</v>
      </c>
      <c r="D13" t="s">
        <v>11</v>
      </c>
      <c r="E13">
        <v>1994</v>
      </c>
      <c r="F13" t="s">
        <v>14</v>
      </c>
      <c r="G13" t="s">
        <v>13</v>
      </c>
      <c r="H13" s="2">
        <v>15420.88</v>
      </c>
    </row>
    <row r="14" spans="1:8">
      <c r="A14" t="s">
        <v>8</v>
      </c>
      <c r="B14" t="s">
        <v>9</v>
      </c>
      <c r="C14" t="s">
        <v>10</v>
      </c>
      <c r="D14" t="s">
        <v>11</v>
      </c>
      <c r="E14">
        <v>1994</v>
      </c>
      <c r="F14" t="s">
        <v>21</v>
      </c>
      <c r="G14" t="s">
        <v>17</v>
      </c>
      <c r="H14" s="2">
        <v>144</v>
      </c>
    </row>
    <row r="15" spans="1:8">
      <c r="A15" t="s">
        <v>8</v>
      </c>
      <c r="B15" t="s">
        <v>9</v>
      </c>
      <c r="C15" t="s">
        <v>10</v>
      </c>
      <c r="D15" t="s">
        <v>11</v>
      </c>
      <c r="E15">
        <v>1995</v>
      </c>
      <c r="F15" t="s">
        <v>22</v>
      </c>
      <c r="G15" t="s">
        <v>19</v>
      </c>
      <c r="H15" s="2">
        <v>0</v>
      </c>
    </row>
    <row r="16" spans="1:8">
      <c r="A16" t="s">
        <v>8</v>
      </c>
      <c r="B16" t="s">
        <v>9</v>
      </c>
      <c r="C16" t="s">
        <v>10</v>
      </c>
      <c r="D16" t="s">
        <v>11</v>
      </c>
      <c r="E16">
        <v>1995</v>
      </c>
      <c r="F16" t="s">
        <v>14</v>
      </c>
      <c r="G16" t="s">
        <v>13</v>
      </c>
      <c r="H16" s="2">
        <v>14739.77</v>
      </c>
    </row>
    <row r="17" spans="1:8">
      <c r="A17" t="s">
        <v>8</v>
      </c>
      <c r="B17" t="s">
        <v>9</v>
      </c>
      <c r="C17" t="s">
        <v>10</v>
      </c>
      <c r="D17" t="s">
        <v>11</v>
      </c>
      <c r="E17">
        <v>1995</v>
      </c>
      <c r="F17" t="s">
        <v>21</v>
      </c>
      <c r="G17" t="s">
        <v>15</v>
      </c>
      <c r="H17" s="2">
        <v>298.02999999999997</v>
      </c>
    </row>
    <row r="18" spans="1:8">
      <c r="A18" t="s">
        <v>8</v>
      </c>
      <c r="B18" t="s">
        <v>9</v>
      </c>
      <c r="C18" t="s">
        <v>10</v>
      </c>
      <c r="D18" t="s">
        <v>11</v>
      </c>
      <c r="E18">
        <v>1996</v>
      </c>
      <c r="F18" t="s">
        <v>21</v>
      </c>
      <c r="G18" t="s">
        <v>13</v>
      </c>
      <c r="H18" s="2">
        <v>15756.6</v>
      </c>
    </row>
    <row r="19" spans="1:8">
      <c r="A19" t="s">
        <v>8</v>
      </c>
      <c r="B19" t="s">
        <v>9</v>
      </c>
      <c r="C19" t="s">
        <v>10</v>
      </c>
      <c r="D19" t="s">
        <v>11</v>
      </c>
      <c r="E19">
        <v>1996</v>
      </c>
      <c r="F19" t="s">
        <v>21</v>
      </c>
      <c r="G19" t="s">
        <v>17</v>
      </c>
      <c r="H19" s="2">
        <v>148.77000000000001</v>
      </c>
    </row>
    <row r="20" spans="1:8">
      <c r="A20" t="s">
        <v>8</v>
      </c>
      <c r="B20" t="s">
        <v>9</v>
      </c>
      <c r="C20" t="s">
        <v>10</v>
      </c>
      <c r="D20" t="s">
        <v>11</v>
      </c>
      <c r="E20">
        <v>1997</v>
      </c>
      <c r="F20" t="s">
        <v>20</v>
      </c>
      <c r="G20" t="s">
        <v>15</v>
      </c>
      <c r="H20" s="2">
        <v>-256.52</v>
      </c>
    </row>
    <row r="21" spans="1:8">
      <c r="A21" t="s">
        <v>8</v>
      </c>
      <c r="B21" t="s">
        <v>9</v>
      </c>
      <c r="C21" t="s">
        <v>10</v>
      </c>
      <c r="D21" t="s">
        <v>11</v>
      </c>
      <c r="E21">
        <v>1997</v>
      </c>
      <c r="F21" t="s">
        <v>20</v>
      </c>
      <c r="G21" t="s">
        <v>17</v>
      </c>
      <c r="H21" s="2">
        <v>-221.74</v>
      </c>
    </row>
    <row r="22" spans="1:8">
      <c r="A22" t="s">
        <v>8</v>
      </c>
      <c r="B22" t="s">
        <v>9</v>
      </c>
      <c r="C22" t="s">
        <v>10</v>
      </c>
      <c r="D22" t="s">
        <v>11</v>
      </c>
      <c r="E22">
        <v>1997</v>
      </c>
      <c r="F22" t="s">
        <v>16</v>
      </c>
      <c r="G22" t="s">
        <v>15</v>
      </c>
      <c r="H22" s="2">
        <v>29128.41</v>
      </c>
    </row>
    <row r="23" spans="1:8">
      <c r="A23" t="s">
        <v>8</v>
      </c>
      <c r="B23" t="s">
        <v>9</v>
      </c>
      <c r="C23" t="s">
        <v>10</v>
      </c>
      <c r="D23" t="s">
        <v>11</v>
      </c>
      <c r="E23">
        <v>1997</v>
      </c>
      <c r="F23" t="s">
        <v>16</v>
      </c>
      <c r="G23" t="s">
        <v>13</v>
      </c>
      <c r="H23" s="2">
        <v>5157.92</v>
      </c>
    </row>
    <row r="24" spans="1:8">
      <c r="A24" t="s">
        <v>8</v>
      </c>
      <c r="B24" t="s">
        <v>9</v>
      </c>
      <c r="C24" t="s">
        <v>10</v>
      </c>
      <c r="D24" t="s">
        <v>11</v>
      </c>
      <c r="E24">
        <v>1997</v>
      </c>
      <c r="F24" t="s">
        <v>16</v>
      </c>
      <c r="G24" t="s">
        <v>19</v>
      </c>
      <c r="H24" s="2">
        <v>0</v>
      </c>
    </row>
    <row r="25" spans="1:8">
      <c r="A25" t="s">
        <v>8</v>
      </c>
      <c r="B25" t="s">
        <v>9</v>
      </c>
      <c r="C25" t="s">
        <v>10</v>
      </c>
      <c r="D25" t="s">
        <v>11</v>
      </c>
      <c r="E25">
        <v>1998</v>
      </c>
      <c r="F25" t="s">
        <v>22</v>
      </c>
      <c r="G25" t="s">
        <v>19</v>
      </c>
      <c r="H25" s="2">
        <v>0</v>
      </c>
    </row>
    <row r="26" spans="1:8">
      <c r="A26" t="s">
        <v>8</v>
      </c>
      <c r="B26" t="s">
        <v>9</v>
      </c>
      <c r="C26" t="s">
        <v>10</v>
      </c>
      <c r="D26" t="s">
        <v>11</v>
      </c>
      <c r="E26">
        <v>1998</v>
      </c>
      <c r="F26" t="s">
        <v>12</v>
      </c>
      <c r="G26" t="s">
        <v>17</v>
      </c>
      <c r="H26" s="2">
        <v>830.01</v>
      </c>
    </row>
    <row r="27" spans="1:8">
      <c r="A27" t="s">
        <v>8</v>
      </c>
      <c r="B27" t="s">
        <v>9</v>
      </c>
      <c r="C27" t="s">
        <v>10</v>
      </c>
      <c r="D27" t="s">
        <v>11</v>
      </c>
      <c r="E27">
        <v>1998</v>
      </c>
      <c r="F27" t="s">
        <v>18</v>
      </c>
      <c r="G27" t="s">
        <v>13</v>
      </c>
      <c r="H27" s="2">
        <v>23470.17</v>
      </c>
    </row>
    <row r="28" spans="1:8">
      <c r="A28" t="s">
        <v>8</v>
      </c>
      <c r="B28" t="s">
        <v>9</v>
      </c>
      <c r="C28" t="s">
        <v>10</v>
      </c>
      <c r="D28" t="s">
        <v>11</v>
      </c>
      <c r="E28">
        <v>1998</v>
      </c>
      <c r="F28" t="s">
        <v>18</v>
      </c>
      <c r="G28" t="s">
        <v>19</v>
      </c>
      <c r="H28" s="2">
        <v>1291.4000000000001</v>
      </c>
    </row>
    <row r="29" spans="1:8">
      <c r="A29" t="s">
        <v>8</v>
      </c>
      <c r="B29" t="s">
        <v>9</v>
      </c>
      <c r="C29" t="s">
        <v>10</v>
      </c>
      <c r="D29" t="s">
        <v>11</v>
      </c>
      <c r="E29">
        <v>1999</v>
      </c>
      <c r="F29" t="s">
        <v>18</v>
      </c>
      <c r="G29" t="s">
        <v>15</v>
      </c>
      <c r="H29" s="2">
        <v>1155.8399999999999</v>
      </c>
    </row>
    <row r="30" spans="1:8">
      <c r="A30" t="s">
        <v>8</v>
      </c>
      <c r="B30" t="s">
        <v>9</v>
      </c>
      <c r="C30" t="s">
        <v>10</v>
      </c>
      <c r="D30" t="s">
        <v>11</v>
      </c>
      <c r="E30">
        <v>1999</v>
      </c>
      <c r="F30" t="s">
        <v>18</v>
      </c>
      <c r="G30" t="s">
        <v>13</v>
      </c>
      <c r="H30" s="2">
        <v>21540.85</v>
      </c>
    </row>
    <row r="31" spans="1:8">
      <c r="A31" t="s">
        <v>8</v>
      </c>
      <c r="B31" t="s">
        <v>9</v>
      </c>
      <c r="C31" t="s">
        <v>10</v>
      </c>
      <c r="D31" t="s">
        <v>11</v>
      </c>
      <c r="E31">
        <v>1999</v>
      </c>
      <c r="F31" t="s">
        <v>20</v>
      </c>
      <c r="G31" t="s">
        <v>15</v>
      </c>
      <c r="H31" s="2">
        <v>-229.23</v>
      </c>
    </row>
    <row r="32" spans="1:8">
      <c r="A32" t="s">
        <v>8</v>
      </c>
      <c r="B32" t="s">
        <v>9</v>
      </c>
      <c r="C32" t="s">
        <v>10</v>
      </c>
      <c r="D32" t="s">
        <v>11</v>
      </c>
      <c r="E32">
        <v>2000</v>
      </c>
      <c r="F32" t="s">
        <v>22</v>
      </c>
      <c r="G32" t="s">
        <v>15</v>
      </c>
      <c r="H32" s="2">
        <v>46007.69</v>
      </c>
    </row>
    <row r="33" spans="1:8">
      <c r="A33" t="s">
        <v>8</v>
      </c>
      <c r="B33" t="s">
        <v>9</v>
      </c>
      <c r="C33" t="s">
        <v>10</v>
      </c>
      <c r="D33" t="s">
        <v>11</v>
      </c>
      <c r="E33">
        <v>2000</v>
      </c>
      <c r="F33" t="s">
        <v>18</v>
      </c>
      <c r="G33" t="s">
        <v>15</v>
      </c>
      <c r="H33" s="2">
        <v>1230.4000000000001</v>
      </c>
    </row>
    <row r="34" spans="1:8">
      <c r="A34" t="s">
        <v>8</v>
      </c>
      <c r="B34" t="s">
        <v>9</v>
      </c>
      <c r="C34" t="s">
        <v>10</v>
      </c>
      <c r="D34" t="s">
        <v>11</v>
      </c>
      <c r="E34">
        <v>2000</v>
      </c>
      <c r="F34" t="s">
        <v>20</v>
      </c>
      <c r="G34" t="s">
        <v>19</v>
      </c>
      <c r="H34" s="2">
        <v>0</v>
      </c>
    </row>
    <row r="35" spans="1:8">
      <c r="A35" t="s">
        <v>8</v>
      </c>
      <c r="B35" t="s">
        <v>9</v>
      </c>
      <c r="C35" t="s">
        <v>10</v>
      </c>
      <c r="D35" t="s">
        <v>11</v>
      </c>
      <c r="E35">
        <v>2001</v>
      </c>
      <c r="F35" t="s">
        <v>21</v>
      </c>
      <c r="G35" t="s">
        <v>19</v>
      </c>
      <c r="H35" s="2">
        <v>0</v>
      </c>
    </row>
    <row r="36" spans="1:8">
      <c r="A36" t="s">
        <v>8</v>
      </c>
      <c r="B36" t="s">
        <v>9</v>
      </c>
      <c r="C36" t="s">
        <v>10</v>
      </c>
      <c r="D36" t="s">
        <v>11</v>
      </c>
      <c r="E36">
        <v>2002</v>
      </c>
      <c r="F36" t="s">
        <v>22</v>
      </c>
      <c r="G36" t="s">
        <v>13</v>
      </c>
      <c r="H36" s="2">
        <v>7771.77</v>
      </c>
    </row>
    <row r="37" spans="1:8">
      <c r="A37" t="s">
        <v>8</v>
      </c>
      <c r="B37" t="s">
        <v>9</v>
      </c>
      <c r="C37" t="s">
        <v>10</v>
      </c>
      <c r="D37" t="s">
        <v>11</v>
      </c>
      <c r="E37">
        <v>2002</v>
      </c>
      <c r="F37" t="s">
        <v>12</v>
      </c>
      <c r="G37" t="s">
        <v>15</v>
      </c>
      <c r="H37" s="2">
        <v>2447.73</v>
      </c>
    </row>
    <row r="38" spans="1:8">
      <c r="A38" t="s">
        <v>8</v>
      </c>
      <c r="B38" t="s">
        <v>9</v>
      </c>
      <c r="C38" t="s">
        <v>10</v>
      </c>
      <c r="D38" t="s">
        <v>11</v>
      </c>
      <c r="E38">
        <v>2002</v>
      </c>
      <c r="F38" t="s">
        <v>12</v>
      </c>
      <c r="G38" t="s">
        <v>13</v>
      </c>
      <c r="H38" s="2">
        <v>29810.35</v>
      </c>
    </row>
    <row r="39" spans="1:8">
      <c r="A39" t="s">
        <v>8</v>
      </c>
      <c r="B39" t="s">
        <v>9</v>
      </c>
      <c r="C39" t="s">
        <v>10</v>
      </c>
      <c r="D39" t="s">
        <v>11</v>
      </c>
      <c r="E39">
        <v>2002</v>
      </c>
      <c r="F39" t="s">
        <v>14</v>
      </c>
      <c r="G39" t="s">
        <v>13</v>
      </c>
      <c r="H39" s="2">
        <v>15288.5</v>
      </c>
    </row>
    <row r="40" spans="1:8">
      <c r="A40" t="s">
        <v>8</v>
      </c>
      <c r="B40" t="s">
        <v>9</v>
      </c>
      <c r="C40" t="s">
        <v>10</v>
      </c>
      <c r="D40" t="s">
        <v>11</v>
      </c>
      <c r="E40">
        <v>2002</v>
      </c>
      <c r="F40" t="s">
        <v>21</v>
      </c>
      <c r="G40" t="s">
        <v>19</v>
      </c>
      <c r="H40" s="2">
        <v>0</v>
      </c>
    </row>
    <row r="41" spans="1:8">
      <c r="A41" t="s">
        <v>8</v>
      </c>
      <c r="B41" t="s">
        <v>9</v>
      </c>
      <c r="C41" t="s">
        <v>10</v>
      </c>
      <c r="D41" t="s">
        <v>11</v>
      </c>
      <c r="E41">
        <v>2002</v>
      </c>
      <c r="F41" t="s">
        <v>16</v>
      </c>
      <c r="G41" t="s">
        <v>19</v>
      </c>
      <c r="H41" s="2">
        <v>0</v>
      </c>
    </row>
    <row r="42" spans="1:8">
      <c r="A42" t="s">
        <v>8</v>
      </c>
      <c r="B42" t="s">
        <v>9</v>
      </c>
      <c r="C42" t="s">
        <v>10</v>
      </c>
      <c r="D42" t="s">
        <v>11</v>
      </c>
      <c r="E42">
        <v>2003</v>
      </c>
      <c r="F42" t="s">
        <v>22</v>
      </c>
      <c r="G42" t="s">
        <v>17</v>
      </c>
      <c r="H42" s="2">
        <v>13936.3</v>
      </c>
    </row>
    <row r="43" spans="1:8">
      <c r="A43" t="s">
        <v>8</v>
      </c>
      <c r="B43" t="s">
        <v>9</v>
      </c>
      <c r="C43" t="s">
        <v>10</v>
      </c>
      <c r="D43" t="s">
        <v>11</v>
      </c>
      <c r="E43">
        <v>2003</v>
      </c>
      <c r="F43" t="s">
        <v>14</v>
      </c>
      <c r="G43" t="s">
        <v>13</v>
      </c>
      <c r="H43" s="2">
        <v>13148.82</v>
      </c>
    </row>
    <row r="44" spans="1:8">
      <c r="A44" t="s">
        <v>8</v>
      </c>
      <c r="B44" t="s">
        <v>9</v>
      </c>
      <c r="C44" t="s">
        <v>10</v>
      </c>
      <c r="D44" t="s">
        <v>11</v>
      </c>
      <c r="E44">
        <v>2003</v>
      </c>
      <c r="F44" t="s">
        <v>16</v>
      </c>
      <c r="G44" t="s">
        <v>17</v>
      </c>
      <c r="H44" s="2">
        <v>1543.88</v>
      </c>
    </row>
    <row r="45" spans="1:8">
      <c r="A45" t="s">
        <v>8</v>
      </c>
      <c r="B45" t="s">
        <v>9</v>
      </c>
      <c r="C45" t="s">
        <v>10</v>
      </c>
      <c r="D45" t="s">
        <v>11</v>
      </c>
      <c r="E45">
        <v>2004</v>
      </c>
      <c r="F45" t="s">
        <v>14</v>
      </c>
      <c r="G45" t="s">
        <v>17</v>
      </c>
      <c r="H45" s="2">
        <v>302.06</v>
      </c>
    </row>
    <row r="46" spans="1:8">
      <c r="A46" t="s">
        <v>8</v>
      </c>
      <c r="B46" t="s">
        <v>9</v>
      </c>
      <c r="C46" t="s">
        <v>10</v>
      </c>
      <c r="D46" t="s">
        <v>11</v>
      </c>
      <c r="E46">
        <v>2004</v>
      </c>
      <c r="F46" t="s">
        <v>21</v>
      </c>
      <c r="G46" t="s">
        <v>17</v>
      </c>
      <c r="H46" s="2">
        <v>160.13999999999999</v>
      </c>
    </row>
    <row r="47" spans="1:8">
      <c r="A47" t="s">
        <v>8</v>
      </c>
      <c r="B47" t="s">
        <v>9</v>
      </c>
      <c r="C47" t="s">
        <v>10</v>
      </c>
      <c r="D47" t="s">
        <v>11</v>
      </c>
      <c r="E47">
        <v>2005</v>
      </c>
      <c r="F47" t="s">
        <v>18</v>
      </c>
      <c r="G47" t="s">
        <v>15</v>
      </c>
      <c r="H47" s="2">
        <v>1145.25</v>
      </c>
    </row>
    <row r="48" spans="1:8">
      <c r="A48" t="s">
        <v>8</v>
      </c>
      <c r="B48" t="s">
        <v>9</v>
      </c>
      <c r="C48" t="s">
        <v>10</v>
      </c>
      <c r="D48" t="s">
        <v>11</v>
      </c>
      <c r="E48">
        <v>2005</v>
      </c>
      <c r="F48" t="s">
        <v>21</v>
      </c>
      <c r="G48" t="s">
        <v>17</v>
      </c>
      <c r="H48" s="2">
        <v>140.16</v>
      </c>
    </row>
    <row r="49" spans="1:8">
      <c r="A49" t="s">
        <v>8</v>
      </c>
      <c r="B49" t="s">
        <v>9</v>
      </c>
      <c r="C49" t="s">
        <v>10</v>
      </c>
      <c r="D49" t="s">
        <v>11</v>
      </c>
      <c r="E49">
        <v>2006</v>
      </c>
      <c r="F49" t="s">
        <v>12</v>
      </c>
      <c r="G49" t="s">
        <v>15</v>
      </c>
      <c r="H49" s="2">
        <v>2265.87</v>
      </c>
    </row>
    <row r="50" spans="1:8">
      <c r="A50" t="s">
        <v>8</v>
      </c>
      <c r="B50" t="s">
        <v>9</v>
      </c>
      <c r="C50" t="s">
        <v>10</v>
      </c>
      <c r="D50" t="s">
        <v>11</v>
      </c>
      <c r="E50">
        <v>2006</v>
      </c>
      <c r="F50" t="s">
        <v>18</v>
      </c>
      <c r="G50" t="s">
        <v>17</v>
      </c>
      <c r="H50" s="2">
        <v>1414.74</v>
      </c>
    </row>
    <row r="51" spans="1:8">
      <c r="A51" t="s">
        <v>8</v>
      </c>
      <c r="B51" t="s">
        <v>9</v>
      </c>
      <c r="C51" t="s">
        <v>10</v>
      </c>
      <c r="D51" t="s">
        <v>11</v>
      </c>
      <c r="E51">
        <v>2006</v>
      </c>
      <c r="F51" t="s">
        <v>20</v>
      </c>
      <c r="G51" t="s">
        <v>17</v>
      </c>
      <c r="H51" s="2">
        <v>-228.85</v>
      </c>
    </row>
    <row r="52" spans="1:8">
      <c r="A52" t="s">
        <v>8</v>
      </c>
      <c r="B52" t="s">
        <v>9</v>
      </c>
      <c r="C52" t="s">
        <v>10</v>
      </c>
      <c r="D52" t="s">
        <v>11</v>
      </c>
      <c r="E52">
        <v>2006</v>
      </c>
      <c r="F52" t="s">
        <v>16</v>
      </c>
      <c r="G52" t="s">
        <v>15</v>
      </c>
      <c r="H52" s="2">
        <v>29060.39</v>
      </c>
    </row>
    <row r="53" spans="1:8">
      <c r="A53" t="s">
        <v>8</v>
      </c>
      <c r="B53" t="s">
        <v>9</v>
      </c>
      <c r="C53" t="s">
        <v>10</v>
      </c>
      <c r="D53" t="s">
        <v>11</v>
      </c>
      <c r="E53">
        <v>2007</v>
      </c>
      <c r="F53" t="s">
        <v>14</v>
      </c>
      <c r="G53" t="s">
        <v>15</v>
      </c>
      <c r="H53" s="2">
        <v>516</v>
      </c>
    </row>
    <row r="54" spans="1:8">
      <c r="A54" t="s">
        <v>8</v>
      </c>
      <c r="B54" t="s">
        <v>9</v>
      </c>
      <c r="C54" t="s">
        <v>10</v>
      </c>
      <c r="D54" t="s">
        <v>11</v>
      </c>
      <c r="E54">
        <v>2007</v>
      </c>
      <c r="F54" t="s">
        <v>21</v>
      </c>
      <c r="G54" t="s">
        <v>15</v>
      </c>
      <c r="H54" s="2">
        <v>298.74</v>
      </c>
    </row>
    <row r="55" spans="1:8">
      <c r="A55" t="s">
        <v>8</v>
      </c>
      <c r="B55" t="s">
        <v>9</v>
      </c>
      <c r="C55" t="s">
        <v>10</v>
      </c>
      <c r="D55" t="s">
        <v>11</v>
      </c>
      <c r="E55">
        <v>2009</v>
      </c>
      <c r="F55" t="s">
        <v>18</v>
      </c>
      <c r="G55" t="s">
        <v>15</v>
      </c>
      <c r="H55" s="2">
        <v>1492.77</v>
      </c>
    </row>
    <row r="56" spans="1:8">
      <c r="A56" t="s">
        <v>8</v>
      </c>
      <c r="B56" t="s">
        <v>9</v>
      </c>
      <c r="C56" t="s">
        <v>10</v>
      </c>
      <c r="D56" t="s">
        <v>11</v>
      </c>
      <c r="E56">
        <v>2009</v>
      </c>
      <c r="F56" t="s">
        <v>16</v>
      </c>
      <c r="G56" t="s">
        <v>15</v>
      </c>
      <c r="H56" s="2">
        <v>29391.47</v>
      </c>
    </row>
    <row r="57" spans="1:8">
      <c r="A57" t="s">
        <v>8</v>
      </c>
      <c r="B57" t="s">
        <v>9</v>
      </c>
      <c r="C57" t="s">
        <v>10</v>
      </c>
      <c r="D57" t="s">
        <v>11</v>
      </c>
      <c r="E57">
        <v>2010</v>
      </c>
      <c r="F57" t="s">
        <v>22</v>
      </c>
      <c r="G57" t="s">
        <v>13</v>
      </c>
      <c r="H57" s="2">
        <v>7531.37</v>
      </c>
    </row>
    <row r="58" spans="1:8">
      <c r="A58" t="s">
        <v>8</v>
      </c>
      <c r="B58" t="s">
        <v>9</v>
      </c>
      <c r="C58" t="s">
        <v>10</v>
      </c>
      <c r="D58" t="s">
        <v>11</v>
      </c>
      <c r="E58">
        <v>2010</v>
      </c>
      <c r="F58" t="s">
        <v>12</v>
      </c>
      <c r="G58" t="s">
        <v>19</v>
      </c>
      <c r="H58" s="2">
        <v>0</v>
      </c>
    </row>
    <row r="59" spans="1:8">
      <c r="A59" t="s">
        <v>8</v>
      </c>
      <c r="B59" t="s">
        <v>9</v>
      </c>
      <c r="C59" t="s">
        <v>10</v>
      </c>
      <c r="D59" t="s">
        <v>11</v>
      </c>
      <c r="E59">
        <v>2010</v>
      </c>
      <c r="F59" t="s">
        <v>18</v>
      </c>
      <c r="G59" t="s">
        <v>13</v>
      </c>
      <c r="H59" s="2">
        <v>22777.05</v>
      </c>
    </row>
    <row r="60" spans="1:8">
      <c r="A60" t="s">
        <v>8</v>
      </c>
      <c r="B60" t="s">
        <v>9</v>
      </c>
      <c r="C60" t="s">
        <v>10</v>
      </c>
      <c r="D60" t="s">
        <v>11</v>
      </c>
      <c r="E60">
        <v>2010</v>
      </c>
      <c r="F60" t="s">
        <v>20</v>
      </c>
      <c r="G60" t="s">
        <v>13</v>
      </c>
      <c r="H60" s="2">
        <v>-26510.7</v>
      </c>
    </row>
    <row r="61" spans="1:8">
      <c r="A61" t="s">
        <v>8</v>
      </c>
      <c r="B61" t="s">
        <v>9</v>
      </c>
      <c r="C61" t="s">
        <v>10</v>
      </c>
      <c r="D61" t="s">
        <v>11</v>
      </c>
      <c r="E61">
        <v>2010</v>
      </c>
      <c r="F61" t="s">
        <v>14</v>
      </c>
      <c r="G61" t="s">
        <v>15</v>
      </c>
      <c r="H61" s="2">
        <v>467.81</v>
      </c>
    </row>
    <row r="62" spans="1:8">
      <c r="A62" t="s">
        <v>8</v>
      </c>
      <c r="B62" t="s">
        <v>9</v>
      </c>
      <c r="C62" t="s">
        <v>10</v>
      </c>
      <c r="D62" t="s">
        <v>11</v>
      </c>
      <c r="E62">
        <v>2010</v>
      </c>
      <c r="F62" t="s">
        <v>16</v>
      </c>
      <c r="G62" t="s">
        <v>15</v>
      </c>
      <c r="H62" s="2">
        <v>27716.15</v>
      </c>
    </row>
    <row r="63" spans="1:8">
      <c r="A63" t="s">
        <v>8</v>
      </c>
      <c r="B63" t="s">
        <v>9</v>
      </c>
      <c r="C63" t="s">
        <v>10</v>
      </c>
      <c r="D63" t="s">
        <v>11</v>
      </c>
      <c r="E63">
        <v>2011</v>
      </c>
      <c r="F63" t="s">
        <v>22</v>
      </c>
      <c r="G63" t="s">
        <v>13</v>
      </c>
      <c r="H63" s="2">
        <v>7625.75</v>
      </c>
    </row>
    <row r="64" spans="1:8">
      <c r="A64" t="s">
        <v>8</v>
      </c>
      <c r="B64" t="s">
        <v>9</v>
      </c>
      <c r="C64" t="s">
        <v>10</v>
      </c>
      <c r="D64" t="s">
        <v>11</v>
      </c>
      <c r="E64">
        <v>2011</v>
      </c>
      <c r="F64" t="s">
        <v>12</v>
      </c>
      <c r="G64" t="s">
        <v>17</v>
      </c>
      <c r="H64" s="2">
        <v>932.08</v>
      </c>
    </row>
    <row r="65" spans="1:8">
      <c r="A65" t="s">
        <v>8</v>
      </c>
      <c r="B65" t="s">
        <v>9</v>
      </c>
      <c r="C65" t="s">
        <v>10</v>
      </c>
      <c r="D65" t="s">
        <v>11</v>
      </c>
      <c r="E65">
        <v>2011</v>
      </c>
      <c r="F65" t="s">
        <v>18</v>
      </c>
      <c r="G65" t="s">
        <v>19</v>
      </c>
      <c r="H65" s="2">
        <v>1346.16</v>
      </c>
    </row>
    <row r="66" spans="1:8">
      <c r="A66" t="s">
        <v>8</v>
      </c>
      <c r="B66" t="s">
        <v>9</v>
      </c>
      <c r="C66" t="s">
        <v>10</v>
      </c>
      <c r="D66" t="s">
        <v>11</v>
      </c>
      <c r="E66">
        <v>2011</v>
      </c>
      <c r="F66" t="s">
        <v>20</v>
      </c>
      <c r="G66" t="s">
        <v>13</v>
      </c>
      <c r="H66" s="2">
        <v>-24077.56</v>
      </c>
    </row>
    <row r="67" spans="1:8">
      <c r="A67" t="s">
        <v>8</v>
      </c>
      <c r="B67" t="s">
        <v>9</v>
      </c>
      <c r="C67" t="s">
        <v>10</v>
      </c>
      <c r="D67" t="s">
        <v>11</v>
      </c>
      <c r="E67">
        <v>2011</v>
      </c>
      <c r="F67" t="s">
        <v>14</v>
      </c>
      <c r="G67" t="s">
        <v>13</v>
      </c>
      <c r="H67" s="2">
        <v>16046.2</v>
      </c>
    </row>
    <row r="68" spans="1:8">
      <c r="A68" t="s">
        <v>8</v>
      </c>
      <c r="B68" t="s">
        <v>9</v>
      </c>
      <c r="C68" t="s">
        <v>10</v>
      </c>
      <c r="D68" t="s">
        <v>11</v>
      </c>
      <c r="E68">
        <v>2012</v>
      </c>
      <c r="F68" t="s">
        <v>22</v>
      </c>
      <c r="G68" t="s">
        <v>15</v>
      </c>
      <c r="H68" s="2">
        <v>53564.84</v>
      </c>
    </row>
    <row r="69" spans="1:8">
      <c r="A69" t="s">
        <v>8</v>
      </c>
      <c r="B69" t="s">
        <v>9</v>
      </c>
      <c r="C69" t="s">
        <v>10</v>
      </c>
      <c r="D69" t="s">
        <v>11</v>
      </c>
      <c r="E69">
        <v>2012</v>
      </c>
      <c r="F69" t="s">
        <v>12</v>
      </c>
      <c r="G69" t="s">
        <v>15</v>
      </c>
      <c r="H69" s="2">
        <v>2292.5300000000002</v>
      </c>
    </row>
    <row r="70" spans="1:8">
      <c r="A70" t="s">
        <v>8</v>
      </c>
      <c r="B70" t="s">
        <v>9</v>
      </c>
      <c r="C70" t="s">
        <v>10</v>
      </c>
      <c r="D70" t="s">
        <v>11</v>
      </c>
      <c r="E70">
        <v>2012</v>
      </c>
      <c r="F70" t="s">
        <v>14</v>
      </c>
      <c r="G70" t="s">
        <v>13</v>
      </c>
      <c r="H70" s="2">
        <v>16339.69</v>
      </c>
    </row>
    <row r="71" spans="1:8">
      <c r="A71" t="s">
        <v>8</v>
      </c>
      <c r="B71" t="s">
        <v>9</v>
      </c>
      <c r="C71" t="s">
        <v>10</v>
      </c>
      <c r="D71" t="s">
        <v>11</v>
      </c>
      <c r="E71">
        <v>2013</v>
      </c>
      <c r="F71" t="s">
        <v>12</v>
      </c>
      <c r="G71" t="s">
        <v>15</v>
      </c>
      <c r="H71" s="2">
        <v>2437.6999999999998</v>
      </c>
    </row>
    <row r="72" spans="1:8">
      <c r="A72" t="s">
        <v>8</v>
      </c>
      <c r="B72" t="s">
        <v>9</v>
      </c>
      <c r="C72" t="s">
        <v>10</v>
      </c>
      <c r="D72" t="s">
        <v>11</v>
      </c>
      <c r="E72">
        <v>2013</v>
      </c>
      <c r="F72" t="s">
        <v>20</v>
      </c>
      <c r="G72" t="s">
        <v>15</v>
      </c>
      <c r="H72" s="2">
        <v>-254.52</v>
      </c>
    </row>
    <row r="73" spans="1:8">
      <c r="A73" t="s">
        <v>8</v>
      </c>
      <c r="B73" t="s">
        <v>9</v>
      </c>
      <c r="C73" t="s">
        <v>10</v>
      </c>
      <c r="D73" t="s">
        <v>11</v>
      </c>
      <c r="E73">
        <v>2013</v>
      </c>
      <c r="F73" t="s">
        <v>20</v>
      </c>
      <c r="G73" t="s">
        <v>17</v>
      </c>
      <c r="H73" s="2">
        <v>-258.3</v>
      </c>
    </row>
    <row r="74" spans="1:8">
      <c r="A74" t="s">
        <v>8</v>
      </c>
      <c r="B74" t="s">
        <v>9</v>
      </c>
      <c r="C74" t="s">
        <v>10</v>
      </c>
      <c r="D74" t="s">
        <v>11</v>
      </c>
      <c r="E74">
        <v>2014</v>
      </c>
      <c r="F74" t="s">
        <v>22</v>
      </c>
      <c r="G74" t="s">
        <v>15</v>
      </c>
      <c r="H74" s="2">
        <v>57525.25</v>
      </c>
    </row>
    <row r="75" spans="1:8">
      <c r="A75" t="s">
        <v>8</v>
      </c>
      <c r="B75" t="s">
        <v>9</v>
      </c>
      <c r="C75" t="s">
        <v>10</v>
      </c>
      <c r="D75" t="s">
        <v>11</v>
      </c>
      <c r="E75">
        <v>2014</v>
      </c>
      <c r="F75" t="s">
        <v>22</v>
      </c>
      <c r="G75" t="s">
        <v>19</v>
      </c>
      <c r="H75" s="2">
        <v>0</v>
      </c>
    </row>
    <row r="76" spans="1:8">
      <c r="A76" t="s">
        <v>8</v>
      </c>
      <c r="B76" t="s">
        <v>9</v>
      </c>
      <c r="C76" t="s">
        <v>10</v>
      </c>
      <c r="D76" t="s">
        <v>11</v>
      </c>
      <c r="E76">
        <v>2014</v>
      </c>
      <c r="F76" t="s">
        <v>12</v>
      </c>
      <c r="G76" t="s">
        <v>17</v>
      </c>
      <c r="H76" s="2">
        <v>1012.87</v>
      </c>
    </row>
    <row r="77" spans="1:8">
      <c r="A77" t="s">
        <v>8</v>
      </c>
      <c r="B77" t="s">
        <v>9</v>
      </c>
      <c r="C77" t="s">
        <v>10</v>
      </c>
      <c r="D77" t="s">
        <v>11</v>
      </c>
      <c r="E77">
        <v>2014</v>
      </c>
      <c r="F77" t="s">
        <v>18</v>
      </c>
      <c r="G77" t="s">
        <v>19</v>
      </c>
      <c r="H77" s="2">
        <v>1449.69</v>
      </c>
    </row>
    <row r="78" spans="1:8">
      <c r="A78" t="s">
        <v>8</v>
      </c>
      <c r="B78" t="s">
        <v>9</v>
      </c>
      <c r="C78" t="s">
        <v>10</v>
      </c>
      <c r="D78" t="s">
        <v>11</v>
      </c>
      <c r="E78">
        <v>2014</v>
      </c>
      <c r="F78" t="s">
        <v>14</v>
      </c>
      <c r="G78" t="s">
        <v>15</v>
      </c>
      <c r="H78" s="2">
        <v>450.52</v>
      </c>
    </row>
    <row r="79" spans="1:8">
      <c r="A79" t="s">
        <v>8</v>
      </c>
      <c r="B79" t="s">
        <v>9</v>
      </c>
      <c r="C79" t="s">
        <v>10</v>
      </c>
      <c r="D79" t="s">
        <v>11</v>
      </c>
      <c r="E79">
        <v>2014</v>
      </c>
      <c r="F79" t="s">
        <v>14</v>
      </c>
      <c r="G79" t="s">
        <v>17</v>
      </c>
      <c r="H79" s="2">
        <v>347.81</v>
      </c>
    </row>
    <row r="80" spans="1:8">
      <c r="A80" t="s">
        <v>8</v>
      </c>
      <c r="B80" t="s">
        <v>9</v>
      </c>
      <c r="C80" t="s">
        <v>10</v>
      </c>
      <c r="D80" t="s">
        <v>11</v>
      </c>
      <c r="E80">
        <v>2014</v>
      </c>
      <c r="F80" t="s">
        <v>16</v>
      </c>
      <c r="G80" t="s">
        <v>15</v>
      </c>
      <c r="H80" s="2">
        <v>30512.01</v>
      </c>
    </row>
    <row r="81" spans="1:8">
      <c r="A81" t="s">
        <v>8</v>
      </c>
      <c r="B81" t="s">
        <v>9</v>
      </c>
      <c r="C81" t="s">
        <v>10</v>
      </c>
      <c r="D81" t="s">
        <v>11</v>
      </c>
      <c r="E81">
        <v>2015</v>
      </c>
      <c r="F81" t="s">
        <v>22</v>
      </c>
      <c r="G81" t="s">
        <v>15</v>
      </c>
      <c r="H81" s="2">
        <v>61014.85</v>
      </c>
    </row>
    <row r="82" spans="1:8">
      <c r="A82" t="s">
        <v>8</v>
      </c>
      <c r="B82" t="s">
        <v>9</v>
      </c>
      <c r="C82" t="s">
        <v>10</v>
      </c>
      <c r="D82" t="s">
        <v>11</v>
      </c>
      <c r="E82">
        <v>2015</v>
      </c>
      <c r="F82" t="s">
        <v>18</v>
      </c>
      <c r="G82" t="s">
        <v>15</v>
      </c>
      <c r="H82" s="2">
        <v>1468.68</v>
      </c>
    </row>
    <row r="83" spans="1:8">
      <c r="A83" t="s">
        <v>8</v>
      </c>
      <c r="B83" t="s">
        <v>9</v>
      </c>
      <c r="C83" t="s">
        <v>10</v>
      </c>
      <c r="D83" t="s">
        <v>11</v>
      </c>
      <c r="E83">
        <v>2015</v>
      </c>
      <c r="F83" t="s">
        <v>16</v>
      </c>
      <c r="G83" t="s">
        <v>15</v>
      </c>
      <c r="H83" s="2">
        <v>29652.52</v>
      </c>
    </row>
    <row r="84" spans="1:8">
      <c r="A84" t="s">
        <v>8</v>
      </c>
      <c r="B84" t="s">
        <v>9</v>
      </c>
      <c r="C84" t="s">
        <v>10</v>
      </c>
      <c r="D84" t="s">
        <v>11</v>
      </c>
      <c r="E84">
        <v>2016</v>
      </c>
      <c r="F84" t="s">
        <v>14</v>
      </c>
      <c r="G84" t="s">
        <v>19</v>
      </c>
      <c r="H84" s="2">
        <v>0</v>
      </c>
    </row>
    <row r="85" spans="1:8">
      <c r="A85" t="s">
        <v>8</v>
      </c>
      <c r="B85" t="s">
        <v>9</v>
      </c>
      <c r="C85" t="s">
        <v>10</v>
      </c>
      <c r="D85" t="s">
        <v>11</v>
      </c>
      <c r="E85">
        <v>2016</v>
      </c>
      <c r="F85" t="s">
        <v>21</v>
      </c>
      <c r="G85" t="s">
        <v>19</v>
      </c>
      <c r="H85" s="2">
        <v>0</v>
      </c>
    </row>
    <row r="86" spans="1:8">
      <c r="A86" t="s">
        <v>8</v>
      </c>
      <c r="B86" t="s">
        <v>9</v>
      </c>
      <c r="C86" t="s">
        <v>10</v>
      </c>
      <c r="D86" t="s">
        <v>11</v>
      </c>
      <c r="E86">
        <v>2017</v>
      </c>
      <c r="F86" t="s">
        <v>21</v>
      </c>
      <c r="G86" t="s">
        <v>13</v>
      </c>
      <c r="H86" s="2">
        <v>16972.38</v>
      </c>
    </row>
    <row r="87" spans="1:8">
      <c r="A87" t="s">
        <v>8</v>
      </c>
      <c r="B87" t="s">
        <v>9</v>
      </c>
      <c r="C87" t="s">
        <v>10</v>
      </c>
      <c r="D87" t="s">
        <v>11</v>
      </c>
      <c r="E87">
        <v>2017</v>
      </c>
      <c r="F87" t="s">
        <v>21</v>
      </c>
      <c r="G87" t="s">
        <v>19</v>
      </c>
      <c r="H87" s="2">
        <v>0</v>
      </c>
    </row>
    <row r="88" spans="1:8">
      <c r="A88" t="s">
        <v>8</v>
      </c>
      <c r="B88" t="s">
        <v>9</v>
      </c>
      <c r="C88" t="s">
        <v>10</v>
      </c>
      <c r="D88" t="s">
        <v>11</v>
      </c>
      <c r="E88">
        <v>2019</v>
      </c>
      <c r="F88" t="s">
        <v>22</v>
      </c>
      <c r="G88" t="s">
        <v>19</v>
      </c>
      <c r="H88" s="2">
        <v>0</v>
      </c>
    </row>
    <row r="89" spans="1:8">
      <c r="A89" t="s">
        <v>8</v>
      </c>
      <c r="B89" t="s">
        <v>9</v>
      </c>
      <c r="C89" t="s">
        <v>10</v>
      </c>
      <c r="D89" t="s">
        <v>11</v>
      </c>
      <c r="E89">
        <v>2019</v>
      </c>
      <c r="F89" t="s">
        <v>12</v>
      </c>
      <c r="G89" t="s">
        <v>17</v>
      </c>
      <c r="H89" s="2">
        <v>1070.8599999999999</v>
      </c>
    </row>
    <row r="90" spans="1:8">
      <c r="A90" t="s">
        <v>8</v>
      </c>
      <c r="B90" t="s">
        <v>9</v>
      </c>
      <c r="C90" t="s">
        <v>10</v>
      </c>
      <c r="D90" t="s">
        <v>11</v>
      </c>
      <c r="E90">
        <v>2019</v>
      </c>
      <c r="F90" t="s">
        <v>18</v>
      </c>
      <c r="G90" t="s">
        <v>13</v>
      </c>
      <c r="H90" s="2">
        <v>24515.71</v>
      </c>
    </row>
    <row r="91" spans="1:8">
      <c r="A91" t="s">
        <v>8</v>
      </c>
      <c r="B91" t="s">
        <v>9</v>
      </c>
      <c r="C91" t="s">
        <v>10</v>
      </c>
      <c r="D91" t="s">
        <v>11</v>
      </c>
      <c r="E91">
        <v>2019</v>
      </c>
      <c r="F91" t="s">
        <v>18</v>
      </c>
      <c r="G91" t="s">
        <v>19</v>
      </c>
      <c r="H91" s="2">
        <v>1481.21</v>
      </c>
    </row>
    <row r="92" spans="1:8">
      <c r="A92" t="s">
        <v>8</v>
      </c>
      <c r="B92" t="s">
        <v>9</v>
      </c>
      <c r="C92" t="s">
        <v>10</v>
      </c>
      <c r="D92" t="s">
        <v>11</v>
      </c>
      <c r="E92">
        <v>2019</v>
      </c>
      <c r="F92" t="s">
        <v>21</v>
      </c>
      <c r="G92" t="s">
        <v>19</v>
      </c>
      <c r="H92" s="2">
        <v>0</v>
      </c>
    </row>
    <row r="93" spans="1:8">
      <c r="A93" t="s">
        <v>8</v>
      </c>
      <c r="B93" t="s">
        <v>9</v>
      </c>
      <c r="C93" t="s">
        <v>10</v>
      </c>
      <c r="D93" t="s">
        <v>11</v>
      </c>
      <c r="E93">
        <v>2019</v>
      </c>
      <c r="F93" t="s">
        <v>16</v>
      </c>
      <c r="G93" t="s">
        <v>17</v>
      </c>
      <c r="H93" s="2">
        <v>1703.81</v>
      </c>
    </row>
    <row r="94" spans="1:8">
      <c r="A94" t="s">
        <v>8</v>
      </c>
      <c r="B94" t="s">
        <v>9</v>
      </c>
      <c r="C94" t="s">
        <v>10</v>
      </c>
      <c r="D94" t="s">
        <v>11</v>
      </c>
      <c r="E94">
        <v>2020</v>
      </c>
      <c r="F94" t="s">
        <v>12</v>
      </c>
      <c r="G94" t="s">
        <v>13</v>
      </c>
      <c r="H94" s="2">
        <v>30528.14</v>
      </c>
    </row>
    <row r="95" spans="1:8">
      <c r="A95" t="s">
        <v>8</v>
      </c>
      <c r="B95" t="s">
        <v>9</v>
      </c>
      <c r="C95" t="s">
        <v>10</v>
      </c>
      <c r="D95" t="s">
        <v>11</v>
      </c>
      <c r="E95">
        <v>2020</v>
      </c>
      <c r="F95" t="s">
        <v>12</v>
      </c>
      <c r="G95" t="s">
        <v>17</v>
      </c>
      <c r="H95" s="2">
        <v>1015.23</v>
      </c>
    </row>
    <row r="96" spans="1:8">
      <c r="A96" t="s">
        <v>8</v>
      </c>
      <c r="B96" t="s">
        <v>9</v>
      </c>
      <c r="C96" t="s">
        <v>10</v>
      </c>
      <c r="D96" t="s">
        <v>11</v>
      </c>
      <c r="E96">
        <v>2020</v>
      </c>
      <c r="F96" t="s">
        <v>20</v>
      </c>
      <c r="G96" t="s">
        <v>15</v>
      </c>
      <c r="H96" s="2">
        <v>-250.78</v>
      </c>
    </row>
    <row r="97" spans="1:8">
      <c r="A97" t="s">
        <v>8</v>
      </c>
      <c r="B97" t="s">
        <v>9</v>
      </c>
      <c r="C97" t="s">
        <v>10</v>
      </c>
      <c r="D97" t="s">
        <v>11</v>
      </c>
      <c r="E97">
        <v>2020</v>
      </c>
      <c r="F97" t="s">
        <v>14</v>
      </c>
      <c r="G97" t="s">
        <v>15</v>
      </c>
      <c r="H97" s="2">
        <v>515.27</v>
      </c>
    </row>
    <row r="98" spans="1:8">
      <c r="A98" t="s">
        <v>8</v>
      </c>
      <c r="B98" t="s">
        <v>9</v>
      </c>
      <c r="C98" t="s">
        <v>10</v>
      </c>
      <c r="D98" t="s">
        <v>11</v>
      </c>
      <c r="E98">
        <v>2021</v>
      </c>
      <c r="F98" t="s">
        <v>12</v>
      </c>
      <c r="G98" t="s">
        <v>13</v>
      </c>
      <c r="H98" s="2">
        <v>32229.73</v>
      </c>
    </row>
    <row r="99" spans="1:8">
      <c r="A99" t="s">
        <v>8</v>
      </c>
      <c r="B99" t="s">
        <v>9</v>
      </c>
      <c r="C99" t="s">
        <v>10</v>
      </c>
      <c r="D99" t="s">
        <v>11</v>
      </c>
      <c r="E99">
        <v>2021</v>
      </c>
      <c r="F99" t="s">
        <v>18</v>
      </c>
      <c r="G99" t="s">
        <v>13</v>
      </c>
      <c r="H99" s="2">
        <v>23747.62</v>
      </c>
    </row>
    <row r="100" spans="1:8">
      <c r="A100" t="s">
        <v>8</v>
      </c>
      <c r="B100" t="s">
        <v>9</v>
      </c>
      <c r="C100" t="s">
        <v>10</v>
      </c>
      <c r="D100" t="s">
        <v>11</v>
      </c>
      <c r="E100">
        <v>2022</v>
      </c>
      <c r="F100" t="s">
        <v>12</v>
      </c>
      <c r="G100" t="s">
        <v>19</v>
      </c>
      <c r="H100" s="2">
        <v>0</v>
      </c>
    </row>
    <row r="101" spans="1:8">
      <c r="A101" t="s">
        <v>8</v>
      </c>
      <c r="B101" t="s">
        <v>9</v>
      </c>
      <c r="C101" t="s">
        <v>10</v>
      </c>
      <c r="D101" t="s">
        <v>11</v>
      </c>
      <c r="E101">
        <v>2022</v>
      </c>
      <c r="F101" t="s">
        <v>20</v>
      </c>
      <c r="G101" t="s">
        <v>19</v>
      </c>
      <c r="H101" s="2">
        <v>0</v>
      </c>
    </row>
    <row r="102" spans="1:8">
      <c r="A102" t="s">
        <v>8</v>
      </c>
      <c r="B102" t="s">
        <v>9</v>
      </c>
      <c r="C102" t="s">
        <v>10</v>
      </c>
      <c r="D102" t="s">
        <v>11</v>
      </c>
      <c r="E102">
        <v>2022</v>
      </c>
      <c r="F102" t="s">
        <v>14</v>
      </c>
      <c r="G102" t="s">
        <v>19</v>
      </c>
      <c r="H102" s="2">
        <v>0</v>
      </c>
    </row>
    <row r="103" spans="1:8">
      <c r="A103" t="s">
        <v>8</v>
      </c>
      <c r="B103" t="s">
        <v>9</v>
      </c>
      <c r="C103" t="s">
        <v>10</v>
      </c>
      <c r="D103" t="s">
        <v>11</v>
      </c>
      <c r="E103">
        <v>2022</v>
      </c>
      <c r="F103" t="s">
        <v>16</v>
      </c>
      <c r="G103" t="s">
        <v>15</v>
      </c>
      <c r="H103" s="2">
        <v>31079.38</v>
      </c>
    </row>
    <row r="104" spans="1:8">
      <c r="A104" t="s">
        <v>8</v>
      </c>
      <c r="B104" t="s">
        <v>9</v>
      </c>
      <c r="C104" t="s">
        <v>10</v>
      </c>
      <c r="D104" t="s">
        <v>11</v>
      </c>
      <c r="E104">
        <v>2023</v>
      </c>
      <c r="F104" t="s">
        <v>12</v>
      </c>
      <c r="G104" t="s">
        <v>13</v>
      </c>
      <c r="H104" s="2">
        <v>32226.77</v>
      </c>
    </row>
    <row r="105" spans="1:8">
      <c r="A105" t="s">
        <v>8</v>
      </c>
      <c r="B105" t="s">
        <v>9</v>
      </c>
      <c r="C105" t="s">
        <v>10</v>
      </c>
      <c r="D105" t="s">
        <v>11</v>
      </c>
      <c r="E105">
        <v>2023</v>
      </c>
      <c r="F105" t="s">
        <v>21</v>
      </c>
      <c r="G105" t="s">
        <v>17</v>
      </c>
      <c r="H105" s="2">
        <v>164.58</v>
      </c>
    </row>
    <row r="106" spans="1:8">
      <c r="A106" t="s">
        <v>8</v>
      </c>
      <c r="B106" t="s">
        <v>9</v>
      </c>
      <c r="C106" t="s">
        <v>10</v>
      </c>
      <c r="D106" t="s">
        <v>11</v>
      </c>
      <c r="E106">
        <v>2023</v>
      </c>
      <c r="F106" t="s">
        <v>16</v>
      </c>
      <c r="G106" t="s">
        <v>15</v>
      </c>
      <c r="H106" s="2">
        <v>32503.09</v>
      </c>
    </row>
    <row r="107" spans="1:8">
      <c r="A107" t="s">
        <v>8</v>
      </c>
      <c r="B107" t="s">
        <v>9</v>
      </c>
      <c r="C107" t="s">
        <v>10</v>
      </c>
      <c r="D107" t="s">
        <v>11</v>
      </c>
      <c r="E107">
        <v>2023</v>
      </c>
      <c r="F107" t="s">
        <v>16</v>
      </c>
      <c r="G107" t="s">
        <v>17</v>
      </c>
      <c r="H107" s="2">
        <v>2124.4499999999998</v>
      </c>
    </row>
    <row r="108" spans="1:8">
      <c r="A108" t="s">
        <v>8</v>
      </c>
      <c r="B108" t="s">
        <v>9</v>
      </c>
      <c r="C108" t="s">
        <v>10</v>
      </c>
      <c r="D108" t="s">
        <v>11</v>
      </c>
      <c r="E108">
        <v>2024</v>
      </c>
      <c r="F108" t="s">
        <v>14</v>
      </c>
      <c r="G108" t="s">
        <v>15</v>
      </c>
      <c r="H108" s="2">
        <v>505.48</v>
      </c>
    </row>
    <row r="109" spans="1:8">
      <c r="A109" t="s">
        <v>8</v>
      </c>
      <c r="B109" t="s">
        <v>9</v>
      </c>
      <c r="C109" t="s">
        <v>10</v>
      </c>
      <c r="D109" t="s">
        <v>11</v>
      </c>
      <c r="E109">
        <v>2024</v>
      </c>
      <c r="F109" t="s">
        <v>16</v>
      </c>
      <c r="G109" t="s">
        <v>15</v>
      </c>
      <c r="H109" s="2">
        <v>33337.19</v>
      </c>
    </row>
    <row r="110" spans="1:8">
      <c r="A110" t="s">
        <v>23</v>
      </c>
      <c r="B110" t="s">
        <v>24</v>
      </c>
      <c r="C110" t="s">
        <v>25</v>
      </c>
      <c r="D110" t="s">
        <v>11</v>
      </c>
      <c r="E110">
        <v>1990</v>
      </c>
      <c r="F110" t="s">
        <v>22</v>
      </c>
      <c r="G110" t="s">
        <v>17</v>
      </c>
      <c r="H110" s="2">
        <v>1774</v>
      </c>
    </row>
    <row r="111" spans="1:8">
      <c r="A111" t="s">
        <v>23</v>
      </c>
      <c r="B111" t="s">
        <v>24</v>
      </c>
      <c r="C111" t="s">
        <v>25</v>
      </c>
      <c r="D111" t="s">
        <v>11</v>
      </c>
      <c r="E111">
        <v>1990</v>
      </c>
      <c r="F111" t="s">
        <v>18</v>
      </c>
      <c r="G111" t="s">
        <v>17</v>
      </c>
      <c r="H111" s="2">
        <v>4108.05</v>
      </c>
    </row>
    <row r="112" spans="1:8">
      <c r="A112" t="s">
        <v>23</v>
      </c>
      <c r="B112" t="s">
        <v>24</v>
      </c>
      <c r="C112" t="s">
        <v>25</v>
      </c>
      <c r="D112" t="s">
        <v>11</v>
      </c>
      <c r="E112">
        <v>1990</v>
      </c>
      <c r="F112" t="s">
        <v>21</v>
      </c>
      <c r="G112" t="s">
        <v>17</v>
      </c>
      <c r="H112" s="2">
        <v>220.8</v>
      </c>
    </row>
    <row r="113" spans="1:8">
      <c r="A113" t="s">
        <v>23</v>
      </c>
      <c r="B113" t="s">
        <v>24</v>
      </c>
      <c r="C113" t="s">
        <v>25</v>
      </c>
      <c r="D113" t="s">
        <v>11</v>
      </c>
      <c r="E113">
        <v>1991</v>
      </c>
      <c r="F113" t="s">
        <v>22</v>
      </c>
      <c r="G113" t="s">
        <v>13</v>
      </c>
      <c r="H113" s="2">
        <v>870.59</v>
      </c>
    </row>
    <row r="114" spans="1:8">
      <c r="A114" t="s">
        <v>23</v>
      </c>
      <c r="B114" t="s">
        <v>24</v>
      </c>
      <c r="C114" t="s">
        <v>25</v>
      </c>
      <c r="D114" t="s">
        <v>11</v>
      </c>
      <c r="E114">
        <v>1991</v>
      </c>
      <c r="F114" t="s">
        <v>12</v>
      </c>
      <c r="G114" t="s">
        <v>15</v>
      </c>
      <c r="H114" s="2">
        <v>784.2</v>
      </c>
    </row>
    <row r="115" spans="1:8">
      <c r="A115" t="s">
        <v>23</v>
      </c>
      <c r="B115" t="s">
        <v>24</v>
      </c>
      <c r="C115" t="s">
        <v>25</v>
      </c>
      <c r="D115" t="s">
        <v>11</v>
      </c>
      <c r="E115">
        <v>1992</v>
      </c>
      <c r="F115" t="s">
        <v>12</v>
      </c>
      <c r="G115" t="s">
        <v>15</v>
      </c>
      <c r="H115" s="2">
        <v>842.99</v>
      </c>
    </row>
    <row r="116" spans="1:8">
      <c r="A116" t="s">
        <v>23</v>
      </c>
      <c r="B116" t="s">
        <v>24</v>
      </c>
      <c r="C116" t="s">
        <v>25</v>
      </c>
      <c r="D116" t="s">
        <v>11</v>
      </c>
      <c r="E116">
        <v>1992</v>
      </c>
      <c r="F116" t="s">
        <v>18</v>
      </c>
      <c r="G116" t="s">
        <v>15</v>
      </c>
      <c r="H116" s="2">
        <v>4535.7</v>
      </c>
    </row>
    <row r="117" spans="1:8">
      <c r="A117" t="s">
        <v>23</v>
      </c>
      <c r="B117" t="s">
        <v>24</v>
      </c>
      <c r="C117" t="s">
        <v>25</v>
      </c>
      <c r="D117" t="s">
        <v>11</v>
      </c>
      <c r="E117">
        <v>1992</v>
      </c>
      <c r="F117" t="s">
        <v>18</v>
      </c>
      <c r="G117" t="s">
        <v>19</v>
      </c>
      <c r="H117" s="2">
        <v>4526.03</v>
      </c>
    </row>
    <row r="118" spans="1:8">
      <c r="A118" t="s">
        <v>23</v>
      </c>
      <c r="B118" t="s">
        <v>24</v>
      </c>
      <c r="C118" t="s">
        <v>25</v>
      </c>
      <c r="D118" t="s">
        <v>11</v>
      </c>
      <c r="E118">
        <v>1993</v>
      </c>
      <c r="F118" t="s">
        <v>12</v>
      </c>
      <c r="G118" t="s">
        <v>15</v>
      </c>
      <c r="H118" s="2">
        <v>710.89</v>
      </c>
    </row>
    <row r="119" spans="1:8">
      <c r="A119" t="s">
        <v>23</v>
      </c>
      <c r="B119" t="s">
        <v>24</v>
      </c>
      <c r="C119" t="s">
        <v>25</v>
      </c>
      <c r="D119" t="s">
        <v>11</v>
      </c>
      <c r="E119">
        <v>1993</v>
      </c>
      <c r="F119" t="s">
        <v>18</v>
      </c>
      <c r="G119" t="s">
        <v>13</v>
      </c>
      <c r="H119" s="2">
        <v>69864.78</v>
      </c>
    </row>
    <row r="120" spans="1:8">
      <c r="A120" t="s">
        <v>23</v>
      </c>
      <c r="B120" t="s">
        <v>24</v>
      </c>
      <c r="C120" t="s">
        <v>25</v>
      </c>
      <c r="D120" t="s">
        <v>11</v>
      </c>
      <c r="E120">
        <v>1993</v>
      </c>
      <c r="F120" t="s">
        <v>20</v>
      </c>
      <c r="G120" t="s">
        <v>15</v>
      </c>
      <c r="H120" s="2">
        <v>-32.840000000000003</v>
      </c>
    </row>
    <row r="121" spans="1:8">
      <c r="A121" t="s">
        <v>23</v>
      </c>
      <c r="B121" t="s">
        <v>24</v>
      </c>
      <c r="C121" t="s">
        <v>25</v>
      </c>
      <c r="D121" t="s">
        <v>11</v>
      </c>
      <c r="E121">
        <v>1993</v>
      </c>
      <c r="F121" t="s">
        <v>20</v>
      </c>
      <c r="G121" t="s">
        <v>17</v>
      </c>
      <c r="H121" s="2">
        <v>-35.75</v>
      </c>
    </row>
    <row r="122" spans="1:8">
      <c r="A122" t="s">
        <v>23</v>
      </c>
      <c r="B122" t="s">
        <v>24</v>
      </c>
      <c r="C122" t="s">
        <v>25</v>
      </c>
      <c r="D122" t="s">
        <v>11</v>
      </c>
      <c r="E122">
        <v>1994</v>
      </c>
      <c r="F122" t="s">
        <v>22</v>
      </c>
      <c r="G122" t="s">
        <v>17</v>
      </c>
      <c r="H122" s="2">
        <v>1810.27</v>
      </c>
    </row>
    <row r="123" spans="1:8">
      <c r="A123" t="s">
        <v>23</v>
      </c>
      <c r="B123" t="s">
        <v>24</v>
      </c>
      <c r="C123" t="s">
        <v>25</v>
      </c>
      <c r="D123" t="s">
        <v>11</v>
      </c>
      <c r="E123">
        <v>1994</v>
      </c>
      <c r="F123" t="s">
        <v>14</v>
      </c>
      <c r="G123" t="s">
        <v>19</v>
      </c>
      <c r="H123" s="2">
        <v>0</v>
      </c>
    </row>
    <row r="124" spans="1:8">
      <c r="A124" t="s">
        <v>23</v>
      </c>
      <c r="B124" t="s">
        <v>24</v>
      </c>
      <c r="C124" t="s">
        <v>25</v>
      </c>
      <c r="D124" t="s">
        <v>11</v>
      </c>
      <c r="E124">
        <v>1995</v>
      </c>
      <c r="F124" t="s">
        <v>20</v>
      </c>
      <c r="G124" t="s">
        <v>17</v>
      </c>
      <c r="H124" s="2">
        <v>-41.18</v>
      </c>
    </row>
    <row r="125" spans="1:8">
      <c r="A125" t="s">
        <v>23</v>
      </c>
      <c r="B125" t="s">
        <v>24</v>
      </c>
      <c r="C125" t="s">
        <v>25</v>
      </c>
      <c r="D125" t="s">
        <v>11</v>
      </c>
      <c r="E125">
        <v>1995</v>
      </c>
      <c r="F125" t="s">
        <v>14</v>
      </c>
      <c r="G125" t="s">
        <v>17</v>
      </c>
      <c r="H125" s="2">
        <v>2288.48</v>
      </c>
    </row>
    <row r="126" spans="1:8">
      <c r="A126" t="s">
        <v>23</v>
      </c>
      <c r="B126" t="s">
        <v>24</v>
      </c>
      <c r="C126" t="s">
        <v>25</v>
      </c>
      <c r="D126" t="s">
        <v>11</v>
      </c>
      <c r="E126">
        <v>1995</v>
      </c>
      <c r="F126" t="s">
        <v>21</v>
      </c>
      <c r="G126" t="s">
        <v>15</v>
      </c>
      <c r="H126" s="2">
        <v>505.22</v>
      </c>
    </row>
    <row r="127" spans="1:8">
      <c r="A127" t="s">
        <v>23</v>
      </c>
      <c r="B127" t="s">
        <v>24</v>
      </c>
      <c r="C127" t="s">
        <v>25</v>
      </c>
      <c r="D127" t="s">
        <v>11</v>
      </c>
      <c r="E127">
        <v>1996</v>
      </c>
      <c r="F127" t="s">
        <v>22</v>
      </c>
      <c r="G127" t="s">
        <v>15</v>
      </c>
      <c r="H127" s="2">
        <v>6014.8</v>
      </c>
    </row>
    <row r="128" spans="1:8">
      <c r="A128" t="s">
        <v>23</v>
      </c>
      <c r="B128" t="s">
        <v>24</v>
      </c>
      <c r="C128" t="s">
        <v>25</v>
      </c>
      <c r="D128" t="s">
        <v>11</v>
      </c>
      <c r="E128">
        <v>1996</v>
      </c>
      <c r="F128" t="s">
        <v>14</v>
      </c>
      <c r="G128" t="s">
        <v>17</v>
      </c>
      <c r="H128" s="2">
        <v>2506.8000000000002</v>
      </c>
    </row>
    <row r="129" spans="1:8">
      <c r="A129" t="s">
        <v>23</v>
      </c>
      <c r="B129" t="s">
        <v>24</v>
      </c>
      <c r="C129" t="s">
        <v>25</v>
      </c>
      <c r="D129" t="s">
        <v>11</v>
      </c>
      <c r="E129">
        <v>1996</v>
      </c>
      <c r="F129" t="s">
        <v>21</v>
      </c>
      <c r="G129" t="s">
        <v>17</v>
      </c>
      <c r="H129" s="2">
        <v>257.72000000000003</v>
      </c>
    </row>
    <row r="130" spans="1:8">
      <c r="A130" t="s">
        <v>23</v>
      </c>
      <c r="B130" t="s">
        <v>24</v>
      </c>
      <c r="C130" t="s">
        <v>25</v>
      </c>
      <c r="D130" t="s">
        <v>11</v>
      </c>
      <c r="E130">
        <v>1997</v>
      </c>
      <c r="F130" t="s">
        <v>22</v>
      </c>
      <c r="G130" t="s">
        <v>13</v>
      </c>
      <c r="H130" s="2">
        <v>1049.44</v>
      </c>
    </row>
    <row r="131" spans="1:8">
      <c r="A131" t="s">
        <v>23</v>
      </c>
      <c r="B131" t="s">
        <v>24</v>
      </c>
      <c r="C131" t="s">
        <v>25</v>
      </c>
      <c r="D131" t="s">
        <v>11</v>
      </c>
      <c r="E131">
        <v>1997</v>
      </c>
      <c r="F131" t="s">
        <v>22</v>
      </c>
      <c r="G131" t="s">
        <v>17</v>
      </c>
      <c r="H131" s="2">
        <v>1907.28</v>
      </c>
    </row>
    <row r="132" spans="1:8">
      <c r="A132" t="s">
        <v>23</v>
      </c>
      <c r="B132" t="s">
        <v>24</v>
      </c>
      <c r="C132" t="s">
        <v>25</v>
      </c>
      <c r="D132" t="s">
        <v>11</v>
      </c>
      <c r="E132">
        <v>1997</v>
      </c>
      <c r="F132" t="s">
        <v>14</v>
      </c>
      <c r="G132" t="s">
        <v>19</v>
      </c>
      <c r="H132" s="2">
        <v>0</v>
      </c>
    </row>
    <row r="133" spans="1:8">
      <c r="A133" t="s">
        <v>23</v>
      </c>
      <c r="B133" t="s">
        <v>24</v>
      </c>
      <c r="C133" t="s">
        <v>25</v>
      </c>
      <c r="D133" t="s">
        <v>11</v>
      </c>
      <c r="E133">
        <v>1998</v>
      </c>
      <c r="F133" t="s">
        <v>22</v>
      </c>
      <c r="G133" t="s">
        <v>15</v>
      </c>
      <c r="H133" s="2">
        <v>7360.26</v>
      </c>
    </row>
    <row r="134" spans="1:8">
      <c r="A134" t="s">
        <v>23</v>
      </c>
      <c r="B134" t="s">
        <v>24</v>
      </c>
      <c r="C134" t="s">
        <v>25</v>
      </c>
      <c r="D134" t="s">
        <v>11</v>
      </c>
      <c r="E134">
        <v>1998</v>
      </c>
      <c r="F134" t="s">
        <v>12</v>
      </c>
      <c r="G134" t="s">
        <v>15</v>
      </c>
      <c r="H134" s="2">
        <v>945.51</v>
      </c>
    </row>
    <row r="135" spans="1:8">
      <c r="A135" t="s">
        <v>23</v>
      </c>
      <c r="B135" t="s">
        <v>24</v>
      </c>
      <c r="C135" t="s">
        <v>25</v>
      </c>
      <c r="D135" t="s">
        <v>11</v>
      </c>
      <c r="E135">
        <v>1998</v>
      </c>
      <c r="F135" t="s">
        <v>14</v>
      </c>
      <c r="G135" t="s">
        <v>13</v>
      </c>
      <c r="H135" s="2">
        <v>137208.91</v>
      </c>
    </row>
    <row r="136" spans="1:8">
      <c r="A136" t="s">
        <v>23</v>
      </c>
      <c r="B136" t="s">
        <v>24</v>
      </c>
      <c r="C136" t="s">
        <v>25</v>
      </c>
      <c r="D136" t="s">
        <v>11</v>
      </c>
      <c r="E136">
        <v>1998</v>
      </c>
      <c r="F136" t="s">
        <v>16</v>
      </c>
      <c r="G136" t="s">
        <v>13</v>
      </c>
      <c r="H136" s="2">
        <v>298.45999999999998</v>
      </c>
    </row>
    <row r="137" spans="1:8">
      <c r="A137" t="s">
        <v>23</v>
      </c>
      <c r="B137" t="s">
        <v>24</v>
      </c>
      <c r="C137" t="s">
        <v>25</v>
      </c>
      <c r="D137" t="s">
        <v>11</v>
      </c>
      <c r="E137">
        <v>1999</v>
      </c>
      <c r="F137" t="s">
        <v>14</v>
      </c>
      <c r="G137" t="s">
        <v>15</v>
      </c>
      <c r="H137" s="2">
        <v>4593.38</v>
      </c>
    </row>
    <row r="138" spans="1:8">
      <c r="A138" t="s">
        <v>23</v>
      </c>
      <c r="B138" t="s">
        <v>24</v>
      </c>
      <c r="C138" t="s">
        <v>25</v>
      </c>
      <c r="D138" t="s">
        <v>11</v>
      </c>
      <c r="E138">
        <v>2000</v>
      </c>
      <c r="F138" t="s">
        <v>22</v>
      </c>
      <c r="G138" t="s">
        <v>19</v>
      </c>
      <c r="H138" s="2">
        <v>0</v>
      </c>
    </row>
    <row r="139" spans="1:8">
      <c r="A139" t="s">
        <v>23</v>
      </c>
      <c r="B139" t="s">
        <v>24</v>
      </c>
      <c r="C139" t="s">
        <v>25</v>
      </c>
      <c r="D139" t="s">
        <v>11</v>
      </c>
      <c r="E139">
        <v>2000</v>
      </c>
      <c r="F139" t="s">
        <v>18</v>
      </c>
      <c r="G139" t="s">
        <v>13</v>
      </c>
      <c r="H139" s="2">
        <v>89495.94</v>
      </c>
    </row>
    <row r="140" spans="1:8">
      <c r="A140" t="s">
        <v>23</v>
      </c>
      <c r="B140" t="s">
        <v>24</v>
      </c>
      <c r="C140" t="s">
        <v>25</v>
      </c>
      <c r="D140" t="s">
        <v>11</v>
      </c>
      <c r="E140">
        <v>2000</v>
      </c>
      <c r="F140" t="s">
        <v>14</v>
      </c>
      <c r="G140" t="s">
        <v>15</v>
      </c>
      <c r="H140" s="2">
        <v>4463.96</v>
      </c>
    </row>
    <row r="141" spans="1:8">
      <c r="A141" t="s">
        <v>23</v>
      </c>
      <c r="B141" t="s">
        <v>24</v>
      </c>
      <c r="C141" t="s">
        <v>25</v>
      </c>
      <c r="D141" t="s">
        <v>11</v>
      </c>
      <c r="E141">
        <v>2000</v>
      </c>
      <c r="F141" t="s">
        <v>16</v>
      </c>
      <c r="G141" t="s">
        <v>15</v>
      </c>
      <c r="H141" s="2">
        <v>1628.61</v>
      </c>
    </row>
    <row r="142" spans="1:8">
      <c r="A142" t="s">
        <v>23</v>
      </c>
      <c r="B142" t="s">
        <v>24</v>
      </c>
      <c r="C142" t="s">
        <v>25</v>
      </c>
      <c r="D142" t="s">
        <v>11</v>
      </c>
      <c r="E142">
        <v>2000</v>
      </c>
      <c r="F142" t="s">
        <v>16</v>
      </c>
      <c r="G142" t="s">
        <v>13</v>
      </c>
      <c r="H142" s="2">
        <v>340.72</v>
      </c>
    </row>
    <row r="143" spans="1:8">
      <c r="A143" t="s">
        <v>23</v>
      </c>
      <c r="B143" t="s">
        <v>24</v>
      </c>
      <c r="C143" t="s">
        <v>25</v>
      </c>
      <c r="D143" t="s">
        <v>11</v>
      </c>
      <c r="E143">
        <v>2001</v>
      </c>
      <c r="F143" t="s">
        <v>14</v>
      </c>
      <c r="G143" t="s">
        <v>19</v>
      </c>
      <c r="H143" s="2">
        <v>0</v>
      </c>
    </row>
    <row r="144" spans="1:8">
      <c r="A144" t="s">
        <v>23</v>
      </c>
      <c r="B144" t="s">
        <v>24</v>
      </c>
      <c r="C144" t="s">
        <v>25</v>
      </c>
      <c r="D144" t="s">
        <v>11</v>
      </c>
      <c r="E144">
        <v>2001</v>
      </c>
      <c r="F144" t="s">
        <v>21</v>
      </c>
      <c r="G144" t="s">
        <v>15</v>
      </c>
      <c r="H144" s="2">
        <v>674.16</v>
      </c>
    </row>
    <row r="145" spans="1:8">
      <c r="A145" t="s">
        <v>23</v>
      </c>
      <c r="B145" t="s">
        <v>24</v>
      </c>
      <c r="C145" t="s">
        <v>25</v>
      </c>
      <c r="D145" t="s">
        <v>11</v>
      </c>
      <c r="E145">
        <v>2002</v>
      </c>
      <c r="F145" t="s">
        <v>18</v>
      </c>
      <c r="G145" t="s">
        <v>13</v>
      </c>
      <c r="H145" s="2">
        <v>107196.91</v>
      </c>
    </row>
    <row r="146" spans="1:8">
      <c r="A146" t="s">
        <v>23</v>
      </c>
      <c r="B146" t="s">
        <v>24</v>
      </c>
      <c r="C146" t="s">
        <v>25</v>
      </c>
      <c r="D146" t="s">
        <v>11</v>
      </c>
      <c r="E146">
        <v>2002</v>
      </c>
      <c r="F146" t="s">
        <v>18</v>
      </c>
      <c r="G146" t="s">
        <v>17</v>
      </c>
      <c r="H146" s="2">
        <v>5687.88</v>
      </c>
    </row>
    <row r="147" spans="1:8">
      <c r="A147" t="s">
        <v>23</v>
      </c>
      <c r="B147" t="s">
        <v>24</v>
      </c>
      <c r="C147" t="s">
        <v>25</v>
      </c>
      <c r="D147" t="s">
        <v>11</v>
      </c>
      <c r="E147">
        <v>2002</v>
      </c>
      <c r="F147" t="s">
        <v>14</v>
      </c>
      <c r="G147" t="s">
        <v>19</v>
      </c>
      <c r="H147" s="2">
        <v>0</v>
      </c>
    </row>
    <row r="148" spans="1:8">
      <c r="A148" t="s">
        <v>23</v>
      </c>
      <c r="B148" t="s">
        <v>24</v>
      </c>
      <c r="C148" t="s">
        <v>25</v>
      </c>
      <c r="D148" t="s">
        <v>11</v>
      </c>
      <c r="E148">
        <v>2002</v>
      </c>
      <c r="F148" t="s">
        <v>16</v>
      </c>
      <c r="G148" t="s">
        <v>13</v>
      </c>
      <c r="H148" s="2">
        <v>369.73</v>
      </c>
    </row>
    <row r="149" spans="1:8">
      <c r="A149" t="s">
        <v>23</v>
      </c>
      <c r="B149" t="s">
        <v>24</v>
      </c>
      <c r="C149" t="s">
        <v>25</v>
      </c>
      <c r="D149" t="s">
        <v>11</v>
      </c>
      <c r="E149">
        <v>2003</v>
      </c>
      <c r="F149" t="s">
        <v>16</v>
      </c>
      <c r="G149" t="s">
        <v>17</v>
      </c>
      <c r="H149" s="2">
        <v>119.81</v>
      </c>
    </row>
    <row r="150" spans="1:8">
      <c r="A150" t="s">
        <v>23</v>
      </c>
      <c r="B150" t="s">
        <v>24</v>
      </c>
      <c r="C150" t="s">
        <v>25</v>
      </c>
      <c r="D150" t="s">
        <v>11</v>
      </c>
      <c r="E150">
        <v>2004</v>
      </c>
      <c r="F150" t="s">
        <v>20</v>
      </c>
      <c r="G150" t="s">
        <v>13</v>
      </c>
      <c r="H150" s="2">
        <v>-4876.3100000000004</v>
      </c>
    </row>
    <row r="151" spans="1:8">
      <c r="A151" t="s">
        <v>23</v>
      </c>
      <c r="B151" t="s">
        <v>24</v>
      </c>
      <c r="C151" t="s">
        <v>25</v>
      </c>
      <c r="D151" t="s">
        <v>11</v>
      </c>
      <c r="E151">
        <v>2004</v>
      </c>
      <c r="F151" t="s">
        <v>14</v>
      </c>
      <c r="G151" t="s">
        <v>15</v>
      </c>
      <c r="H151" s="2">
        <v>4500.82</v>
      </c>
    </row>
    <row r="152" spans="1:8">
      <c r="A152" t="s">
        <v>23</v>
      </c>
      <c r="B152" t="s">
        <v>24</v>
      </c>
      <c r="C152" t="s">
        <v>25</v>
      </c>
      <c r="D152" t="s">
        <v>11</v>
      </c>
      <c r="E152">
        <v>2004</v>
      </c>
      <c r="F152" t="s">
        <v>16</v>
      </c>
      <c r="G152" t="s">
        <v>17</v>
      </c>
      <c r="H152" s="2">
        <v>113.57</v>
      </c>
    </row>
    <row r="153" spans="1:8">
      <c r="A153" t="s">
        <v>23</v>
      </c>
      <c r="B153" t="s">
        <v>24</v>
      </c>
      <c r="C153" t="s">
        <v>25</v>
      </c>
      <c r="D153" t="s">
        <v>11</v>
      </c>
      <c r="E153">
        <v>2005</v>
      </c>
      <c r="F153" t="s">
        <v>12</v>
      </c>
      <c r="G153" t="s">
        <v>15</v>
      </c>
      <c r="H153" s="2">
        <v>1221.8800000000001</v>
      </c>
    </row>
    <row r="154" spans="1:8">
      <c r="A154" t="s">
        <v>23</v>
      </c>
      <c r="B154" t="s">
        <v>24</v>
      </c>
      <c r="C154" t="s">
        <v>25</v>
      </c>
      <c r="D154" t="s">
        <v>11</v>
      </c>
      <c r="E154">
        <v>2005</v>
      </c>
      <c r="F154" t="s">
        <v>12</v>
      </c>
      <c r="G154" t="s">
        <v>13</v>
      </c>
      <c r="H154" s="2">
        <v>15582.21</v>
      </c>
    </row>
    <row r="155" spans="1:8">
      <c r="A155" t="s">
        <v>23</v>
      </c>
      <c r="B155" t="s">
        <v>24</v>
      </c>
      <c r="C155" t="s">
        <v>25</v>
      </c>
      <c r="D155" t="s">
        <v>11</v>
      </c>
      <c r="E155">
        <v>2006</v>
      </c>
      <c r="F155" t="s">
        <v>22</v>
      </c>
      <c r="G155" t="s">
        <v>19</v>
      </c>
      <c r="H155" s="2">
        <v>0</v>
      </c>
    </row>
    <row r="156" spans="1:8">
      <c r="A156" t="s">
        <v>23</v>
      </c>
      <c r="B156" t="s">
        <v>24</v>
      </c>
      <c r="C156" t="s">
        <v>25</v>
      </c>
      <c r="D156" t="s">
        <v>11</v>
      </c>
      <c r="E156">
        <v>2006</v>
      </c>
      <c r="F156" t="s">
        <v>20</v>
      </c>
      <c r="G156" t="s">
        <v>15</v>
      </c>
      <c r="H156" s="2">
        <v>-44.61</v>
      </c>
    </row>
    <row r="157" spans="1:8">
      <c r="A157" t="s">
        <v>23</v>
      </c>
      <c r="B157" t="s">
        <v>24</v>
      </c>
      <c r="C157" t="s">
        <v>25</v>
      </c>
      <c r="D157" t="s">
        <v>11</v>
      </c>
      <c r="E157">
        <v>2006</v>
      </c>
      <c r="F157" t="s">
        <v>20</v>
      </c>
      <c r="G157" t="s">
        <v>19</v>
      </c>
      <c r="H157" s="2">
        <v>0</v>
      </c>
    </row>
    <row r="158" spans="1:8">
      <c r="A158" t="s">
        <v>23</v>
      </c>
      <c r="B158" t="s">
        <v>24</v>
      </c>
      <c r="C158" t="s">
        <v>25</v>
      </c>
      <c r="D158" t="s">
        <v>11</v>
      </c>
      <c r="E158">
        <v>2006</v>
      </c>
      <c r="F158" t="s">
        <v>14</v>
      </c>
      <c r="G158" t="s">
        <v>17</v>
      </c>
      <c r="H158" s="2">
        <v>3250.32</v>
      </c>
    </row>
    <row r="159" spans="1:8">
      <c r="A159" t="s">
        <v>23</v>
      </c>
      <c r="B159" t="s">
        <v>24</v>
      </c>
      <c r="C159" t="s">
        <v>25</v>
      </c>
      <c r="D159" t="s">
        <v>11</v>
      </c>
      <c r="E159">
        <v>2006</v>
      </c>
      <c r="F159" t="s">
        <v>21</v>
      </c>
      <c r="G159" t="s">
        <v>13</v>
      </c>
      <c r="H159" s="2">
        <v>29931.200000000001</v>
      </c>
    </row>
    <row r="160" spans="1:8">
      <c r="A160" t="s">
        <v>23</v>
      </c>
      <c r="B160" t="s">
        <v>24</v>
      </c>
      <c r="C160" t="s">
        <v>25</v>
      </c>
      <c r="D160" t="s">
        <v>11</v>
      </c>
      <c r="E160">
        <v>2006</v>
      </c>
      <c r="F160" t="s">
        <v>16</v>
      </c>
      <c r="G160" t="s">
        <v>15</v>
      </c>
      <c r="H160" s="2">
        <v>1898.17</v>
      </c>
    </row>
    <row r="161" spans="1:8">
      <c r="A161" t="s">
        <v>23</v>
      </c>
      <c r="B161" t="s">
        <v>24</v>
      </c>
      <c r="C161" t="s">
        <v>25</v>
      </c>
      <c r="D161" t="s">
        <v>11</v>
      </c>
      <c r="E161">
        <v>2006</v>
      </c>
      <c r="F161" t="s">
        <v>16</v>
      </c>
      <c r="G161" t="s">
        <v>19</v>
      </c>
      <c r="H161" s="2">
        <v>0</v>
      </c>
    </row>
    <row r="162" spans="1:8">
      <c r="A162" t="s">
        <v>23</v>
      </c>
      <c r="B162" t="s">
        <v>24</v>
      </c>
      <c r="C162" t="s">
        <v>25</v>
      </c>
      <c r="D162" t="s">
        <v>11</v>
      </c>
      <c r="E162">
        <v>2007</v>
      </c>
      <c r="F162" t="s">
        <v>22</v>
      </c>
      <c r="G162" t="s">
        <v>15</v>
      </c>
      <c r="H162" s="2">
        <v>9178.24</v>
      </c>
    </row>
    <row r="163" spans="1:8">
      <c r="A163" t="s">
        <v>23</v>
      </c>
      <c r="B163" t="s">
        <v>24</v>
      </c>
      <c r="C163" t="s">
        <v>25</v>
      </c>
      <c r="D163" t="s">
        <v>11</v>
      </c>
      <c r="E163">
        <v>2007</v>
      </c>
      <c r="F163" t="s">
        <v>18</v>
      </c>
      <c r="G163" t="s">
        <v>17</v>
      </c>
      <c r="H163" s="2">
        <v>6204.81</v>
      </c>
    </row>
    <row r="164" spans="1:8">
      <c r="A164" t="s">
        <v>23</v>
      </c>
      <c r="B164" t="s">
        <v>24</v>
      </c>
      <c r="C164" t="s">
        <v>25</v>
      </c>
      <c r="D164" t="s">
        <v>11</v>
      </c>
      <c r="E164">
        <v>2007</v>
      </c>
      <c r="F164" t="s">
        <v>14</v>
      </c>
      <c r="G164" t="s">
        <v>19</v>
      </c>
      <c r="H164" s="2">
        <v>0</v>
      </c>
    </row>
    <row r="165" spans="1:8">
      <c r="A165" t="s">
        <v>23</v>
      </c>
      <c r="B165" t="s">
        <v>24</v>
      </c>
      <c r="C165" t="s">
        <v>25</v>
      </c>
      <c r="D165" t="s">
        <v>11</v>
      </c>
      <c r="E165">
        <v>2007</v>
      </c>
      <c r="F165" t="s">
        <v>21</v>
      </c>
      <c r="G165" t="s">
        <v>13</v>
      </c>
      <c r="H165" s="2">
        <v>31914.560000000001</v>
      </c>
    </row>
    <row r="166" spans="1:8">
      <c r="A166" t="s">
        <v>23</v>
      </c>
      <c r="B166" t="s">
        <v>24</v>
      </c>
      <c r="C166" t="s">
        <v>25</v>
      </c>
      <c r="D166" t="s">
        <v>11</v>
      </c>
      <c r="E166">
        <v>2007</v>
      </c>
      <c r="F166" t="s">
        <v>16</v>
      </c>
      <c r="G166" t="s">
        <v>19</v>
      </c>
      <c r="H166" s="2">
        <v>0</v>
      </c>
    </row>
    <row r="167" spans="1:8">
      <c r="A167" t="s">
        <v>23</v>
      </c>
      <c r="B167" t="s">
        <v>24</v>
      </c>
      <c r="C167" t="s">
        <v>25</v>
      </c>
      <c r="D167" t="s">
        <v>11</v>
      </c>
      <c r="E167">
        <v>2008</v>
      </c>
      <c r="F167" t="s">
        <v>14</v>
      </c>
      <c r="G167" t="s">
        <v>19</v>
      </c>
      <c r="H167" s="2">
        <v>0</v>
      </c>
    </row>
    <row r="168" spans="1:8">
      <c r="A168" t="s">
        <v>23</v>
      </c>
      <c r="B168" t="s">
        <v>24</v>
      </c>
      <c r="C168" t="s">
        <v>25</v>
      </c>
      <c r="D168" t="s">
        <v>11</v>
      </c>
      <c r="E168">
        <v>2008</v>
      </c>
      <c r="F168" t="s">
        <v>21</v>
      </c>
      <c r="G168" t="s">
        <v>19</v>
      </c>
      <c r="H168" s="2">
        <v>0</v>
      </c>
    </row>
    <row r="169" spans="1:8">
      <c r="A169" t="s">
        <v>23</v>
      </c>
      <c r="B169" t="s">
        <v>24</v>
      </c>
      <c r="C169" t="s">
        <v>25</v>
      </c>
      <c r="D169" t="s">
        <v>11</v>
      </c>
      <c r="E169">
        <v>2009</v>
      </c>
      <c r="F169" t="s">
        <v>12</v>
      </c>
      <c r="G169" t="s">
        <v>17</v>
      </c>
      <c r="H169" s="2">
        <v>503.04</v>
      </c>
    </row>
    <row r="170" spans="1:8">
      <c r="A170" t="s">
        <v>23</v>
      </c>
      <c r="B170" t="s">
        <v>24</v>
      </c>
      <c r="C170" t="s">
        <v>25</v>
      </c>
      <c r="D170" t="s">
        <v>11</v>
      </c>
      <c r="E170">
        <v>2009</v>
      </c>
      <c r="F170" t="s">
        <v>20</v>
      </c>
      <c r="G170" t="s">
        <v>17</v>
      </c>
      <c r="H170" s="2">
        <v>-55.46</v>
      </c>
    </row>
    <row r="171" spans="1:8">
      <c r="A171" t="s">
        <v>23</v>
      </c>
      <c r="B171" t="s">
        <v>24</v>
      </c>
      <c r="C171" t="s">
        <v>25</v>
      </c>
      <c r="D171" t="s">
        <v>11</v>
      </c>
      <c r="E171">
        <v>2009</v>
      </c>
      <c r="F171" t="s">
        <v>16</v>
      </c>
      <c r="G171" t="s">
        <v>13</v>
      </c>
      <c r="H171" s="2">
        <v>401.64</v>
      </c>
    </row>
    <row r="172" spans="1:8">
      <c r="A172" t="s">
        <v>23</v>
      </c>
      <c r="B172" t="s">
        <v>24</v>
      </c>
      <c r="C172" t="s">
        <v>25</v>
      </c>
      <c r="D172" t="s">
        <v>11</v>
      </c>
      <c r="E172">
        <v>2010</v>
      </c>
      <c r="F172" t="s">
        <v>22</v>
      </c>
      <c r="G172" t="s">
        <v>13</v>
      </c>
      <c r="H172" s="2">
        <v>1351.77</v>
      </c>
    </row>
    <row r="173" spans="1:8">
      <c r="A173" t="s">
        <v>23</v>
      </c>
      <c r="B173" t="s">
        <v>24</v>
      </c>
      <c r="C173" t="s">
        <v>25</v>
      </c>
      <c r="D173" t="s">
        <v>11</v>
      </c>
      <c r="E173">
        <v>2010</v>
      </c>
      <c r="F173" t="s">
        <v>12</v>
      </c>
      <c r="G173" t="s">
        <v>15</v>
      </c>
      <c r="H173" s="2">
        <v>1111.33</v>
      </c>
    </row>
    <row r="174" spans="1:8">
      <c r="A174" t="s">
        <v>23</v>
      </c>
      <c r="B174" t="s">
        <v>24</v>
      </c>
      <c r="C174" t="s">
        <v>25</v>
      </c>
      <c r="D174" t="s">
        <v>11</v>
      </c>
      <c r="E174">
        <v>2010</v>
      </c>
      <c r="F174" t="s">
        <v>18</v>
      </c>
      <c r="G174" t="s">
        <v>19</v>
      </c>
      <c r="H174" s="2">
        <v>6264.43</v>
      </c>
    </row>
    <row r="175" spans="1:8">
      <c r="A175" t="s">
        <v>23</v>
      </c>
      <c r="B175" t="s">
        <v>24</v>
      </c>
      <c r="C175" t="s">
        <v>25</v>
      </c>
      <c r="D175" t="s">
        <v>11</v>
      </c>
      <c r="E175">
        <v>2010</v>
      </c>
      <c r="F175" t="s">
        <v>20</v>
      </c>
      <c r="G175" t="s">
        <v>19</v>
      </c>
      <c r="H175" s="2">
        <v>0</v>
      </c>
    </row>
    <row r="176" spans="1:8">
      <c r="A176" t="s">
        <v>23</v>
      </c>
      <c r="B176" t="s">
        <v>24</v>
      </c>
      <c r="C176" t="s">
        <v>25</v>
      </c>
      <c r="D176" t="s">
        <v>11</v>
      </c>
      <c r="E176">
        <v>2010</v>
      </c>
      <c r="F176" t="s">
        <v>21</v>
      </c>
      <c r="G176" t="s">
        <v>13</v>
      </c>
      <c r="H176" s="2">
        <v>33966.39</v>
      </c>
    </row>
    <row r="177" spans="1:8">
      <c r="A177" t="s">
        <v>23</v>
      </c>
      <c r="B177" t="s">
        <v>24</v>
      </c>
      <c r="C177" t="s">
        <v>25</v>
      </c>
      <c r="D177" t="s">
        <v>11</v>
      </c>
      <c r="E177">
        <v>2011</v>
      </c>
      <c r="F177" t="s">
        <v>18</v>
      </c>
      <c r="G177" t="s">
        <v>17</v>
      </c>
      <c r="H177" s="2">
        <v>7058.31</v>
      </c>
    </row>
    <row r="178" spans="1:8">
      <c r="A178" t="s">
        <v>23</v>
      </c>
      <c r="B178" t="s">
        <v>24</v>
      </c>
      <c r="C178" t="s">
        <v>25</v>
      </c>
      <c r="D178" t="s">
        <v>11</v>
      </c>
      <c r="E178">
        <v>2011</v>
      </c>
      <c r="F178" t="s">
        <v>20</v>
      </c>
      <c r="G178" t="s">
        <v>13</v>
      </c>
      <c r="H178" s="2">
        <v>-5479.08</v>
      </c>
    </row>
    <row r="179" spans="1:8">
      <c r="A179" t="s">
        <v>23</v>
      </c>
      <c r="B179" t="s">
        <v>24</v>
      </c>
      <c r="C179" t="s">
        <v>25</v>
      </c>
      <c r="D179" t="s">
        <v>11</v>
      </c>
      <c r="E179">
        <v>2012</v>
      </c>
      <c r="F179" t="s">
        <v>12</v>
      </c>
      <c r="G179" t="s">
        <v>15</v>
      </c>
      <c r="H179" s="2">
        <v>1226.8499999999999</v>
      </c>
    </row>
    <row r="180" spans="1:8">
      <c r="A180" t="s">
        <v>23</v>
      </c>
      <c r="B180" t="s">
        <v>24</v>
      </c>
      <c r="C180" t="s">
        <v>25</v>
      </c>
      <c r="D180" t="s">
        <v>11</v>
      </c>
      <c r="E180">
        <v>2012</v>
      </c>
      <c r="F180" t="s">
        <v>18</v>
      </c>
      <c r="G180" t="s">
        <v>19</v>
      </c>
      <c r="H180" s="2">
        <v>6480.08</v>
      </c>
    </row>
    <row r="181" spans="1:8">
      <c r="A181" t="s">
        <v>23</v>
      </c>
      <c r="B181" t="s">
        <v>24</v>
      </c>
      <c r="C181" t="s">
        <v>25</v>
      </c>
      <c r="D181" t="s">
        <v>11</v>
      </c>
      <c r="E181">
        <v>2012</v>
      </c>
      <c r="F181" t="s">
        <v>21</v>
      </c>
      <c r="G181" t="s">
        <v>13</v>
      </c>
      <c r="H181" s="2">
        <v>33563.440000000002</v>
      </c>
    </row>
    <row r="182" spans="1:8">
      <c r="A182" t="s">
        <v>23</v>
      </c>
      <c r="B182" t="s">
        <v>24</v>
      </c>
      <c r="C182" t="s">
        <v>25</v>
      </c>
      <c r="D182" t="s">
        <v>11</v>
      </c>
      <c r="E182">
        <v>2013</v>
      </c>
      <c r="F182" t="s">
        <v>12</v>
      </c>
      <c r="G182" t="s">
        <v>13</v>
      </c>
      <c r="H182" s="2">
        <v>16065.33</v>
      </c>
    </row>
    <row r="183" spans="1:8">
      <c r="A183" t="s">
        <v>23</v>
      </c>
      <c r="B183" t="s">
        <v>24</v>
      </c>
      <c r="C183" t="s">
        <v>25</v>
      </c>
      <c r="D183" t="s">
        <v>11</v>
      </c>
      <c r="E183">
        <v>2013</v>
      </c>
      <c r="F183" t="s">
        <v>21</v>
      </c>
      <c r="G183" t="s">
        <v>17</v>
      </c>
      <c r="H183" s="2">
        <v>374.59</v>
      </c>
    </row>
    <row r="184" spans="1:8">
      <c r="A184" t="s">
        <v>23</v>
      </c>
      <c r="B184" t="s">
        <v>24</v>
      </c>
      <c r="C184" t="s">
        <v>25</v>
      </c>
      <c r="D184" t="s">
        <v>11</v>
      </c>
      <c r="E184">
        <v>2014</v>
      </c>
      <c r="F184" t="s">
        <v>21</v>
      </c>
      <c r="G184" t="s">
        <v>13</v>
      </c>
      <c r="H184" s="2">
        <v>37325.81</v>
      </c>
    </row>
    <row r="185" spans="1:8">
      <c r="A185" t="s">
        <v>23</v>
      </c>
      <c r="B185" t="s">
        <v>24</v>
      </c>
      <c r="C185" t="s">
        <v>25</v>
      </c>
      <c r="D185" t="s">
        <v>11</v>
      </c>
      <c r="E185">
        <v>2015</v>
      </c>
      <c r="F185" t="s">
        <v>12</v>
      </c>
      <c r="G185" t="s">
        <v>13</v>
      </c>
      <c r="H185" s="2">
        <v>15976.9</v>
      </c>
    </row>
    <row r="186" spans="1:8">
      <c r="A186" t="s">
        <v>23</v>
      </c>
      <c r="B186" t="s">
        <v>24</v>
      </c>
      <c r="C186" t="s">
        <v>25</v>
      </c>
      <c r="D186" t="s">
        <v>11</v>
      </c>
      <c r="E186">
        <v>2015</v>
      </c>
      <c r="F186" t="s">
        <v>20</v>
      </c>
      <c r="G186" t="s">
        <v>19</v>
      </c>
      <c r="H186" s="2">
        <v>0</v>
      </c>
    </row>
    <row r="187" spans="1:8">
      <c r="A187" t="s">
        <v>23</v>
      </c>
      <c r="B187" t="s">
        <v>24</v>
      </c>
      <c r="C187" t="s">
        <v>25</v>
      </c>
      <c r="D187" t="s">
        <v>11</v>
      </c>
      <c r="E187">
        <v>2015</v>
      </c>
      <c r="F187" t="s">
        <v>14</v>
      </c>
      <c r="G187" t="s">
        <v>13</v>
      </c>
      <c r="H187" s="2">
        <v>210741.83</v>
      </c>
    </row>
    <row r="188" spans="1:8">
      <c r="A188" t="s">
        <v>23</v>
      </c>
      <c r="B188" t="s">
        <v>24</v>
      </c>
      <c r="C188" t="s">
        <v>25</v>
      </c>
      <c r="D188" t="s">
        <v>11</v>
      </c>
      <c r="E188">
        <v>2017</v>
      </c>
      <c r="F188" t="s">
        <v>20</v>
      </c>
      <c r="G188" t="s">
        <v>19</v>
      </c>
      <c r="H188" s="2">
        <v>0</v>
      </c>
    </row>
    <row r="189" spans="1:8">
      <c r="A189" t="s">
        <v>23</v>
      </c>
      <c r="B189" t="s">
        <v>24</v>
      </c>
      <c r="C189" t="s">
        <v>25</v>
      </c>
      <c r="D189" t="s">
        <v>11</v>
      </c>
      <c r="E189">
        <v>2017</v>
      </c>
      <c r="F189" t="s">
        <v>14</v>
      </c>
      <c r="G189" t="s">
        <v>15</v>
      </c>
      <c r="H189" s="2">
        <v>6039.22</v>
      </c>
    </row>
    <row r="190" spans="1:8">
      <c r="A190" t="s">
        <v>23</v>
      </c>
      <c r="B190" t="s">
        <v>24</v>
      </c>
      <c r="C190" t="s">
        <v>25</v>
      </c>
      <c r="D190" t="s">
        <v>11</v>
      </c>
      <c r="E190">
        <v>2017</v>
      </c>
      <c r="F190" t="s">
        <v>14</v>
      </c>
      <c r="G190" t="s">
        <v>13</v>
      </c>
      <c r="H190" s="2">
        <v>199922.05</v>
      </c>
    </row>
    <row r="191" spans="1:8">
      <c r="A191" t="s">
        <v>23</v>
      </c>
      <c r="B191" t="s">
        <v>24</v>
      </c>
      <c r="C191" t="s">
        <v>25</v>
      </c>
      <c r="D191" t="s">
        <v>11</v>
      </c>
      <c r="E191">
        <v>2018</v>
      </c>
      <c r="F191" t="s">
        <v>22</v>
      </c>
      <c r="G191" t="s">
        <v>17</v>
      </c>
      <c r="H191" s="2">
        <v>2754.72</v>
      </c>
    </row>
    <row r="192" spans="1:8">
      <c r="A192" t="s">
        <v>23</v>
      </c>
      <c r="B192" t="s">
        <v>24</v>
      </c>
      <c r="C192" t="s">
        <v>25</v>
      </c>
      <c r="D192" t="s">
        <v>11</v>
      </c>
      <c r="E192">
        <v>2018</v>
      </c>
      <c r="F192" t="s">
        <v>12</v>
      </c>
      <c r="G192" t="s">
        <v>17</v>
      </c>
      <c r="H192" s="2">
        <v>522.66</v>
      </c>
    </row>
    <row r="193" spans="1:8">
      <c r="A193" t="s">
        <v>23</v>
      </c>
      <c r="B193" t="s">
        <v>24</v>
      </c>
      <c r="C193" t="s">
        <v>25</v>
      </c>
      <c r="D193" t="s">
        <v>11</v>
      </c>
      <c r="E193">
        <v>2019</v>
      </c>
      <c r="F193" t="s">
        <v>18</v>
      </c>
      <c r="G193" t="s">
        <v>17</v>
      </c>
      <c r="H193" s="2">
        <v>6172.8</v>
      </c>
    </row>
    <row r="194" spans="1:8">
      <c r="A194" t="s">
        <v>23</v>
      </c>
      <c r="B194" t="s">
        <v>24</v>
      </c>
      <c r="C194" t="s">
        <v>25</v>
      </c>
      <c r="D194" t="s">
        <v>11</v>
      </c>
      <c r="E194">
        <v>2019</v>
      </c>
      <c r="F194" t="s">
        <v>20</v>
      </c>
      <c r="G194" t="s">
        <v>15</v>
      </c>
      <c r="H194" s="2">
        <v>-53.03</v>
      </c>
    </row>
    <row r="195" spans="1:8">
      <c r="A195" t="s">
        <v>23</v>
      </c>
      <c r="B195" t="s">
        <v>24</v>
      </c>
      <c r="C195" t="s">
        <v>25</v>
      </c>
      <c r="D195" t="s">
        <v>11</v>
      </c>
      <c r="E195">
        <v>2020</v>
      </c>
      <c r="F195" t="s">
        <v>22</v>
      </c>
      <c r="G195" t="s">
        <v>17</v>
      </c>
      <c r="H195" s="2">
        <v>2872.57</v>
      </c>
    </row>
    <row r="196" spans="1:8">
      <c r="A196" t="s">
        <v>23</v>
      </c>
      <c r="B196" t="s">
        <v>24</v>
      </c>
      <c r="C196" t="s">
        <v>25</v>
      </c>
      <c r="D196" t="s">
        <v>11</v>
      </c>
      <c r="E196">
        <v>2020</v>
      </c>
      <c r="F196" t="s">
        <v>12</v>
      </c>
      <c r="G196" t="s">
        <v>17</v>
      </c>
      <c r="H196" s="2">
        <v>589.84</v>
      </c>
    </row>
    <row r="197" spans="1:8">
      <c r="A197" t="s">
        <v>23</v>
      </c>
      <c r="B197" t="s">
        <v>24</v>
      </c>
      <c r="C197" t="s">
        <v>25</v>
      </c>
      <c r="D197" t="s">
        <v>11</v>
      </c>
      <c r="E197">
        <v>2020</v>
      </c>
      <c r="F197" t="s">
        <v>21</v>
      </c>
      <c r="G197" t="s">
        <v>19</v>
      </c>
      <c r="H197" s="2">
        <v>0</v>
      </c>
    </row>
    <row r="198" spans="1:8">
      <c r="A198" t="s">
        <v>23</v>
      </c>
      <c r="B198" t="s">
        <v>24</v>
      </c>
      <c r="C198" t="s">
        <v>25</v>
      </c>
      <c r="D198" t="s">
        <v>11</v>
      </c>
      <c r="E198">
        <v>2020</v>
      </c>
      <c r="F198" t="s">
        <v>16</v>
      </c>
      <c r="G198" t="s">
        <v>19</v>
      </c>
      <c r="H198" s="2">
        <v>0</v>
      </c>
    </row>
    <row r="199" spans="1:8">
      <c r="A199" t="s">
        <v>23</v>
      </c>
      <c r="B199" t="s">
        <v>24</v>
      </c>
      <c r="C199" t="s">
        <v>25</v>
      </c>
      <c r="D199" t="s">
        <v>11</v>
      </c>
      <c r="E199">
        <v>2021</v>
      </c>
      <c r="F199" t="s">
        <v>22</v>
      </c>
      <c r="G199" t="s">
        <v>15</v>
      </c>
      <c r="H199" s="2">
        <v>9646.26</v>
      </c>
    </row>
    <row r="200" spans="1:8">
      <c r="A200" t="s">
        <v>23</v>
      </c>
      <c r="B200" t="s">
        <v>24</v>
      </c>
      <c r="C200" t="s">
        <v>25</v>
      </c>
      <c r="D200" t="s">
        <v>11</v>
      </c>
      <c r="E200">
        <v>2021</v>
      </c>
      <c r="F200" t="s">
        <v>18</v>
      </c>
      <c r="G200" t="s">
        <v>19</v>
      </c>
      <c r="H200" s="2">
        <v>7373.39</v>
      </c>
    </row>
    <row r="201" spans="1:8">
      <c r="A201" t="s">
        <v>23</v>
      </c>
      <c r="B201" t="s">
        <v>24</v>
      </c>
      <c r="C201" t="s">
        <v>25</v>
      </c>
      <c r="D201" t="s">
        <v>11</v>
      </c>
      <c r="E201">
        <v>2021</v>
      </c>
      <c r="F201" t="s">
        <v>16</v>
      </c>
      <c r="G201" t="s">
        <v>13</v>
      </c>
      <c r="H201" s="2">
        <v>483.78</v>
      </c>
    </row>
    <row r="202" spans="1:8">
      <c r="A202" t="s">
        <v>23</v>
      </c>
      <c r="B202" t="s">
        <v>24</v>
      </c>
      <c r="C202" t="s">
        <v>25</v>
      </c>
      <c r="D202" t="s">
        <v>11</v>
      </c>
      <c r="E202">
        <v>2021</v>
      </c>
      <c r="F202" t="s">
        <v>16</v>
      </c>
      <c r="G202" t="s">
        <v>17</v>
      </c>
      <c r="H202" s="2">
        <v>148.25</v>
      </c>
    </row>
    <row r="203" spans="1:8">
      <c r="A203" t="s">
        <v>23</v>
      </c>
      <c r="B203" t="s">
        <v>24</v>
      </c>
      <c r="C203" t="s">
        <v>25</v>
      </c>
      <c r="D203" t="s">
        <v>11</v>
      </c>
      <c r="E203">
        <v>2022</v>
      </c>
      <c r="F203" t="s">
        <v>21</v>
      </c>
      <c r="G203" t="s">
        <v>13</v>
      </c>
      <c r="H203" s="2">
        <v>39466.44</v>
      </c>
    </row>
    <row r="204" spans="1:8">
      <c r="A204" t="s">
        <v>23</v>
      </c>
      <c r="B204" t="s">
        <v>24</v>
      </c>
      <c r="C204" t="s">
        <v>25</v>
      </c>
      <c r="D204" t="s">
        <v>11</v>
      </c>
      <c r="E204">
        <v>2024</v>
      </c>
      <c r="F204" t="s">
        <v>14</v>
      </c>
      <c r="G204" t="s">
        <v>13</v>
      </c>
      <c r="H204" s="2">
        <v>208418.97</v>
      </c>
    </row>
    <row r="205" spans="1:8">
      <c r="A205" t="s">
        <v>26</v>
      </c>
      <c r="B205" t="s">
        <v>27</v>
      </c>
      <c r="C205" t="s">
        <v>28</v>
      </c>
      <c r="D205" t="s">
        <v>29</v>
      </c>
      <c r="E205">
        <v>1990</v>
      </c>
      <c r="F205" t="s">
        <v>22</v>
      </c>
      <c r="G205" t="s">
        <v>17</v>
      </c>
      <c r="H205" s="2">
        <v>16973.37</v>
      </c>
    </row>
    <row r="206" spans="1:8">
      <c r="A206" t="s">
        <v>26</v>
      </c>
      <c r="B206" t="s">
        <v>27</v>
      </c>
      <c r="C206" t="s">
        <v>28</v>
      </c>
      <c r="D206" t="s">
        <v>29</v>
      </c>
      <c r="E206">
        <v>1990</v>
      </c>
      <c r="F206" t="s">
        <v>12</v>
      </c>
      <c r="G206" t="s">
        <v>19</v>
      </c>
      <c r="H206" s="2">
        <v>0</v>
      </c>
    </row>
    <row r="207" spans="1:8">
      <c r="A207" t="s">
        <v>26</v>
      </c>
      <c r="B207" t="s">
        <v>27</v>
      </c>
      <c r="C207" t="s">
        <v>28</v>
      </c>
      <c r="D207" t="s">
        <v>29</v>
      </c>
      <c r="E207">
        <v>1990</v>
      </c>
      <c r="F207" t="s">
        <v>18</v>
      </c>
      <c r="G207" t="s">
        <v>17</v>
      </c>
      <c r="H207" s="2">
        <v>4838.1499999999996</v>
      </c>
    </row>
    <row r="208" spans="1:8">
      <c r="A208" t="s">
        <v>26</v>
      </c>
      <c r="B208" t="s">
        <v>27</v>
      </c>
      <c r="C208" t="s">
        <v>28</v>
      </c>
      <c r="D208" t="s">
        <v>29</v>
      </c>
      <c r="E208">
        <v>1990</v>
      </c>
      <c r="F208" t="s">
        <v>20</v>
      </c>
      <c r="G208" t="s">
        <v>17</v>
      </c>
      <c r="H208" s="2">
        <v>-48.28</v>
      </c>
    </row>
    <row r="209" spans="1:8">
      <c r="A209" t="s">
        <v>26</v>
      </c>
      <c r="B209" t="s">
        <v>27</v>
      </c>
      <c r="C209" t="s">
        <v>28</v>
      </c>
      <c r="D209" t="s">
        <v>29</v>
      </c>
      <c r="E209">
        <v>1990</v>
      </c>
      <c r="F209" t="s">
        <v>16</v>
      </c>
      <c r="G209" t="s">
        <v>19</v>
      </c>
      <c r="H209" s="2">
        <v>0</v>
      </c>
    </row>
    <row r="210" spans="1:8">
      <c r="A210" t="s">
        <v>26</v>
      </c>
      <c r="B210" t="s">
        <v>27</v>
      </c>
      <c r="C210" t="s">
        <v>28</v>
      </c>
      <c r="D210" t="s">
        <v>29</v>
      </c>
      <c r="E210">
        <v>1991</v>
      </c>
      <c r="F210" t="s">
        <v>22</v>
      </c>
      <c r="G210" t="s">
        <v>13</v>
      </c>
      <c r="H210" s="2">
        <v>8906.76</v>
      </c>
    </row>
    <row r="211" spans="1:8">
      <c r="A211" t="s">
        <v>26</v>
      </c>
      <c r="B211" t="s">
        <v>27</v>
      </c>
      <c r="C211" t="s">
        <v>28</v>
      </c>
      <c r="D211" t="s">
        <v>29</v>
      </c>
      <c r="E211">
        <v>1991</v>
      </c>
      <c r="F211" t="s">
        <v>18</v>
      </c>
      <c r="G211" t="s">
        <v>17</v>
      </c>
      <c r="H211" s="2">
        <v>5407.17</v>
      </c>
    </row>
    <row r="212" spans="1:8">
      <c r="A212" t="s">
        <v>26</v>
      </c>
      <c r="B212" t="s">
        <v>27</v>
      </c>
      <c r="C212" t="s">
        <v>28</v>
      </c>
      <c r="D212" t="s">
        <v>29</v>
      </c>
      <c r="E212">
        <v>1992</v>
      </c>
      <c r="F212" t="s">
        <v>12</v>
      </c>
      <c r="G212" t="s">
        <v>19</v>
      </c>
      <c r="H212" s="2">
        <v>0</v>
      </c>
    </row>
    <row r="213" spans="1:8">
      <c r="A213" t="s">
        <v>26</v>
      </c>
      <c r="B213" t="s">
        <v>27</v>
      </c>
      <c r="C213" t="s">
        <v>28</v>
      </c>
      <c r="D213" t="s">
        <v>29</v>
      </c>
      <c r="E213">
        <v>1992</v>
      </c>
      <c r="F213" t="s">
        <v>20</v>
      </c>
      <c r="G213" t="s">
        <v>19</v>
      </c>
      <c r="H213" s="2">
        <v>0</v>
      </c>
    </row>
    <row r="214" spans="1:8">
      <c r="A214" t="s">
        <v>26</v>
      </c>
      <c r="B214" t="s">
        <v>27</v>
      </c>
      <c r="C214" t="s">
        <v>28</v>
      </c>
      <c r="D214" t="s">
        <v>29</v>
      </c>
      <c r="E214">
        <v>1992</v>
      </c>
      <c r="F214" t="s">
        <v>14</v>
      </c>
      <c r="G214" t="s">
        <v>15</v>
      </c>
      <c r="H214" s="2">
        <v>1790.48</v>
      </c>
    </row>
    <row r="215" spans="1:8">
      <c r="A215" t="s">
        <v>26</v>
      </c>
      <c r="B215" t="s">
        <v>27</v>
      </c>
      <c r="C215" t="s">
        <v>28</v>
      </c>
      <c r="D215" t="s">
        <v>29</v>
      </c>
      <c r="E215">
        <v>1993</v>
      </c>
      <c r="F215" t="s">
        <v>12</v>
      </c>
      <c r="G215" t="s">
        <v>15</v>
      </c>
      <c r="H215" s="2">
        <v>2981.26</v>
      </c>
    </row>
    <row r="216" spans="1:8">
      <c r="A216" t="s">
        <v>26</v>
      </c>
      <c r="B216" t="s">
        <v>27</v>
      </c>
      <c r="C216" t="s">
        <v>28</v>
      </c>
      <c r="D216" t="s">
        <v>29</v>
      </c>
      <c r="E216">
        <v>1993</v>
      </c>
      <c r="F216" t="s">
        <v>21</v>
      </c>
      <c r="G216" t="s">
        <v>13</v>
      </c>
      <c r="H216" s="2">
        <v>114462.14</v>
      </c>
    </row>
    <row r="217" spans="1:8">
      <c r="A217" t="s">
        <v>26</v>
      </c>
      <c r="B217" t="s">
        <v>27</v>
      </c>
      <c r="C217" t="s">
        <v>28</v>
      </c>
      <c r="D217" t="s">
        <v>29</v>
      </c>
      <c r="E217">
        <v>1994</v>
      </c>
      <c r="F217" t="s">
        <v>12</v>
      </c>
      <c r="G217" t="s">
        <v>19</v>
      </c>
      <c r="H217" s="2">
        <v>0</v>
      </c>
    </row>
    <row r="218" spans="1:8">
      <c r="A218" t="s">
        <v>26</v>
      </c>
      <c r="B218" t="s">
        <v>27</v>
      </c>
      <c r="C218" t="s">
        <v>28</v>
      </c>
      <c r="D218" t="s">
        <v>29</v>
      </c>
      <c r="E218">
        <v>1994</v>
      </c>
      <c r="F218" t="s">
        <v>16</v>
      </c>
      <c r="G218" t="s">
        <v>15</v>
      </c>
      <c r="H218" s="2">
        <v>7409.19</v>
      </c>
    </row>
    <row r="219" spans="1:8">
      <c r="A219" t="s">
        <v>26</v>
      </c>
      <c r="B219" t="s">
        <v>27</v>
      </c>
      <c r="C219" t="s">
        <v>28</v>
      </c>
      <c r="D219" t="s">
        <v>29</v>
      </c>
      <c r="E219">
        <v>1995</v>
      </c>
      <c r="F219" t="s">
        <v>12</v>
      </c>
      <c r="G219" t="s">
        <v>13</v>
      </c>
      <c r="H219" s="2">
        <v>34685.81</v>
      </c>
    </row>
    <row r="220" spans="1:8">
      <c r="A220" t="s">
        <v>26</v>
      </c>
      <c r="B220" t="s">
        <v>27</v>
      </c>
      <c r="C220" t="s">
        <v>28</v>
      </c>
      <c r="D220" t="s">
        <v>29</v>
      </c>
      <c r="E220">
        <v>1995</v>
      </c>
      <c r="F220" t="s">
        <v>21</v>
      </c>
      <c r="G220" t="s">
        <v>13</v>
      </c>
      <c r="H220" s="2">
        <v>106684.97</v>
      </c>
    </row>
    <row r="221" spans="1:8">
      <c r="A221" t="s">
        <v>26</v>
      </c>
      <c r="B221" t="s">
        <v>27</v>
      </c>
      <c r="C221" t="s">
        <v>28</v>
      </c>
      <c r="D221" t="s">
        <v>29</v>
      </c>
      <c r="E221">
        <v>1996</v>
      </c>
      <c r="F221" t="s">
        <v>22</v>
      </c>
      <c r="G221" t="s">
        <v>19</v>
      </c>
      <c r="H221" s="2">
        <v>0</v>
      </c>
    </row>
    <row r="222" spans="1:8">
      <c r="A222" t="s">
        <v>26</v>
      </c>
      <c r="B222" t="s">
        <v>27</v>
      </c>
      <c r="C222" t="s">
        <v>28</v>
      </c>
      <c r="D222" t="s">
        <v>29</v>
      </c>
      <c r="E222">
        <v>1996</v>
      </c>
      <c r="F222" t="s">
        <v>18</v>
      </c>
      <c r="G222" t="s">
        <v>19</v>
      </c>
      <c r="H222" s="2">
        <v>4995.24</v>
      </c>
    </row>
    <row r="223" spans="1:8">
      <c r="A223" t="s">
        <v>26</v>
      </c>
      <c r="B223" t="s">
        <v>27</v>
      </c>
      <c r="C223" t="s">
        <v>28</v>
      </c>
      <c r="D223" t="s">
        <v>29</v>
      </c>
      <c r="E223">
        <v>1996</v>
      </c>
      <c r="F223" t="s">
        <v>14</v>
      </c>
      <c r="G223" t="s">
        <v>15</v>
      </c>
      <c r="H223" s="2">
        <v>1897.16</v>
      </c>
    </row>
    <row r="224" spans="1:8">
      <c r="A224" t="s">
        <v>26</v>
      </c>
      <c r="B224" t="s">
        <v>27</v>
      </c>
      <c r="C224" t="s">
        <v>28</v>
      </c>
      <c r="D224" t="s">
        <v>29</v>
      </c>
      <c r="E224">
        <v>1996</v>
      </c>
      <c r="F224" t="s">
        <v>16</v>
      </c>
      <c r="G224" t="s">
        <v>17</v>
      </c>
      <c r="H224" s="2">
        <v>450.25</v>
      </c>
    </row>
    <row r="225" spans="1:8">
      <c r="A225" t="s">
        <v>26</v>
      </c>
      <c r="B225" t="s">
        <v>27</v>
      </c>
      <c r="C225" t="s">
        <v>28</v>
      </c>
      <c r="D225" t="s">
        <v>29</v>
      </c>
      <c r="E225">
        <v>1997</v>
      </c>
      <c r="F225" t="s">
        <v>22</v>
      </c>
      <c r="G225" t="s">
        <v>17</v>
      </c>
      <c r="H225" s="2">
        <v>14159.22</v>
      </c>
    </row>
    <row r="226" spans="1:8">
      <c r="A226" t="s">
        <v>26</v>
      </c>
      <c r="B226" t="s">
        <v>27</v>
      </c>
      <c r="C226" t="s">
        <v>28</v>
      </c>
      <c r="D226" t="s">
        <v>29</v>
      </c>
      <c r="E226">
        <v>1997</v>
      </c>
      <c r="F226" t="s">
        <v>18</v>
      </c>
      <c r="G226" t="s">
        <v>17</v>
      </c>
      <c r="H226" s="2">
        <v>4623.22</v>
      </c>
    </row>
    <row r="227" spans="1:8">
      <c r="A227" t="s">
        <v>26</v>
      </c>
      <c r="B227" t="s">
        <v>27</v>
      </c>
      <c r="C227" t="s">
        <v>28</v>
      </c>
      <c r="D227" t="s">
        <v>29</v>
      </c>
      <c r="E227">
        <v>1997</v>
      </c>
      <c r="F227" t="s">
        <v>21</v>
      </c>
      <c r="G227" t="s">
        <v>13</v>
      </c>
      <c r="H227" s="2">
        <v>102732.75</v>
      </c>
    </row>
    <row r="228" spans="1:8">
      <c r="A228" t="s">
        <v>26</v>
      </c>
      <c r="B228" t="s">
        <v>27</v>
      </c>
      <c r="C228" t="s">
        <v>28</v>
      </c>
      <c r="D228" t="s">
        <v>29</v>
      </c>
      <c r="E228">
        <v>1997</v>
      </c>
      <c r="F228" t="s">
        <v>21</v>
      </c>
      <c r="G228" t="s">
        <v>17</v>
      </c>
      <c r="H228" s="2">
        <v>1254.3699999999999</v>
      </c>
    </row>
    <row r="229" spans="1:8">
      <c r="A229" t="s">
        <v>26</v>
      </c>
      <c r="B229" t="s">
        <v>27</v>
      </c>
      <c r="C229" t="s">
        <v>28</v>
      </c>
      <c r="D229" t="s">
        <v>29</v>
      </c>
      <c r="E229">
        <v>1998</v>
      </c>
      <c r="F229" t="s">
        <v>22</v>
      </c>
      <c r="G229" t="s">
        <v>15</v>
      </c>
      <c r="H229" s="2">
        <v>57702.15</v>
      </c>
    </row>
    <row r="230" spans="1:8">
      <c r="A230" t="s">
        <v>26</v>
      </c>
      <c r="B230" t="s">
        <v>27</v>
      </c>
      <c r="C230" t="s">
        <v>28</v>
      </c>
      <c r="D230" t="s">
        <v>29</v>
      </c>
      <c r="E230">
        <v>1998</v>
      </c>
      <c r="F230" t="s">
        <v>16</v>
      </c>
      <c r="G230" t="s">
        <v>19</v>
      </c>
      <c r="H230" s="2">
        <v>0</v>
      </c>
    </row>
    <row r="231" spans="1:8">
      <c r="A231" t="s">
        <v>26</v>
      </c>
      <c r="B231" t="s">
        <v>27</v>
      </c>
      <c r="C231" t="s">
        <v>28</v>
      </c>
      <c r="D231" t="s">
        <v>29</v>
      </c>
      <c r="E231">
        <v>1998</v>
      </c>
      <c r="F231" t="s">
        <v>16</v>
      </c>
      <c r="G231" t="s">
        <v>17</v>
      </c>
      <c r="H231" s="2">
        <v>476.65</v>
      </c>
    </row>
    <row r="232" spans="1:8">
      <c r="A232" t="s">
        <v>26</v>
      </c>
      <c r="B232" t="s">
        <v>27</v>
      </c>
      <c r="C232" t="s">
        <v>28</v>
      </c>
      <c r="D232" t="s">
        <v>29</v>
      </c>
      <c r="E232">
        <v>1999</v>
      </c>
      <c r="F232" t="s">
        <v>22</v>
      </c>
      <c r="G232" t="s">
        <v>19</v>
      </c>
      <c r="H232" s="2">
        <v>0</v>
      </c>
    </row>
    <row r="233" spans="1:8">
      <c r="A233" t="s">
        <v>26</v>
      </c>
      <c r="B233" t="s">
        <v>27</v>
      </c>
      <c r="C233" t="s">
        <v>28</v>
      </c>
      <c r="D233" t="s">
        <v>29</v>
      </c>
      <c r="E233">
        <v>1999</v>
      </c>
      <c r="F233" t="s">
        <v>12</v>
      </c>
      <c r="G233" t="s">
        <v>13</v>
      </c>
      <c r="H233" s="2">
        <v>34890.589999999997</v>
      </c>
    </row>
    <row r="234" spans="1:8">
      <c r="A234" t="s">
        <v>26</v>
      </c>
      <c r="B234" t="s">
        <v>27</v>
      </c>
      <c r="C234" t="s">
        <v>28</v>
      </c>
      <c r="D234" t="s">
        <v>29</v>
      </c>
      <c r="E234">
        <v>1999</v>
      </c>
      <c r="F234" t="s">
        <v>12</v>
      </c>
      <c r="G234" t="s">
        <v>17</v>
      </c>
      <c r="H234" s="2">
        <v>1198.3399999999999</v>
      </c>
    </row>
    <row r="235" spans="1:8">
      <c r="A235" t="s">
        <v>26</v>
      </c>
      <c r="B235" t="s">
        <v>27</v>
      </c>
      <c r="C235" t="s">
        <v>28</v>
      </c>
      <c r="D235" t="s">
        <v>29</v>
      </c>
      <c r="E235">
        <v>1999</v>
      </c>
      <c r="F235" t="s">
        <v>20</v>
      </c>
      <c r="G235" t="s">
        <v>17</v>
      </c>
      <c r="H235" s="2">
        <v>-46.64</v>
      </c>
    </row>
    <row r="236" spans="1:8">
      <c r="A236" t="s">
        <v>26</v>
      </c>
      <c r="B236" t="s">
        <v>27</v>
      </c>
      <c r="C236" t="s">
        <v>28</v>
      </c>
      <c r="D236" t="s">
        <v>29</v>
      </c>
      <c r="E236">
        <v>1999</v>
      </c>
      <c r="F236" t="s">
        <v>14</v>
      </c>
      <c r="G236" t="s">
        <v>19</v>
      </c>
      <c r="H236" s="2">
        <v>0</v>
      </c>
    </row>
    <row r="237" spans="1:8">
      <c r="A237" t="s">
        <v>26</v>
      </c>
      <c r="B237" t="s">
        <v>27</v>
      </c>
      <c r="C237" t="s">
        <v>28</v>
      </c>
      <c r="D237" t="s">
        <v>29</v>
      </c>
      <c r="E237">
        <v>1999</v>
      </c>
      <c r="F237" t="s">
        <v>16</v>
      </c>
      <c r="G237" t="s">
        <v>19</v>
      </c>
      <c r="H237" s="2">
        <v>0</v>
      </c>
    </row>
    <row r="238" spans="1:8">
      <c r="A238" t="s">
        <v>26</v>
      </c>
      <c r="B238" t="s">
        <v>27</v>
      </c>
      <c r="C238" t="s">
        <v>28</v>
      </c>
      <c r="D238" t="s">
        <v>29</v>
      </c>
      <c r="E238">
        <v>1999</v>
      </c>
      <c r="F238" t="s">
        <v>16</v>
      </c>
      <c r="G238" t="s">
        <v>17</v>
      </c>
      <c r="H238" s="2">
        <v>415.34</v>
      </c>
    </row>
    <row r="239" spans="1:8">
      <c r="A239" t="s">
        <v>26</v>
      </c>
      <c r="B239" t="s">
        <v>27</v>
      </c>
      <c r="C239" t="s">
        <v>28</v>
      </c>
      <c r="D239" t="s">
        <v>29</v>
      </c>
      <c r="E239">
        <v>2000</v>
      </c>
      <c r="F239" t="s">
        <v>21</v>
      </c>
      <c r="G239" t="s">
        <v>13</v>
      </c>
      <c r="H239" s="2">
        <v>122200.87</v>
      </c>
    </row>
    <row r="240" spans="1:8">
      <c r="A240" t="s">
        <v>26</v>
      </c>
      <c r="B240" t="s">
        <v>27</v>
      </c>
      <c r="C240" t="s">
        <v>28</v>
      </c>
      <c r="D240" t="s">
        <v>29</v>
      </c>
      <c r="E240">
        <v>2001</v>
      </c>
      <c r="F240" t="s">
        <v>12</v>
      </c>
      <c r="G240" t="s">
        <v>15</v>
      </c>
      <c r="H240" s="2">
        <v>2703.56</v>
      </c>
    </row>
    <row r="241" spans="1:8">
      <c r="A241" t="s">
        <v>26</v>
      </c>
      <c r="B241" t="s">
        <v>27</v>
      </c>
      <c r="C241" t="s">
        <v>28</v>
      </c>
      <c r="D241" t="s">
        <v>29</v>
      </c>
      <c r="E241">
        <v>2001</v>
      </c>
      <c r="F241" t="s">
        <v>21</v>
      </c>
      <c r="G241" t="s">
        <v>13</v>
      </c>
      <c r="H241" s="2">
        <v>91788.4</v>
      </c>
    </row>
    <row r="242" spans="1:8">
      <c r="A242" t="s">
        <v>26</v>
      </c>
      <c r="B242" t="s">
        <v>27</v>
      </c>
      <c r="C242" t="s">
        <v>28</v>
      </c>
      <c r="D242" t="s">
        <v>29</v>
      </c>
      <c r="E242">
        <v>2002</v>
      </c>
      <c r="F242" t="s">
        <v>12</v>
      </c>
      <c r="G242" t="s">
        <v>17</v>
      </c>
      <c r="H242" s="2">
        <v>1260.81</v>
      </c>
    </row>
    <row r="243" spans="1:8">
      <c r="A243" t="s">
        <v>26</v>
      </c>
      <c r="B243" t="s">
        <v>27</v>
      </c>
      <c r="C243" t="s">
        <v>28</v>
      </c>
      <c r="D243" t="s">
        <v>29</v>
      </c>
      <c r="E243">
        <v>2002</v>
      </c>
      <c r="F243" t="s">
        <v>18</v>
      </c>
      <c r="G243" t="s">
        <v>15</v>
      </c>
      <c r="H243" s="2">
        <v>5072.79</v>
      </c>
    </row>
    <row r="244" spans="1:8">
      <c r="A244" t="s">
        <v>26</v>
      </c>
      <c r="B244" t="s">
        <v>27</v>
      </c>
      <c r="C244" t="s">
        <v>28</v>
      </c>
      <c r="D244" t="s">
        <v>29</v>
      </c>
      <c r="E244">
        <v>2002</v>
      </c>
      <c r="F244" t="s">
        <v>14</v>
      </c>
      <c r="G244" t="s">
        <v>19</v>
      </c>
      <c r="H244" s="2">
        <v>0</v>
      </c>
    </row>
    <row r="245" spans="1:8">
      <c r="A245" t="s">
        <v>26</v>
      </c>
      <c r="B245" t="s">
        <v>27</v>
      </c>
      <c r="C245" t="s">
        <v>28</v>
      </c>
      <c r="D245" t="s">
        <v>29</v>
      </c>
      <c r="E245">
        <v>2002</v>
      </c>
      <c r="F245" t="s">
        <v>16</v>
      </c>
      <c r="G245" t="s">
        <v>13</v>
      </c>
      <c r="H245" s="2">
        <v>1380.78</v>
      </c>
    </row>
    <row r="246" spans="1:8">
      <c r="A246" t="s">
        <v>26</v>
      </c>
      <c r="B246" t="s">
        <v>27</v>
      </c>
      <c r="C246" t="s">
        <v>28</v>
      </c>
      <c r="D246" t="s">
        <v>29</v>
      </c>
      <c r="E246">
        <v>2003</v>
      </c>
      <c r="F246" t="s">
        <v>12</v>
      </c>
      <c r="G246" t="s">
        <v>17</v>
      </c>
      <c r="H246" s="2">
        <v>1195.33</v>
      </c>
    </row>
    <row r="247" spans="1:8">
      <c r="A247" t="s">
        <v>26</v>
      </c>
      <c r="B247" t="s">
        <v>27</v>
      </c>
      <c r="C247" t="s">
        <v>28</v>
      </c>
      <c r="D247" t="s">
        <v>29</v>
      </c>
      <c r="E247">
        <v>2003</v>
      </c>
      <c r="F247" t="s">
        <v>20</v>
      </c>
      <c r="G247" t="s">
        <v>19</v>
      </c>
      <c r="H247" s="2">
        <v>0</v>
      </c>
    </row>
    <row r="248" spans="1:8">
      <c r="A248" t="s">
        <v>26</v>
      </c>
      <c r="B248" t="s">
        <v>27</v>
      </c>
      <c r="C248" t="s">
        <v>28</v>
      </c>
      <c r="D248" t="s">
        <v>29</v>
      </c>
      <c r="E248">
        <v>2004</v>
      </c>
      <c r="F248" t="s">
        <v>12</v>
      </c>
      <c r="G248" t="s">
        <v>15</v>
      </c>
      <c r="H248" s="2">
        <v>3040.09</v>
      </c>
    </row>
    <row r="249" spans="1:8">
      <c r="A249" t="s">
        <v>26</v>
      </c>
      <c r="B249" t="s">
        <v>27</v>
      </c>
      <c r="C249" t="s">
        <v>28</v>
      </c>
      <c r="D249" t="s">
        <v>29</v>
      </c>
      <c r="E249">
        <v>2005</v>
      </c>
      <c r="F249" t="s">
        <v>22</v>
      </c>
      <c r="G249" t="s">
        <v>13</v>
      </c>
      <c r="H249" s="2">
        <v>8864.2999999999993</v>
      </c>
    </row>
    <row r="250" spans="1:8">
      <c r="A250" t="s">
        <v>26</v>
      </c>
      <c r="B250" t="s">
        <v>27</v>
      </c>
      <c r="C250" t="s">
        <v>28</v>
      </c>
      <c r="D250" t="s">
        <v>29</v>
      </c>
      <c r="E250">
        <v>2005</v>
      </c>
      <c r="F250" t="s">
        <v>22</v>
      </c>
      <c r="G250" t="s">
        <v>19</v>
      </c>
      <c r="H250" s="2">
        <v>0</v>
      </c>
    </row>
    <row r="251" spans="1:8">
      <c r="A251" t="s">
        <v>26</v>
      </c>
      <c r="B251" t="s">
        <v>27</v>
      </c>
      <c r="C251" t="s">
        <v>28</v>
      </c>
      <c r="D251" t="s">
        <v>29</v>
      </c>
      <c r="E251">
        <v>2005</v>
      </c>
      <c r="F251" t="s">
        <v>18</v>
      </c>
      <c r="G251" t="s">
        <v>13</v>
      </c>
      <c r="H251" s="2">
        <v>98270.01</v>
      </c>
    </row>
    <row r="252" spans="1:8">
      <c r="A252" t="s">
        <v>26</v>
      </c>
      <c r="B252" t="s">
        <v>27</v>
      </c>
      <c r="C252" t="s">
        <v>28</v>
      </c>
      <c r="D252" t="s">
        <v>29</v>
      </c>
      <c r="E252">
        <v>2005</v>
      </c>
      <c r="F252" t="s">
        <v>20</v>
      </c>
      <c r="G252" t="s">
        <v>17</v>
      </c>
      <c r="H252" s="2">
        <v>-49.78</v>
      </c>
    </row>
    <row r="253" spans="1:8">
      <c r="A253" t="s">
        <v>26</v>
      </c>
      <c r="B253" t="s">
        <v>27</v>
      </c>
      <c r="C253" t="s">
        <v>28</v>
      </c>
      <c r="D253" t="s">
        <v>29</v>
      </c>
      <c r="E253">
        <v>2005</v>
      </c>
      <c r="F253" t="s">
        <v>21</v>
      </c>
      <c r="G253" t="s">
        <v>13</v>
      </c>
      <c r="H253" s="2">
        <v>115408.89</v>
      </c>
    </row>
    <row r="254" spans="1:8">
      <c r="A254" t="s">
        <v>26</v>
      </c>
      <c r="B254" t="s">
        <v>27</v>
      </c>
      <c r="C254" t="s">
        <v>28</v>
      </c>
      <c r="D254" t="s">
        <v>29</v>
      </c>
      <c r="E254">
        <v>2006</v>
      </c>
      <c r="F254" t="s">
        <v>14</v>
      </c>
      <c r="G254" t="s">
        <v>19</v>
      </c>
      <c r="H254" s="2">
        <v>0</v>
      </c>
    </row>
    <row r="255" spans="1:8">
      <c r="A255" t="s">
        <v>26</v>
      </c>
      <c r="B255" t="s">
        <v>27</v>
      </c>
      <c r="C255" t="s">
        <v>28</v>
      </c>
      <c r="D255" t="s">
        <v>29</v>
      </c>
      <c r="E255">
        <v>2007</v>
      </c>
      <c r="F255" t="s">
        <v>22</v>
      </c>
      <c r="G255" t="s">
        <v>17</v>
      </c>
      <c r="H255" s="2">
        <v>15583.39</v>
      </c>
    </row>
    <row r="256" spans="1:8">
      <c r="A256" t="s">
        <v>26</v>
      </c>
      <c r="B256" t="s">
        <v>27</v>
      </c>
      <c r="C256" t="s">
        <v>28</v>
      </c>
      <c r="D256" t="s">
        <v>29</v>
      </c>
      <c r="E256">
        <v>2007</v>
      </c>
      <c r="F256" t="s">
        <v>12</v>
      </c>
      <c r="G256" t="s">
        <v>13</v>
      </c>
      <c r="H256" s="2">
        <v>39388.449999999997</v>
      </c>
    </row>
    <row r="257" spans="1:8">
      <c r="A257" t="s">
        <v>26</v>
      </c>
      <c r="B257" t="s">
        <v>27</v>
      </c>
      <c r="C257" t="s">
        <v>28</v>
      </c>
      <c r="D257" t="s">
        <v>29</v>
      </c>
      <c r="E257">
        <v>2007</v>
      </c>
      <c r="F257" t="s">
        <v>14</v>
      </c>
      <c r="G257" t="s">
        <v>15</v>
      </c>
      <c r="H257" s="2">
        <v>1721.33</v>
      </c>
    </row>
    <row r="258" spans="1:8">
      <c r="A258" t="s">
        <v>26</v>
      </c>
      <c r="B258" t="s">
        <v>27</v>
      </c>
      <c r="C258" t="s">
        <v>28</v>
      </c>
      <c r="D258" t="s">
        <v>29</v>
      </c>
      <c r="E258">
        <v>2008</v>
      </c>
      <c r="F258" t="s">
        <v>21</v>
      </c>
      <c r="G258" t="s">
        <v>17</v>
      </c>
      <c r="H258" s="2">
        <v>1369.06</v>
      </c>
    </row>
    <row r="259" spans="1:8">
      <c r="A259" t="s">
        <v>26</v>
      </c>
      <c r="B259" t="s">
        <v>27</v>
      </c>
      <c r="C259" t="s">
        <v>28</v>
      </c>
      <c r="D259" t="s">
        <v>29</v>
      </c>
      <c r="E259">
        <v>2009</v>
      </c>
      <c r="F259" t="s">
        <v>20</v>
      </c>
      <c r="G259" t="s">
        <v>15</v>
      </c>
      <c r="H259" s="2">
        <v>-49.96</v>
      </c>
    </row>
    <row r="260" spans="1:8">
      <c r="A260" t="s">
        <v>26</v>
      </c>
      <c r="B260" t="s">
        <v>27</v>
      </c>
      <c r="C260" t="s">
        <v>28</v>
      </c>
      <c r="D260" t="s">
        <v>29</v>
      </c>
      <c r="E260">
        <v>2009</v>
      </c>
      <c r="F260" t="s">
        <v>21</v>
      </c>
      <c r="G260" t="s">
        <v>13</v>
      </c>
      <c r="H260" s="2">
        <v>121472.51</v>
      </c>
    </row>
    <row r="261" spans="1:8">
      <c r="A261" t="s">
        <v>26</v>
      </c>
      <c r="B261" t="s">
        <v>27</v>
      </c>
      <c r="C261" t="s">
        <v>28</v>
      </c>
      <c r="D261" t="s">
        <v>29</v>
      </c>
      <c r="E261">
        <v>2009</v>
      </c>
      <c r="F261" t="s">
        <v>16</v>
      </c>
      <c r="G261" t="s">
        <v>15</v>
      </c>
      <c r="H261" s="2">
        <v>8283.77</v>
      </c>
    </row>
    <row r="262" spans="1:8">
      <c r="A262" t="s">
        <v>26</v>
      </c>
      <c r="B262" t="s">
        <v>27</v>
      </c>
      <c r="C262" t="s">
        <v>28</v>
      </c>
      <c r="D262" t="s">
        <v>29</v>
      </c>
      <c r="E262">
        <v>2010</v>
      </c>
      <c r="F262" t="s">
        <v>12</v>
      </c>
      <c r="G262" t="s">
        <v>17</v>
      </c>
      <c r="H262" s="2">
        <v>1298.93</v>
      </c>
    </row>
    <row r="263" spans="1:8">
      <c r="A263" t="s">
        <v>26</v>
      </c>
      <c r="B263" t="s">
        <v>27</v>
      </c>
      <c r="C263" t="s">
        <v>28</v>
      </c>
      <c r="D263" t="s">
        <v>29</v>
      </c>
      <c r="E263">
        <v>2012</v>
      </c>
      <c r="F263" t="s">
        <v>18</v>
      </c>
      <c r="G263" t="s">
        <v>17</v>
      </c>
      <c r="H263" s="2">
        <v>4604.1000000000004</v>
      </c>
    </row>
    <row r="264" spans="1:8">
      <c r="A264" t="s">
        <v>26</v>
      </c>
      <c r="B264" t="s">
        <v>27</v>
      </c>
      <c r="C264" t="s">
        <v>28</v>
      </c>
      <c r="D264" t="s">
        <v>29</v>
      </c>
      <c r="E264">
        <v>2013</v>
      </c>
      <c r="F264" t="s">
        <v>14</v>
      </c>
      <c r="G264" t="s">
        <v>17</v>
      </c>
      <c r="H264" s="2">
        <v>1138.18</v>
      </c>
    </row>
    <row r="265" spans="1:8">
      <c r="A265" t="s">
        <v>26</v>
      </c>
      <c r="B265" t="s">
        <v>27</v>
      </c>
      <c r="C265" t="s">
        <v>28</v>
      </c>
      <c r="D265" t="s">
        <v>29</v>
      </c>
      <c r="E265">
        <v>2013</v>
      </c>
      <c r="F265" t="s">
        <v>21</v>
      </c>
      <c r="G265" t="s">
        <v>15</v>
      </c>
      <c r="H265" s="2">
        <v>2291.65</v>
      </c>
    </row>
    <row r="266" spans="1:8">
      <c r="A266" t="s">
        <v>26</v>
      </c>
      <c r="B266" t="s">
        <v>27</v>
      </c>
      <c r="C266" t="s">
        <v>28</v>
      </c>
      <c r="D266" t="s">
        <v>29</v>
      </c>
      <c r="E266">
        <v>2014</v>
      </c>
      <c r="F266" t="s">
        <v>22</v>
      </c>
      <c r="G266" t="s">
        <v>17</v>
      </c>
      <c r="H266" s="2">
        <v>16495.86</v>
      </c>
    </row>
    <row r="267" spans="1:8">
      <c r="A267" t="s">
        <v>26</v>
      </c>
      <c r="B267" t="s">
        <v>27</v>
      </c>
      <c r="C267" t="s">
        <v>28</v>
      </c>
      <c r="D267" t="s">
        <v>29</v>
      </c>
      <c r="E267">
        <v>2014</v>
      </c>
      <c r="F267" t="s">
        <v>18</v>
      </c>
      <c r="G267" t="s">
        <v>13</v>
      </c>
      <c r="H267" s="2">
        <v>89068.95</v>
      </c>
    </row>
    <row r="268" spans="1:8">
      <c r="A268" t="s">
        <v>26</v>
      </c>
      <c r="B268" t="s">
        <v>27</v>
      </c>
      <c r="C268" t="s">
        <v>28</v>
      </c>
      <c r="D268" t="s">
        <v>29</v>
      </c>
      <c r="E268">
        <v>2015</v>
      </c>
      <c r="F268" t="s">
        <v>12</v>
      </c>
      <c r="G268" t="s">
        <v>15</v>
      </c>
      <c r="H268" s="2">
        <v>2653.43</v>
      </c>
    </row>
    <row r="269" spans="1:8">
      <c r="A269" t="s">
        <v>26</v>
      </c>
      <c r="B269" t="s">
        <v>27</v>
      </c>
      <c r="C269" t="s">
        <v>28</v>
      </c>
      <c r="D269" t="s">
        <v>29</v>
      </c>
      <c r="E269">
        <v>2015</v>
      </c>
      <c r="F269" t="s">
        <v>18</v>
      </c>
      <c r="G269" t="s">
        <v>15</v>
      </c>
      <c r="H269" s="2">
        <v>4930.76</v>
      </c>
    </row>
    <row r="270" spans="1:8">
      <c r="A270" t="s">
        <v>26</v>
      </c>
      <c r="B270" t="s">
        <v>27</v>
      </c>
      <c r="C270" t="s">
        <v>28</v>
      </c>
      <c r="D270" t="s">
        <v>29</v>
      </c>
      <c r="E270">
        <v>2015</v>
      </c>
      <c r="F270" t="s">
        <v>21</v>
      </c>
      <c r="G270" t="s">
        <v>13</v>
      </c>
      <c r="H270" s="2">
        <v>113496.59</v>
      </c>
    </row>
    <row r="271" spans="1:8">
      <c r="A271" t="s">
        <v>26</v>
      </c>
      <c r="B271" t="s">
        <v>27</v>
      </c>
      <c r="C271" t="s">
        <v>28</v>
      </c>
      <c r="D271" t="s">
        <v>29</v>
      </c>
      <c r="E271">
        <v>2016</v>
      </c>
      <c r="F271" t="s">
        <v>14</v>
      </c>
      <c r="G271" t="s">
        <v>19</v>
      </c>
      <c r="H271" s="2">
        <v>0</v>
      </c>
    </row>
    <row r="272" spans="1:8">
      <c r="A272" t="s">
        <v>26</v>
      </c>
      <c r="B272" t="s">
        <v>27</v>
      </c>
      <c r="C272" t="s">
        <v>28</v>
      </c>
      <c r="D272" t="s">
        <v>29</v>
      </c>
      <c r="E272">
        <v>2016</v>
      </c>
      <c r="F272" t="s">
        <v>16</v>
      </c>
      <c r="G272" t="s">
        <v>17</v>
      </c>
      <c r="H272" s="2">
        <v>466.13</v>
      </c>
    </row>
    <row r="273" spans="1:8">
      <c r="A273" t="s">
        <v>26</v>
      </c>
      <c r="B273" t="s">
        <v>27</v>
      </c>
      <c r="C273" t="s">
        <v>28</v>
      </c>
      <c r="D273" t="s">
        <v>29</v>
      </c>
      <c r="E273">
        <v>2017</v>
      </c>
      <c r="F273" t="s">
        <v>12</v>
      </c>
      <c r="G273" t="s">
        <v>17</v>
      </c>
      <c r="H273" s="2">
        <v>1056.56</v>
      </c>
    </row>
    <row r="274" spans="1:8">
      <c r="A274" t="s">
        <v>26</v>
      </c>
      <c r="B274" t="s">
        <v>27</v>
      </c>
      <c r="C274" t="s">
        <v>28</v>
      </c>
      <c r="D274" t="s">
        <v>29</v>
      </c>
      <c r="E274">
        <v>2017</v>
      </c>
      <c r="F274" t="s">
        <v>18</v>
      </c>
      <c r="G274" t="s">
        <v>13</v>
      </c>
      <c r="H274" s="2">
        <v>68027.58</v>
      </c>
    </row>
    <row r="275" spans="1:8">
      <c r="A275" t="s">
        <v>26</v>
      </c>
      <c r="B275" t="s">
        <v>27</v>
      </c>
      <c r="C275" t="s">
        <v>28</v>
      </c>
      <c r="D275" t="s">
        <v>29</v>
      </c>
      <c r="E275">
        <v>2017</v>
      </c>
      <c r="F275" t="s">
        <v>18</v>
      </c>
      <c r="G275" t="s">
        <v>17</v>
      </c>
      <c r="H275" s="2">
        <v>4325.7299999999996</v>
      </c>
    </row>
    <row r="276" spans="1:8">
      <c r="A276" t="s">
        <v>26</v>
      </c>
      <c r="B276" t="s">
        <v>27</v>
      </c>
      <c r="C276" t="s">
        <v>28</v>
      </c>
      <c r="D276" t="s">
        <v>29</v>
      </c>
      <c r="E276">
        <v>2017</v>
      </c>
      <c r="F276" t="s">
        <v>20</v>
      </c>
      <c r="G276" t="s">
        <v>15</v>
      </c>
      <c r="H276" s="2">
        <v>-40.479999999999997</v>
      </c>
    </row>
    <row r="277" spans="1:8">
      <c r="A277" t="s">
        <v>26</v>
      </c>
      <c r="B277" t="s">
        <v>27</v>
      </c>
      <c r="C277" t="s">
        <v>28</v>
      </c>
      <c r="D277" t="s">
        <v>29</v>
      </c>
      <c r="E277">
        <v>2017</v>
      </c>
      <c r="F277" t="s">
        <v>21</v>
      </c>
      <c r="G277" t="s">
        <v>13</v>
      </c>
      <c r="H277" s="2">
        <v>89468.800000000003</v>
      </c>
    </row>
    <row r="278" spans="1:8">
      <c r="A278" t="s">
        <v>26</v>
      </c>
      <c r="B278" t="s">
        <v>27</v>
      </c>
      <c r="C278" t="s">
        <v>28</v>
      </c>
      <c r="D278" t="s">
        <v>29</v>
      </c>
      <c r="E278">
        <v>2017</v>
      </c>
      <c r="F278" t="s">
        <v>16</v>
      </c>
      <c r="G278" t="s">
        <v>13</v>
      </c>
      <c r="H278" s="2">
        <v>1075.3499999999999</v>
      </c>
    </row>
    <row r="279" spans="1:8">
      <c r="A279" t="s">
        <v>26</v>
      </c>
      <c r="B279" t="s">
        <v>27</v>
      </c>
      <c r="C279" t="s">
        <v>28</v>
      </c>
      <c r="D279" t="s">
        <v>29</v>
      </c>
      <c r="E279">
        <v>2017</v>
      </c>
      <c r="F279" t="s">
        <v>16</v>
      </c>
      <c r="G279" t="s">
        <v>19</v>
      </c>
      <c r="H279" s="2">
        <v>0</v>
      </c>
    </row>
    <row r="280" spans="1:8">
      <c r="A280" t="s">
        <v>26</v>
      </c>
      <c r="B280" t="s">
        <v>27</v>
      </c>
      <c r="C280" t="s">
        <v>28</v>
      </c>
      <c r="D280" t="s">
        <v>29</v>
      </c>
      <c r="E280">
        <v>2017</v>
      </c>
      <c r="F280" t="s">
        <v>16</v>
      </c>
      <c r="G280" t="s">
        <v>17</v>
      </c>
      <c r="H280" s="2">
        <v>388.94</v>
      </c>
    </row>
    <row r="281" spans="1:8">
      <c r="A281" t="s">
        <v>26</v>
      </c>
      <c r="B281" t="s">
        <v>27</v>
      </c>
      <c r="C281" t="s">
        <v>28</v>
      </c>
      <c r="D281" t="s">
        <v>29</v>
      </c>
      <c r="E281">
        <v>2018</v>
      </c>
      <c r="F281" t="s">
        <v>22</v>
      </c>
      <c r="G281" t="s">
        <v>15</v>
      </c>
      <c r="H281" s="2">
        <v>45902.71</v>
      </c>
    </row>
    <row r="282" spans="1:8">
      <c r="A282" t="s">
        <v>26</v>
      </c>
      <c r="B282" t="s">
        <v>27</v>
      </c>
      <c r="C282" t="s">
        <v>28</v>
      </c>
      <c r="D282" t="s">
        <v>29</v>
      </c>
      <c r="E282">
        <v>2018</v>
      </c>
      <c r="F282" t="s">
        <v>18</v>
      </c>
      <c r="G282" t="s">
        <v>13</v>
      </c>
      <c r="H282" s="2">
        <v>73064.850000000006</v>
      </c>
    </row>
    <row r="283" spans="1:8">
      <c r="A283" t="s">
        <v>26</v>
      </c>
      <c r="B283" t="s">
        <v>27</v>
      </c>
      <c r="C283" t="s">
        <v>28</v>
      </c>
      <c r="D283" t="s">
        <v>29</v>
      </c>
      <c r="E283">
        <v>2018</v>
      </c>
      <c r="F283" t="s">
        <v>20</v>
      </c>
      <c r="G283" t="s">
        <v>15</v>
      </c>
      <c r="H283" s="2">
        <v>-40.68</v>
      </c>
    </row>
    <row r="284" spans="1:8">
      <c r="A284" t="s">
        <v>26</v>
      </c>
      <c r="B284" t="s">
        <v>27</v>
      </c>
      <c r="C284" t="s">
        <v>28</v>
      </c>
      <c r="D284" t="s">
        <v>29</v>
      </c>
      <c r="E284">
        <v>2018</v>
      </c>
      <c r="F284" t="s">
        <v>21</v>
      </c>
      <c r="G284" t="s">
        <v>13</v>
      </c>
      <c r="H284" s="2">
        <v>95721.43</v>
      </c>
    </row>
    <row r="285" spans="1:8">
      <c r="A285" t="s">
        <v>26</v>
      </c>
      <c r="B285" t="s">
        <v>27</v>
      </c>
      <c r="C285" t="s">
        <v>28</v>
      </c>
      <c r="D285" t="s">
        <v>29</v>
      </c>
      <c r="E285">
        <v>2019</v>
      </c>
      <c r="F285" t="s">
        <v>18</v>
      </c>
      <c r="G285" t="s">
        <v>17</v>
      </c>
      <c r="H285" s="2">
        <v>4089.27</v>
      </c>
    </row>
    <row r="286" spans="1:8">
      <c r="A286" t="s">
        <v>26</v>
      </c>
      <c r="B286" t="s">
        <v>27</v>
      </c>
      <c r="C286" t="s">
        <v>28</v>
      </c>
      <c r="D286" t="s">
        <v>29</v>
      </c>
      <c r="E286">
        <v>2019</v>
      </c>
      <c r="F286" t="s">
        <v>21</v>
      </c>
      <c r="G286" t="s">
        <v>13</v>
      </c>
      <c r="H286" s="2">
        <v>97673.19</v>
      </c>
    </row>
    <row r="287" spans="1:8">
      <c r="A287" t="s">
        <v>26</v>
      </c>
      <c r="B287" t="s">
        <v>27</v>
      </c>
      <c r="C287" t="s">
        <v>28</v>
      </c>
      <c r="D287" t="s">
        <v>29</v>
      </c>
      <c r="E287">
        <v>2019</v>
      </c>
      <c r="F287" t="s">
        <v>21</v>
      </c>
      <c r="G287" t="s">
        <v>17</v>
      </c>
      <c r="H287" s="2">
        <v>900.33</v>
      </c>
    </row>
    <row r="288" spans="1:8">
      <c r="A288" t="s">
        <v>26</v>
      </c>
      <c r="B288" t="s">
        <v>27</v>
      </c>
      <c r="C288" t="s">
        <v>28</v>
      </c>
      <c r="D288" t="s">
        <v>29</v>
      </c>
      <c r="E288">
        <v>2020</v>
      </c>
      <c r="F288" t="s">
        <v>22</v>
      </c>
      <c r="G288" t="s">
        <v>17</v>
      </c>
      <c r="H288" s="2">
        <v>12986.44</v>
      </c>
    </row>
    <row r="289" spans="1:8">
      <c r="A289" t="s">
        <v>26</v>
      </c>
      <c r="B289" t="s">
        <v>27</v>
      </c>
      <c r="C289" t="s">
        <v>28</v>
      </c>
      <c r="D289" t="s">
        <v>29</v>
      </c>
      <c r="E289">
        <v>2020</v>
      </c>
      <c r="F289" t="s">
        <v>18</v>
      </c>
      <c r="G289" t="s">
        <v>19</v>
      </c>
      <c r="H289" s="2">
        <v>4512.3500000000004</v>
      </c>
    </row>
    <row r="290" spans="1:8">
      <c r="A290" t="s">
        <v>26</v>
      </c>
      <c r="B290" t="s">
        <v>27</v>
      </c>
      <c r="C290" t="s">
        <v>28</v>
      </c>
      <c r="D290" t="s">
        <v>29</v>
      </c>
      <c r="E290">
        <v>2020</v>
      </c>
      <c r="F290" t="s">
        <v>21</v>
      </c>
      <c r="G290" t="s">
        <v>13</v>
      </c>
      <c r="H290" s="2">
        <v>90361.67</v>
      </c>
    </row>
    <row r="291" spans="1:8">
      <c r="A291" t="s">
        <v>26</v>
      </c>
      <c r="B291" t="s">
        <v>27</v>
      </c>
      <c r="C291" t="s">
        <v>28</v>
      </c>
      <c r="D291" t="s">
        <v>29</v>
      </c>
      <c r="E291">
        <v>2020</v>
      </c>
      <c r="F291" t="s">
        <v>21</v>
      </c>
      <c r="G291" t="s">
        <v>17</v>
      </c>
      <c r="H291" s="2">
        <v>1032.6199999999999</v>
      </c>
    </row>
    <row r="292" spans="1:8">
      <c r="A292" t="s">
        <v>26</v>
      </c>
      <c r="B292" t="s">
        <v>27</v>
      </c>
      <c r="C292" t="s">
        <v>28</v>
      </c>
      <c r="D292" t="s">
        <v>29</v>
      </c>
      <c r="E292">
        <v>2020</v>
      </c>
      <c r="F292" t="s">
        <v>16</v>
      </c>
      <c r="G292" t="s">
        <v>13</v>
      </c>
      <c r="H292" s="2">
        <v>1199.05</v>
      </c>
    </row>
    <row r="293" spans="1:8">
      <c r="A293" t="s">
        <v>26</v>
      </c>
      <c r="B293" t="s">
        <v>27</v>
      </c>
      <c r="C293" t="s">
        <v>28</v>
      </c>
      <c r="D293" t="s">
        <v>29</v>
      </c>
      <c r="E293">
        <v>2021</v>
      </c>
      <c r="F293" t="s">
        <v>22</v>
      </c>
      <c r="G293" t="s">
        <v>13</v>
      </c>
      <c r="H293" s="2">
        <v>6493.23</v>
      </c>
    </row>
    <row r="294" spans="1:8">
      <c r="A294" t="s">
        <v>26</v>
      </c>
      <c r="B294" t="s">
        <v>27</v>
      </c>
      <c r="C294" t="s">
        <v>28</v>
      </c>
      <c r="D294" t="s">
        <v>29</v>
      </c>
      <c r="E294">
        <v>2022</v>
      </c>
      <c r="F294" t="s">
        <v>22</v>
      </c>
      <c r="G294" t="s">
        <v>15</v>
      </c>
      <c r="H294" s="2">
        <v>47126.28</v>
      </c>
    </row>
    <row r="295" spans="1:8">
      <c r="A295" t="s">
        <v>26</v>
      </c>
      <c r="B295" t="s">
        <v>27</v>
      </c>
      <c r="C295" t="s">
        <v>28</v>
      </c>
      <c r="D295" t="s">
        <v>29</v>
      </c>
      <c r="E295">
        <v>2022</v>
      </c>
      <c r="F295" t="s">
        <v>22</v>
      </c>
      <c r="G295" t="s">
        <v>13</v>
      </c>
      <c r="H295" s="2">
        <v>6814.32</v>
      </c>
    </row>
    <row r="296" spans="1:8">
      <c r="A296" t="s">
        <v>26</v>
      </c>
      <c r="B296" t="s">
        <v>27</v>
      </c>
      <c r="C296" t="s">
        <v>28</v>
      </c>
      <c r="D296" t="s">
        <v>29</v>
      </c>
      <c r="E296">
        <v>2022</v>
      </c>
      <c r="F296" t="s">
        <v>22</v>
      </c>
      <c r="G296" t="s">
        <v>17</v>
      </c>
      <c r="H296" s="2">
        <v>13250.95</v>
      </c>
    </row>
    <row r="297" spans="1:8">
      <c r="A297" t="s">
        <v>26</v>
      </c>
      <c r="B297" t="s">
        <v>27</v>
      </c>
      <c r="C297" t="s">
        <v>28</v>
      </c>
      <c r="D297" t="s">
        <v>29</v>
      </c>
      <c r="E297">
        <v>2022</v>
      </c>
      <c r="F297" t="s">
        <v>12</v>
      </c>
      <c r="G297" t="s">
        <v>17</v>
      </c>
      <c r="H297" s="2">
        <v>925.5</v>
      </c>
    </row>
    <row r="298" spans="1:8">
      <c r="A298" t="s">
        <v>26</v>
      </c>
      <c r="B298" t="s">
        <v>27</v>
      </c>
      <c r="C298" t="s">
        <v>28</v>
      </c>
      <c r="D298" t="s">
        <v>29</v>
      </c>
      <c r="E298">
        <v>2022</v>
      </c>
      <c r="F298" t="s">
        <v>20</v>
      </c>
      <c r="G298" t="s">
        <v>15</v>
      </c>
      <c r="H298" s="2">
        <v>-45.04</v>
      </c>
    </row>
    <row r="299" spans="1:8">
      <c r="A299" t="s">
        <v>26</v>
      </c>
      <c r="B299" t="s">
        <v>27</v>
      </c>
      <c r="C299" t="s">
        <v>28</v>
      </c>
      <c r="D299" t="s">
        <v>29</v>
      </c>
      <c r="E299">
        <v>2022</v>
      </c>
      <c r="F299" t="s">
        <v>21</v>
      </c>
      <c r="G299" t="s">
        <v>13</v>
      </c>
      <c r="H299" s="2">
        <v>96326.35</v>
      </c>
    </row>
    <row r="300" spans="1:8">
      <c r="A300" t="s">
        <v>26</v>
      </c>
      <c r="B300" t="s">
        <v>27</v>
      </c>
      <c r="C300" t="s">
        <v>28</v>
      </c>
      <c r="D300" t="s">
        <v>29</v>
      </c>
      <c r="E300">
        <v>2022</v>
      </c>
      <c r="F300" t="s">
        <v>16</v>
      </c>
      <c r="G300" t="s">
        <v>19</v>
      </c>
      <c r="H300" s="2">
        <v>0</v>
      </c>
    </row>
    <row r="301" spans="1:8">
      <c r="A301" t="s">
        <v>26</v>
      </c>
      <c r="B301" t="s">
        <v>27</v>
      </c>
      <c r="C301" t="s">
        <v>28</v>
      </c>
      <c r="D301" t="s">
        <v>29</v>
      </c>
      <c r="E301">
        <v>2022</v>
      </c>
      <c r="F301" t="s">
        <v>16</v>
      </c>
      <c r="G301" t="s">
        <v>17</v>
      </c>
      <c r="H301" s="2">
        <v>388.09</v>
      </c>
    </row>
    <row r="302" spans="1:8">
      <c r="A302" t="s">
        <v>26</v>
      </c>
      <c r="B302" t="s">
        <v>27</v>
      </c>
      <c r="C302" t="s">
        <v>28</v>
      </c>
      <c r="D302" t="s">
        <v>29</v>
      </c>
      <c r="E302">
        <v>2023</v>
      </c>
      <c r="F302" t="s">
        <v>12</v>
      </c>
      <c r="G302" t="s">
        <v>15</v>
      </c>
      <c r="H302" s="2">
        <v>2210.62</v>
      </c>
    </row>
    <row r="303" spans="1:8">
      <c r="A303" t="s">
        <v>26</v>
      </c>
      <c r="B303" t="s">
        <v>27</v>
      </c>
      <c r="C303" t="s">
        <v>28</v>
      </c>
      <c r="D303" t="s">
        <v>29</v>
      </c>
      <c r="E303">
        <v>2023</v>
      </c>
      <c r="F303" t="s">
        <v>21</v>
      </c>
      <c r="G303" t="s">
        <v>17</v>
      </c>
      <c r="H303" s="2">
        <v>886.55</v>
      </c>
    </row>
    <row r="304" spans="1:8">
      <c r="A304" t="s">
        <v>26</v>
      </c>
      <c r="B304" t="s">
        <v>27</v>
      </c>
      <c r="C304" t="s">
        <v>28</v>
      </c>
      <c r="D304" t="s">
        <v>29</v>
      </c>
      <c r="E304">
        <v>2023</v>
      </c>
      <c r="F304" t="s">
        <v>16</v>
      </c>
      <c r="G304" t="s">
        <v>13</v>
      </c>
      <c r="H304" s="2">
        <v>1030.96</v>
      </c>
    </row>
    <row r="305" spans="1:8">
      <c r="A305" t="s">
        <v>26</v>
      </c>
      <c r="B305" t="s">
        <v>27</v>
      </c>
      <c r="C305" t="s">
        <v>28</v>
      </c>
      <c r="D305" t="s">
        <v>29</v>
      </c>
      <c r="E305">
        <v>2024</v>
      </c>
      <c r="F305" t="s">
        <v>12</v>
      </c>
      <c r="G305" t="s">
        <v>15</v>
      </c>
      <c r="H305" s="2">
        <v>2469.75</v>
      </c>
    </row>
    <row r="306" spans="1:8">
      <c r="A306" t="s">
        <v>26</v>
      </c>
      <c r="B306" t="s">
        <v>27</v>
      </c>
      <c r="C306" t="s">
        <v>28</v>
      </c>
      <c r="D306" t="s">
        <v>29</v>
      </c>
      <c r="E306">
        <v>2024</v>
      </c>
      <c r="F306" t="s">
        <v>12</v>
      </c>
      <c r="G306" t="s">
        <v>13</v>
      </c>
      <c r="H306" s="2">
        <v>27116.98</v>
      </c>
    </row>
    <row r="307" spans="1:8">
      <c r="A307" t="s">
        <v>26</v>
      </c>
      <c r="B307" t="s">
        <v>27</v>
      </c>
      <c r="C307" t="s">
        <v>28</v>
      </c>
      <c r="D307" t="s">
        <v>29</v>
      </c>
      <c r="E307">
        <v>2024</v>
      </c>
      <c r="F307" t="s">
        <v>18</v>
      </c>
      <c r="G307" t="s">
        <v>15</v>
      </c>
      <c r="H307" s="2">
        <v>4141.22</v>
      </c>
    </row>
    <row r="308" spans="1:8">
      <c r="A308" t="s">
        <v>30</v>
      </c>
      <c r="B308" t="s">
        <v>31</v>
      </c>
      <c r="C308" t="s">
        <v>32</v>
      </c>
      <c r="D308" t="s">
        <v>33</v>
      </c>
      <c r="E308">
        <v>1990</v>
      </c>
      <c r="F308" t="s">
        <v>12</v>
      </c>
      <c r="G308" t="s">
        <v>15</v>
      </c>
      <c r="H308" s="2">
        <v>898.04</v>
      </c>
    </row>
    <row r="309" spans="1:8">
      <c r="A309" t="s">
        <v>30</v>
      </c>
      <c r="B309" t="s">
        <v>31</v>
      </c>
      <c r="C309" t="s">
        <v>32</v>
      </c>
      <c r="D309" t="s">
        <v>33</v>
      </c>
      <c r="E309">
        <v>1990</v>
      </c>
      <c r="F309" t="s">
        <v>12</v>
      </c>
      <c r="G309" t="s">
        <v>17</v>
      </c>
      <c r="H309" s="2">
        <v>392.68</v>
      </c>
    </row>
    <row r="310" spans="1:8">
      <c r="A310" t="s">
        <v>30</v>
      </c>
      <c r="B310" t="s">
        <v>31</v>
      </c>
      <c r="C310" t="s">
        <v>32</v>
      </c>
      <c r="D310" t="s">
        <v>33</v>
      </c>
      <c r="E310">
        <v>1990</v>
      </c>
      <c r="F310" t="s">
        <v>20</v>
      </c>
      <c r="G310" t="s">
        <v>17</v>
      </c>
      <c r="H310" s="2">
        <v>15.79</v>
      </c>
    </row>
    <row r="311" spans="1:8">
      <c r="A311" t="s">
        <v>30</v>
      </c>
      <c r="B311" t="s">
        <v>31</v>
      </c>
      <c r="C311" t="s">
        <v>32</v>
      </c>
      <c r="D311" t="s">
        <v>33</v>
      </c>
      <c r="E311">
        <v>1990</v>
      </c>
      <c r="F311" t="s">
        <v>14</v>
      </c>
      <c r="G311" t="s">
        <v>15</v>
      </c>
      <c r="H311" s="2">
        <v>169.31</v>
      </c>
    </row>
    <row r="312" spans="1:8">
      <c r="A312" t="s">
        <v>30</v>
      </c>
      <c r="B312" t="s">
        <v>31</v>
      </c>
      <c r="C312" t="s">
        <v>32</v>
      </c>
      <c r="D312" t="s">
        <v>33</v>
      </c>
      <c r="E312">
        <v>1991</v>
      </c>
      <c r="F312" t="s">
        <v>14</v>
      </c>
      <c r="G312" t="s">
        <v>13</v>
      </c>
      <c r="H312" s="2">
        <v>5222.2299999999996</v>
      </c>
    </row>
    <row r="313" spans="1:8">
      <c r="A313" t="s">
        <v>30</v>
      </c>
      <c r="B313" t="s">
        <v>31</v>
      </c>
      <c r="C313" t="s">
        <v>32</v>
      </c>
      <c r="D313" t="s">
        <v>33</v>
      </c>
      <c r="E313">
        <v>1992</v>
      </c>
      <c r="F313" t="s">
        <v>22</v>
      </c>
      <c r="G313" t="s">
        <v>13</v>
      </c>
      <c r="H313" s="2">
        <v>1217.1500000000001</v>
      </c>
    </row>
    <row r="314" spans="1:8">
      <c r="A314" t="s">
        <v>30</v>
      </c>
      <c r="B314" t="s">
        <v>31</v>
      </c>
      <c r="C314" t="s">
        <v>32</v>
      </c>
      <c r="D314" t="s">
        <v>33</v>
      </c>
      <c r="E314">
        <v>1992</v>
      </c>
      <c r="F314" t="s">
        <v>12</v>
      </c>
      <c r="G314" t="s">
        <v>17</v>
      </c>
      <c r="H314" s="2">
        <v>377.96</v>
      </c>
    </row>
    <row r="315" spans="1:8">
      <c r="A315" t="s">
        <v>30</v>
      </c>
      <c r="B315" t="s">
        <v>31</v>
      </c>
      <c r="C315" t="s">
        <v>32</v>
      </c>
      <c r="D315" t="s">
        <v>33</v>
      </c>
      <c r="E315">
        <v>1992</v>
      </c>
      <c r="F315" t="s">
        <v>18</v>
      </c>
      <c r="G315" t="s">
        <v>19</v>
      </c>
      <c r="H315" s="2">
        <v>1859.47</v>
      </c>
    </row>
    <row r="316" spans="1:8">
      <c r="A316" t="s">
        <v>30</v>
      </c>
      <c r="B316" t="s">
        <v>31</v>
      </c>
      <c r="C316" t="s">
        <v>32</v>
      </c>
      <c r="D316" t="s">
        <v>33</v>
      </c>
      <c r="E316">
        <v>1992</v>
      </c>
      <c r="F316" t="s">
        <v>18</v>
      </c>
      <c r="G316" t="s">
        <v>17</v>
      </c>
      <c r="H316" s="2">
        <v>1818.75</v>
      </c>
    </row>
    <row r="317" spans="1:8">
      <c r="A317" t="s">
        <v>30</v>
      </c>
      <c r="B317" t="s">
        <v>31</v>
      </c>
      <c r="C317" t="s">
        <v>32</v>
      </c>
      <c r="D317" t="s">
        <v>33</v>
      </c>
      <c r="E317">
        <v>1992</v>
      </c>
      <c r="F317" t="s">
        <v>14</v>
      </c>
      <c r="G317" t="s">
        <v>15</v>
      </c>
      <c r="H317" s="2">
        <v>196.23</v>
      </c>
    </row>
    <row r="318" spans="1:8">
      <c r="A318" t="s">
        <v>30</v>
      </c>
      <c r="B318" t="s">
        <v>31</v>
      </c>
      <c r="C318" t="s">
        <v>32</v>
      </c>
      <c r="D318" t="s">
        <v>33</v>
      </c>
      <c r="E318">
        <v>1993</v>
      </c>
      <c r="F318" t="s">
        <v>18</v>
      </c>
      <c r="G318" t="s">
        <v>17</v>
      </c>
      <c r="H318" s="2">
        <v>1971.47</v>
      </c>
    </row>
    <row r="319" spans="1:8">
      <c r="A319" t="s">
        <v>30</v>
      </c>
      <c r="B319" t="s">
        <v>31</v>
      </c>
      <c r="C319" t="s">
        <v>32</v>
      </c>
      <c r="D319" t="s">
        <v>33</v>
      </c>
      <c r="E319">
        <v>1993</v>
      </c>
      <c r="F319" t="s">
        <v>21</v>
      </c>
      <c r="G319" t="s">
        <v>19</v>
      </c>
      <c r="H319" s="2">
        <v>0</v>
      </c>
    </row>
    <row r="320" spans="1:8">
      <c r="A320" t="s">
        <v>30</v>
      </c>
      <c r="B320" t="s">
        <v>31</v>
      </c>
      <c r="C320" t="s">
        <v>32</v>
      </c>
      <c r="D320" t="s">
        <v>33</v>
      </c>
      <c r="E320">
        <v>1993</v>
      </c>
      <c r="F320" t="s">
        <v>21</v>
      </c>
      <c r="G320" t="s">
        <v>17</v>
      </c>
      <c r="H320" s="2">
        <v>411.29</v>
      </c>
    </row>
    <row r="321" spans="1:8">
      <c r="A321" t="s">
        <v>30</v>
      </c>
      <c r="B321" t="s">
        <v>31</v>
      </c>
      <c r="C321" t="s">
        <v>32</v>
      </c>
      <c r="D321" t="s">
        <v>33</v>
      </c>
      <c r="E321">
        <v>1994</v>
      </c>
      <c r="F321" t="s">
        <v>20</v>
      </c>
      <c r="G321" t="s">
        <v>17</v>
      </c>
      <c r="H321" s="2">
        <v>17.59</v>
      </c>
    </row>
    <row r="322" spans="1:8">
      <c r="A322" t="s">
        <v>30</v>
      </c>
      <c r="B322" t="s">
        <v>31</v>
      </c>
      <c r="C322" t="s">
        <v>32</v>
      </c>
      <c r="D322" t="s">
        <v>33</v>
      </c>
      <c r="E322">
        <v>1994</v>
      </c>
      <c r="F322" t="s">
        <v>16</v>
      </c>
      <c r="G322" t="s">
        <v>19</v>
      </c>
      <c r="H322" s="2">
        <v>0</v>
      </c>
    </row>
    <row r="323" spans="1:8">
      <c r="A323" t="s">
        <v>30</v>
      </c>
      <c r="B323" t="s">
        <v>31</v>
      </c>
      <c r="C323" t="s">
        <v>32</v>
      </c>
      <c r="D323" t="s">
        <v>33</v>
      </c>
      <c r="E323">
        <v>1995</v>
      </c>
      <c r="F323" t="s">
        <v>22</v>
      </c>
      <c r="G323" t="s">
        <v>15</v>
      </c>
      <c r="H323" s="2">
        <v>10936.6</v>
      </c>
    </row>
    <row r="324" spans="1:8">
      <c r="A324" t="s">
        <v>30</v>
      </c>
      <c r="B324" t="s">
        <v>31</v>
      </c>
      <c r="C324" t="s">
        <v>32</v>
      </c>
      <c r="D324" t="s">
        <v>33</v>
      </c>
      <c r="E324">
        <v>1995</v>
      </c>
      <c r="F324" t="s">
        <v>18</v>
      </c>
      <c r="G324" t="s">
        <v>13</v>
      </c>
      <c r="H324" s="2">
        <v>37851.9</v>
      </c>
    </row>
    <row r="325" spans="1:8">
      <c r="A325" t="s">
        <v>30</v>
      </c>
      <c r="B325" t="s">
        <v>31</v>
      </c>
      <c r="C325" t="s">
        <v>32</v>
      </c>
      <c r="D325" t="s">
        <v>33</v>
      </c>
      <c r="E325">
        <v>1995</v>
      </c>
      <c r="F325" t="s">
        <v>14</v>
      </c>
      <c r="G325" t="s">
        <v>19</v>
      </c>
      <c r="H325" s="2">
        <v>0</v>
      </c>
    </row>
    <row r="326" spans="1:8">
      <c r="A326" t="s">
        <v>30</v>
      </c>
      <c r="B326" t="s">
        <v>31</v>
      </c>
      <c r="C326" t="s">
        <v>32</v>
      </c>
      <c r="D326" t="s">
        <v>33</v>
      </c>
      <c r="E326">
        <v>1996</v>
      </c>
      <c r="F326" t="s">
        <v>20</v>
      </c>
      <c r="G326" t="s">
        <v>13</v>
      </c>
      <c r="H326" s="2">
        <v>1929.58</v>
      </c>
    </row>
    <row r="327" spans="1:8">
      <c r="A327" t="s">
        <v>30</v>
      </c>
      <c r="B327" t="s">
        <v>31</v>
      </c>
      <c r="C327" t="s">
        <v>32</v>
      </c>
      <c r="D327" t="s">
        <v>33</v>
      </c>
      <c r="E327">
        <v>1996</v>
      </c>
      <c r="F327" t="s">
        <v>14</v>
      </c>
      <c r="G327" t="s">
        <v>19</v>
      </c>
      <c r="H327" s="2">
        <v>0</v>
      </c>
    </row>
    <row r="328" spans="1:8">
      <c r="A328" t="s">
        <v>30</v>
      </c>
      <c r="B328" t="s">
        <v>31</v>
      </c>
      <c r="C328" t="s">
        <v>32</v>
      </c>
      <c r="D328" t="s">
        <v>33</v>
      </c>
      <c r="E328">
        <v>1996</v>
      </c>
      <c r="F328" t="s">
        <v>16</v>
      </c>
      <c r="G328" t="s">
        <v>19</v>
      </c>
      <c r="H328" s="2">
        <v>0</v>
      </c>
    </row>
    <row r="329" spans="1:8">
      <c r="A329" t="s">
        <v>30</v>
      </c>
      <c r="B329" t="s">
        <v>31</v>
      </c>
      <c r="C329" t="s">
        <v>32</v>
      </c>
      <c r="D329" t="s">
        <v>33</v>
      </c>
      <c r="E329">
        <v>1997</v>
      </c>
      <c r="F329" t="s">
        <v>12</v>
      </c>
      <c r="G329" t="s">
        <v>15</v>
      </c>
      <c r="H329" s="2">
        <v>1072.8599999999999</v>
      </c>
    </row>
    <row r="330" spans="1:8">
      <c r="A330" t="s">
        <v>30</v>
      </c>
      <c r="B330" t="s">
        <v>31</v>
      </c>
      <c r="C330" t="s">
        <v>32</v>
      </c>
      <c r="D330" t="s">
        <v>33</v>
      </c>
      <c r="E330">
        <v>1997</v>
      </c>
      <c r="F330" t="s">
        <v>20</v>
      </c>
      <c r="G330" t="s">
        <v>15</v>
      </c>
      <c r="H330" s="2">
        <v>20.010000000000002</v>
      </c>
    </row>
    <row r="331" spans="1:8">
      <c r="A331" t="s">
        <v>30</v>
      </c>
      <c r="B331" t="s">
        <v>31</v>
      </c>
      <c r="C331" t="s">
        <v>32</v>
      </c>
      <c r="D331" t="s">
        <v>33</v>
      </c>
      <c r="E331">
        <v>1998</v>
      </c>
      <c r="F331" t="s">
        <v>20</v>
      </c>
      <c r="G331" t="s">
        <v>19</v>
      </c>
      <c r="H331" s="2">
        <v>0</v>
      </c>
    </row>
    <row r="332" spans="1:8">
      <c r="A332" t="s">
        <v>30</v>
      </c>
      <c r="B332" t="s">
        <v>31</v>
      </c>
      <c r="C332" t="s">
        <v>32</v>
      </c>
      <c r="D332" t="s">
        <v>33</v>
      </c>
      <c r="E332">
        <v>1998</v>
      </c>
      <c r="F332" t="s">
        <v>14</v>
      </c>
      <c r="G332" t="s">
        <v>15</v>
      </c>
      <c r="H332" s="2">
        <v>224.31</v>
      </c>
    </row>
    <row r="333" spans="1:8">
      <c r="A333" t="s">
        <v>30</v>
      </c>
      <c r="B333" t="s">
        <v>31</v>
      </c>
      <c r="C333" t="s">
        <v>32</v>
      </c>
      <c r="D333" t="s">
        <v>33</v>
      </c>
      <c r="E333">
        <v>1998</v>
      </c>
      <c r="F333" t="s">
        <v>14</v>
      </c>
      <c r="G333" t="s">
        <v>17</v>
      </c>
      <c r="H333" s="2">
        <v>144.54</v>
      </c>
    </row>
    <row r="334" spans="1:8">
      <c r="A334" t="s">
        <v>30</v>
      </c>
      <c r="B334" t="s">
        <v>31</v>
      </c>
      <c r="C334" t="s">
        <v>32</v>
      </c>
      <c r="D334" t="s">
        <v>33</v>
      </c>
      <c r="E334">
        <v>1999</v>
      </c>
      <c r="F334" t="s">
        <v>22</v>
      </c>
      <c r="G334" t="s">
        <v>13</v>
      </c>
      <c r="H334" s="2">
        <v>1515.26</v>
      </c>
    </row>
    <row r="335" spans="1:8">
      <c r="A335" t="s">
        <v>30</v>
      </c>
      <c r="B335" t="s">
        <v>31</v>
      </c>
      <c r="C335" t="s">
        <v>32</v>
      </c>
      <c r="D335" t="s">
        <v>33</v>
      </c>
      <c r="E335">
        <v>1999</v>
      </c>
      <c r="F335" t="s">
        <v>18</v>
      </c>
      <c r="G335" t="s">
        <v>13</v>
      </c>
      <c r="H335" s="2">
        <v>37864.959999999999</v>
      </c>
    </row>
    <row r="336" spans="1:8">
      <c r="A336" t="s">
        <v>30</v>
      </c>
      <c r="B336" t="s">
        <v>31</v>
      </c>
      <c r="C336" t="s">
        <v>32</v>
      </c>
      <c r="D336" t="s">
        <v>33</v>
      </c>
      <c r="E336">
        <v>1999</v>
      </c>
      <c r="F336" t="s">
        <v>14</v>
      </c>
      <c r="G336" t="s">
        <v>19</v>
      </c>
      <c r="H336" s="2">
        <v>0</v>
      </c>
    </row>
    <row r="337" spans="1:8">
      <c r="A337" t="s">
        <v>30</v>
      </c>
      <c r="B337" t="s">
        <v>31</v>
      </c>
      <c r="C337" t="s">
        <v>32</v>
      </c>
      <c r="D337" t="s">
        <v>33</v>
      </c>
      <c r="E337">
        <v>1999</v>
      </c>
      <c r="F337" t="s">
        <v>21</v>
      </c>
      <c r="G337" t="s">
        <v>13</v>
      </c>
      <c r="H337" s="2">
        <v>47305.91</v>
      </c>
    </row>
    <row r="338" spans="1:8">
      <c r="A338" t="s">
        <v>30</v>
      </c>
      <c r="B338" t="s">
        <v>31</v>
      </c>
      <c r="C338" t="s">
        <v>32</v>
      </c>
      <c r="D338" t="s">
        <v>33</v>
      </c>
      <c r="E338">
        <v>2000</v>
      </c>
      <c r="F338" t="s">
        <v>12</v>
      </c>
      <c r="G338" t="s">
        <v>17</v>
      </c>
      <c r="H338" s="2">
        <v>455.89</v>
      </c>
    </row>
    <row r="339" spans="1:8">
      <c r="A339" t="s">
        <v>30</v>
      </c>
      <c r="B339" t="s">
        <v>31</v>
      </c>
      <c r="C339" t="s">
        <v>32</v>
      </c>
      <c r="D339" t="s">
        <v>33</v>
      </c>
      <c r="E339">
        <v>2000</v>
      </c>
      <c r="F339" t="s">
        <v>21</v>
      </c>
      <c r="G339" t="s">
        <v>19</v>
      </c>
      <c r="H339" s="2">
        <v>0</v>
      </c>
    </row>
    <row r="340" spans="1:8">
      <c r="A340" t="s">
        <v>30</v>
      </c>
      <c r="B340" t="s">
        <v>31</v>
      </c>
      <c r="C340" t="s">
        <v>32</v>
      </c>
      <c r="D340" t="s">
        <v>33</v>
      </c>
      <c r="E340">
        <v>2001</v>
      </c>
      <c r="F340" t="s">
        <v>22</v>
      </c>
      <c r="G340" t="s">
        <v>19</v>
      </c>
      <c r="H340" s="2">
        <v>0</v>
      </c>
    </row>
    <row r="341" spans="1:8">
      <c r="A341" t="s">
        <v>30</v>
      </c>
      <c r="B341" t="s">
        <v>31</v>
      </c>
      <c r="C341" t="s">
        <v>32</v>
      </c>
      <c r="D341" t="s">
        <v>33</v>
      </c>
      <c r="E341">
        <v>2001</v>
      </c>
      <c r="F341" t="s">
        <v>12</v>
      </c>
      <c r="G341" t="s">
        <v>19</v>
      </c>
      <c r="H341" s="2">
        <v>0</v>
      </c>
    </row>
    <row r="342" spans="1:8">
      <c r="A342" t="s">
        <v>30</v>
      </c>
      <c r="B342" t="s">
        <v>31</v>
      </c>
      <c r="C342" t="s">
        <v>32</v>
      </c>
      <c r="D342" t="s">
        <v>33</v>
      </c>
      <c r="E342">
        <v>2001</v>
      </c>
      <c r="F342" t="s">
        <v>20</v>
      </c>
      <c r="G342" t="s">
        <v>13</v>
      </c>
      <c r="H342" s="2">
        <v>2194.9899999999998</v>
      </c>
    </row>
    <row r="343" spans="1:8">
      <c r="A343" t="s">
        <v>30</v>
      </c>
      <c r="B343" t="s">
        <v>31</v>
      </c>
      <c r="C343" t="s">
        <v>32</v>
      </c>
      <c r="D343" t="s">
        <v>33</v>
      </c>
      <c r="E343">
        <v>2002</v>
      </c>
      <c r="F343" t="s">
        <v>12</v>
      </c>
      <c r="G343" t="s">
        <v>13</v>
      </c>
      <c r="H343" s="2">
        <v>18874.009999999998</v>
      </c>
    </row>
    <row r="344" spans="1:8">
      <c r="A344" t="s">
        <v>30</v>
      </c>
      <c r="B344" t="s">
        <v>31</v>
      </c>
      <c r="C344" t="s">
        <v>32</v>
      </c>
      <c r="D344" t="s">
        <v>33</v>
      </c>
      <c r="E344">
        <v>2002</v>
      </c>
      <c r="F344" t="s">
        <v>18</v>
      </c>
      <c r="G344" t="s">
        <v>19</v>
      </c>
      <c r="H344" s="2">
        <v>2726</v>
      </c>
    </row>
    <row r="345" spans="1:8">
      <c r="A345" t="s">
        <v>30</v>
      </c>
      <c r="B345" t="s">
        <v>31</v>
      </c>
      <c r="C345" t="s">
        <v>32</v>
      </c>
      <c r="D345" t="s">
        <v>33</v>
      </c>
      <c r="E345">
        <v>2002</v>
      </c>
      <c r="F345" t="s">
        <v>14</v>
      </c>
      <c r="G345" t="s">
        <v>17</v>
      </c>
      <c r="H345" s="2">
        <v>180.1</v>
      </c>
    </row>
    <row r="346" spans="1:8">
      <c r="A346" t="s">
        <v>30</v>
      </c>
      <c r="B346" t="s">
        <v>31</v>
      </c>
      <c r="C346" t="s">
        <v>32</v>
      </c>
      <c r="D346" t="s">
        <v>33</v>
      </c>
      <c r="E346">
        <v>2002</v>
      </c>
      <c r="F346" t="s">
        <v>21</v>
      </c>
      <c r="G346" t="s">
        <v>13</v>
      </c>
      <c r="H346" s="2">
        <v>56582.19</v>
      </c>
    </row>
    <row r="347" spans="1:8">
      <c r="A347" t="s">
        <v>30</v>
      </c>
      <c r="B347" t="s">
        <v>31</v>
      </c>
      <c r="C347" t="s">
        <v>32</v>
      </c>
      <c r="D347" t="s">
        <v>33</v>
      </c>
      <c r="E347">
        <v>2003</v>
      </c>
      <c r="F347" t="s">
        <v>12</v>
      </c>
      <c r="G347" t="s">
        <v>15</v>
      </c>
      <c r="H347" s="2">
        <v>1200.8499999999999</v>
      </c>
    </row>
    <row r="348" spans="1:8">
      <c r="A348" t="s">
        <v>30</v>
      </c>
      <c r="B348" t="s">
        <v>31</v>
      </c>
      <c r="C348" t="s">
        <v>32</v>
      </c>
      <c r="D348" t="s">
        <v>33</v>
      </c>
      <c r="E348">
        <v>2003</v>
      </c>
      <c r="F348" t="s">
        <v>12</v>
      </c>
      <c r="G348" t="s">
        <v>13</v>
      </c>
      <c r="H348" s="2">
        <v>17368.64</v>
      </c>
    </row>
    <row r="349" spans="1:8">
      <c r="A349" t="s">
        <v>30</v>
      </c>
      <c r="B349" t="s">
        <v>31</v>
      </c>
      <c r="C349" t="s">
        <v>32</v>
      </c>
      <c r="D349" t="s">
        <v>33</v>
      </c>
      <c r="E349">
        <v>2003</v>
      </c>
      <c r="F349" t="s">
        <v>12</v>
      </c>
      <c r="G349" t="s">
        <v>17</v>
      </c>
      <c r="H349" s="2">
        <v>569.13</v>
      </c>
    </row>
    <row r="350" spans="1:8">
      <c r="A350" t="s">
        <v>30</v>
      </c>
      <c r="B350" t="s">
        <v>31</v>
      </c>
      <c r="C350" t="s">
        <v>32</v>
      </c>
      <c r="D350" t="s">
        <v>33</v>
      </c>
      <c r="E350">
        <v>2003</v>
      </c>
      <c r="F350" t="s">
        <v>18</v>
      </c>
      <c r="G350" t="s">
        <v>15</v>
      </c>
      <c r="H350" s="2">
        <v>2944.36</v>
      </c>
    </row>
    <row r="351" spans="1:8">
      <c r="A351" t="s">
        <v>30</v>
      </c>
      <c r="B351" t="s">
        <v>31</v>
      </c>
      <c r="C351" t="s">
        <v>32</v>
      </c>
      <c r="D351" t="s">
        <v>33</v>
      </c>
      <c r="E351">
        <v>2003</v>
      </c>
      <c r="F351" t="s">
        <v>18</v>
      </c>
      <c r="G351" t="s">
        <v>13</v>
      </c>
      <c r="H351" s="2">
        <v>46963.82</v>
      </c>
    </row>
    <row r="352" spans="1:8">
      <c r="A352" t="s">
        <v>30</v>
      </c>
      <c r="B352" t="s">
        <v>31</v>
      </c>
      <c r="C352" t="s">
        <v>32</v>
      </c>
      <c r="D352" t="s">
        <v>33</v>
      </c>
      <c r="E352">
        <v>2003</v>
      </c>
      <c r="F352" t="s">
        <v>16</v>
      </c>
      <c r="G352" t="s">
        <v>15</v>
      </c>
      <c r="H352" s="2">
        <v>13284.5</v>
      </c>
    </row>
    <row r="353" spans="1:8">
      <c r="A353" t="s">
        <v>30</v>
      </c>
      <c r="B353" t="s">
        <v>31</v>
      </c>
      <c r="C353" t="s">
        <v>32</v>
      </c>
      <c r="D353" t="s">
        <v>33</v>
      </c>
      <c r="E353">
        <v>2004</v>
      </c>
      <c r="F353" t="s">
        <v>12</v>
      </c>
      <c r="G353" t="s">
        <v>13</v>
      </c>
      <c r="H353" s="2">
        <v>17626.25</v>
      </c>
    </row>
    <row r="354" spans="1:8">
      <c r="A354" t="s">
        <v>30</v>
      </c>
      <c r="B354" t="s">
        <v>31</v>
      </c>
      <c r="C354" t="s">
        <v>32</v>
      </c>
      <c r="D354" t="s">
        <v>33</v>
      </c>
      <c r="E354">
        <v>2004</v>
      </c>
      <c r="F354" t="s">
        <v>12</v>
      </c>
      <c r="G354" t="s">
        <v>17</v>
      </c>
      <c r="H354" s="2">
        <v>580.51</v>
      </c>
    </row>
    <row r="355" spans="1:8">
      <c r="A355" t="s">
        <v>30</v>
      </c>
      <c r="B355" t="s">
        <v>31</v>
      </c>
      <c r="C355" t="s">
        <v>32</v>
      </c>
      <c r="D355" t="s">
        <v>33</v>
      </c>
      <c r="E355">
        <v>2004</v>
      </c>
      <c r="F355" t="s">
        <v>16</v>
      </c>
      <c r="G355" t="s">
        <v>17</v>
      </c>
      <c r="H355" s="2">
        <v>916.72</v>
      </c>
    </row>
    <row r="356" spans="1:8">
      <c r="A356" t="s">
        <v>30</v>
      </c>
      <c r="B356" t="s">
        <v>31</v>
      </c>
      <c r="C356" t="s">
        <v>32</v>
      </c>
      <c r="D356" t="s">
        <v>33</v>
      </c>
      <c r="E356">
        <v>2005</v>
      </c>
      <c r="F356" t="s">
        <v>12</v>
      </c>
      <c r="G356" t="s">
        <v>19</v>
      </c>
      <c r="H356" s="2">
        <v>0</v>
      </c>
    </row>
    <row r="357" spans="1:8">
      <c r="A357" t="s">
        <v>30</v>
      </c>
      <c r="B357" t="s">
        <v>31</v>
      </c>
      <c r="C357" t="s">
        <v>32</v>
      </c>
      <c r="D357" t="s">
        <v>33</v>
      </c>
      <c r="E357">
        <v>2005</v>
      </c>
      <c r="F357" t="s">
        <v>18</v>
      </c>
      <c r="G357" t="s">
        <v>17</v>
      </c>
      <c r="H357" s="2">
        <v>2530.73</v>
      </c>
    </row>
    <row r="358" spans="1:8">
      <c r="A358" t="s">
        <v>30</v>
      </c>
      <c r="B358" t="s">
        <v>31</v>
      </c>
      <c r="C358" t="s">
        <v>32</v>
      </c>
      <c r="D358" t="s">
        <v>33</v>
      </c>
      <c r="E358">
        <v>2005</v>
      </c>
      <c r="F358" t="s">
        <v>20</v>
      </c>
      <c r="G358" t="s">
        <v>15</v>
      </c>
      <c r="H358" s="2">
        <v>26.72</v>
      </c>
    </row>
    <row r="359" spans="1:8">
      <c r="A359" t="s">
        <v>30</v>
      </c>
      <c r="B359" t="s">
        <v>31</v>
      </c>
      <c r="C359" t="s">
        <v>32</v>
      </c>
      <c r="D359" t="s">
        <v>33</v>
      </c>
      <c r="E359">
        <v>2005</v>
      </c>
      <c r="F359" t="s">
        <v>14</v>
      </c>
      <c r="G359" t="s">
        <v>15</v>
      </c>
      <c r="H359" s="2">
        <v>256.60000000000002</v>
      </c>
    </row>
    <row r="360" spans="1:8">
      <c r="A360" t="s">
        <v>30</v>
      </c>
      <c r="B360" t="s">
        <v>31</v>
      </c>
      <c r="C360" t="s">
        <v>32</v>
      </c>
      <c r="D360" t="s">
        <v>33</v>
      </c>
      <c r="E360">
        <v>2006</v>
      </c>
      <c r="F360" t="s">
        <v>18</v>
      </c>
      <c r="G360" t="s">
        <v>13</v>
      </c>
      <c r="H360" s="2">
        <v>46245.77</v>
      </c>
    </row>
    <row r="361" spans="1:8">
      <c r="A361" t="s">
        <v>30</v>
      </c>
      <c r="B361" t="s">
        <v>31</v>
      </c>
      <c r="C361" t="s">
        <v>32</v>
      </c>
      <c r="D361" t="s">
        <v>33</v>
      </c>
      <c r="E361">
        <v>2006</v>
      </c>
      <c r="F361" t="s">
        <v>20</v>
      </c>
      <c r="G361" t="s">
        <v>15</v>
      </c>
      <c r="H361" s="2">
        <v>23.95</v>
      </c>
    </row>
    <row r="362" spans="1:8">
      <c r="A362" t="s">
        <v>30</v>
      </c>
      <c r="B362" t="s">
        <v>31</v>
      </c>
      <c r="C362" t="s">
        <v>32</v>
      </c>
      <c r="D362" t="s">
        <v>33</v>
      </c>
      <c r="E362">
        <v>2006</v>
      </c>
      <c r="F362" t="s">
        <v>16</v>
      </c>
      <c r="G362" t="s">
        <v>19</v>
      </c>
      <c r="H362" s="2">
        <v>0</v>
      </c>
    </row>
    <row r="363" spans="1:8">
      <c r="A363" t="s">
        <v>30</v>
      </c>
      <c r="B363" t="s">
        <v>31</v>
      </c>
      <c r="C363" t="s">
        <v>32</v>
      </c>
      <c r="D363" t="s">
        <v>33</v>
      </c>
      <c r="E363">
        <v>2007</v>
      </c>
      <c r="F363" t="s">
        <v>14</v>
      </c>
      <c r="G363" t="s">
        <v>13</v>
      </c>
      <c r="H363" s="2">
        <v>8287.1299999999992</v>
      </c>
    </row>
    <row r="364" spans="1:8">
      <c r="A364" t="s">
        <v>30</v>
      </c>
      <c r="B364" t="s">
        <v>31</v>
      </c>
      <c r="C364" t="s">
        <v>32</v>
      </c>
      <c r="D364" t="s">
        <v>33</v>
      </c>
      <c r="E364">
        <v>2007</v>
      </c>
      <c r="F364" t="s">
        <v>21</v>
      </c>
      <c r="G364" t="s">
        <v>19</v>
      </c>
      <c r="H364" s="2">
        <v>0</v>
      </c>
    </row>
    <row r="365" spans="1:8">
      <c r="A365" t="s">
        <v>30</v>
      </c>
      <c r="B365" t="s">
        <v>31</v>
      </c>
      <c r="C365" t="s">
        <v>32</v>
      </c>
      <c r="D365" t="s">
        <v>33</v>
      </c>
      <c r="E365">
        <v>2007</v>
      </c>
      <c r="F365" t="s">
        <v>16</v>
      </c>
      <c r="G365" t="s">
        <v>15</v>
      </c>
      <c r="H365" s="2">
        <v>12846.94</v>
      </c>
    </row>
    <row r="366" spans="1:8">
      <c r="A366" t="s">
        <v>30</v>
      </c>
      <c r="B366" t="s">
        <v>31</v>
      </c>
      <c r="C366" t="s">
        <v>32</v>
      </c>
      <c r="D366" t="s">
        <v>33</v>
      </c>
      <c r="E366">
        <v>2009</v>
      </c>
      <c r="F366" t="s">
        <v>20</v>
      </c>
      <c r="G366" t="s">
        <v>13</v>
      </c>
      <c r="H366" s="2">
        <v>2539.06</v>
      </c>
    </row>
    <row r="367" spans="1:8">
      <c r="A367" t="s">
        <v>30</v>
      </c>
      <c r="B367" t="s">
        <v>31</v>
      </c>
      <c r="C367" t="s">
        <v>32</v>
      </c>
      <c r="D367" t="s">
        <v>33</v>
      </c>
      <c r="E367">
        <v>2009</v>
      </c>
      <c r="F367" t="s">
        <v>16</v>
      </c>
      <c r="G367" t="s">
        <v>15</v>
      </c>
      <c r="H367" s="2">
        <v>14744.38</v>
      </c>
    </row>
    <row r="368" spans="1:8">
      <c r="A368" t="s">
        <v>30</v>
      </c>
      <c r="B368" t="s">
        <v>31</v>
      </c>
      <c r="C368" t="s">
        <v>32</v>
      </c>
      <c r="D368" t="s">
        <v>33</v>
      </c>
      <c r="E368">
        <v>2010</v>
      </c>
      <c r="F368" t="s">
        <v>18</v>
      </c>
      <c r="G368" t="s">
        <v>17</v>
      </c>
      <c r="H368" s="2">
        <v>3076.11</v>
      </c>
    </row>
    <row r="369" spans="1:8">
      <c r="A369" t="s">
        <v>30</v>
      </c>
      <c r="B369" t="s">
        <v>31</v>
      </c>
      <c r="C369" t="s">
        <v>32</v>
      </c>
      <c r="D369" t="s">
        <v>33</v>
      </c>
      <c r="E369">
        <v>2010</v>
      </c>
      <c r="F369" t="s">
        <v>21</v>
      </c>
      <c r="G369" t="s">
        <v>15</v>
      </c>
      <c r="H369" s="2">
        <v>1283.82</v>
      </c>
    </row>
    <row r="370" spans="1:8">
      <c r="A370" t="s">
        <v>30</v>
      </c>
      <c r="B370" t="s">
        <v>31</v>
      </c>
      <c r="C370" t="s">
        <v>32</v>
      </c>
      <c r="D370" t="s">
        <v>33</v>
      </c>
      <c r="E370">
        <v>2010</v>
      </c>
      <c r="F370" t="s">
        <v>16</v>
      </c>
      <c r="G370" t="s">
        <v>19</v>
      </c>
      <c r="H370" s="2">
        <v>0</v>
      </c>
    </row>
    <row r="371" spans="1:8">
      <c r="A371" t="s">
        <v>30</v>
      </c>
      <c r="B371" t="s">
        <v>31</v>
      </c>
      <c r="C371" t="s">
        <v>32</v>
      </c>
      <c r="D371" t="s">
        <v>33</v>
      </c>
      <c r="E371">
        <v>2011</v>
      </c>
      <c r="F371" t="s">
        <v>14</v>
      </c>
      <c r="G371" t="s">
        <v>13</v>
      </c>
      <c r="H371" s="2">
        <v>10724.27</v>
      </c>
    </row>
    <row r="372" spans="1:8">
      <c r="A372" t="s">
        <v>30</v>
      </c>
      <c r="B372" t="s">
        <v>31</v>
      </c>
      <c r="C372" t="s">
        <v>32</v>
      </c>
      <c r="D372" t="s">
        <v>33</v>
      </c>
      <c r="E372">
        <v>2011</v>
      </c>
      <c r="F372" t="s">
        <v>21</v>
      </c>
      <c r="G372" t="s">
        <v>17</v>
      </c>
      <c r="H372" s="2">
        <v>614.76</v>
      </c>
    </row>
    <row r="373" spans="1:8">
      <c r="A373" t="s">
        <v>30</v>
      </c>
      <c r="B373" t="s">
        <v>31</v>
      </c>
      <c r="C373" t="s">
        <v>32</v>
      </c>
      <c r="D373" t="s">
        <v>33</v>
      </c>
      <c r="E373">
        <v>2011</v>
      </c>
      <c r="F373" t="s">
        <v>16</v>
      </c>
      <c r="G373" t="s">
        <v>19</v>
      </c>
      <c r="H373" s="2">
        <v>0</v>
      </c>
    </row>
    <row r="374" spans="1:8">
      <c r="A374" t="s">
        <v>30</v>
      </c>
      <c r="B374" t="s">
        <v>31</v>
      </c>
      <c r="C374" t="s">
        <v>32</v>
      </c>
      <c r="D374" t="s">
        <v>33</v>
      </c>
      <c r="E374">
        <v>2012</v>
      </c>
      <c r="F374" t="s">
        <v>20</v>
      </c>
      <c r="G374" t="s">
        <v>17</v>
      </c>
      <c r="H374" s="2">
        <v>31.83</v>
      </c>
    </row>
    <row r="375" spans="1:8">
      <c r="A375" t="s">
        <v>30</v>
      </c>
      <c r="B375" t="s">
        <v>31</v>
      </c>
      <c r="C375" t="s">
        <v>32</v>
      </c>
      <c r="D375" t="s">
        <v>33</v>
      </c>
      <c r="E375">
        <v>2012</v>
      </c>
      <c r="F375" t="s">
        <v>14</v>
      </c>
      <c r="G375" t="s">
        <v>17</v>
      </c>
      <c r="H375" s="2">
        <v>231.86</v>
      </c>
    </row>
    <row r="376" spans="1:8">
      <c r="A376" t="s">
        <v>30</v>
      </c>
      <c r="B376" t="s">
        <v>31</v>
      </c>
      <c r="C376" t="s">
        <v>32</v>
      </c>
      <c r="D376" t="s">
        <v>33</v>
      </c>
      <c r="E376">
        <v>2012</v>
      </c>
      <c r="F376" t="s">
        <v>16</v>
      </c>
      <c r="G376" t="s">
        <v>19</v>
      </c>
      <c r="H376" s="2">
        <v>0</v>
      </c>
    </row>
    <row r="377" spans="1:8">
      <c r="A377" t="s">
        <v>30</v>
      </c>
      <c r="B377" t="s">
        <v>31</v>
      </c>
      <c r="C377" t="s">
        <v>32</v>
      </c>
      <c r="D377" t="s">
        <v>33</v>
      </c>
      <c r="E377">
        <v>2012</v>
      </c>
      <c r="F377" t="s">
        <v>16</v>
      </c>
      <c r="G377" t="s">
        <v>17</v>
      </c>
      <c r="H377" s="2">
        <v>1122.69</v>
      </c>
    </row>
    <row r="378" spans="1:8">
      <c r="A378" t="s">
        <v>30</v>
      </c>
      <c r="B378" t="s">
        <v>31</v>
      </c>
      <c r="C378" t="s">
        <v>32</v>
      </c>
      <c r="D378" t="s">
        <v>33</v>
      </c>
      <c r="E378">
        <v>2013</v>
      </c>
      <c r="F378" t="s">
        <v>12</v>
      </c>
      <c r="G378" t="s">
        <v>19</v>
      </c>
      <c r="H378" s="2">
        <v>0</v>
      </c>
    </row>
    <row r="379" spans="1:8">
      <c r="A379" t="s">
        <v>30</v>
      </c>
      <c r="B379" t="s">
        <v>31</v>
      </c>
      <c r="C379" t="s">
        <v>32</v>
      </c>
      <c r="D379" t="s">
        <v>33</v>
      </c>
      <c r="E379">
        <v>2013</v>
      </c>
      <c r="F379" t="s">
        <v>20</v>
      </c>
      <c r="G379" t="s">
        <v>17</v>
      </c>
      <c r="H379" s="2">
        <v>28.02</v>
      </c>
    </row>
    <row r="380" spans="1:8">
      <c r="A380" t="s">
        <v>30</v>
      </c>
      <c r="B380" t="s">
        <v>31</v>
      </c>
      <c r="C380" t="s">
        <v>32</v>
      </c>
      <c r="D380" t="s">
        <v>33</v>
      </c>
      <c r="E380">
        <v>2013</v>
      </c>
      <c r="F380" t="s">
        <v>14</v>
      </c>
      <c r="G380" t="s">
        <v>13</v>
      </c>
      <c r="H380" s="2">
        <v>9831.2999999999993</v>
      </c>
    </row>
    <row r="381" spans="1:8">
      <c r="A381" t="s">
        <v>30</v>
      </c>
      <c r="B381" t="s">
        <v>31</v>
      </c>
      <c r="C381" t="s">
        <v>32</v>
      </c>
      <c r="D381" t="s">
        <v>33</v>
      </c>
      <c r="E381">
        <v>2013</v>
      </c>
      <c r="F381" t="s">
        <v>21</v>
      </c>
      <c r="G381" t="s">
        <v>13</v>
      </c>
      <c r="H381" s="2">
        <v>56981.05</v>
      </c>
    </row>
    <row r="382" spans="1:8">
      <c r="A382" t="s">
        <v>30</v>
      </c>
      <c r="B382" t="s">
        <v>31</v>
      </c>
      <c r="C382" t="s">
        <v>32</v>
      </c>
      <c r="D382" t="s">
        <v>33</v>
      </c>
      <c r="E382">
        <v>2013</v>
      </c>
      <c r="F382" t="s">
        <v>16</v>
      </c>
      <c r="G382" t="s">
        <v>15</v>
      </c>
      <c r="H382" s="2">
        <v>16203.13</v>
      </c>
    </row>
    <row r="383" spans="1:8">
      <c r="A383" t="s">
        <v>30</v>
      </c>
      <c r="B383" t="s">
        <v>31</v>
      </c>
      <c r="C383" t="s">
        <v>32</v>
      </c>
      <c r="D383" t="s">
        <v>33</v>
      </c>
      <c r="E383">
        <v>2013</v>
      </c>
      <c r="F383" t="s">
        <v>16</v>
      </c>
      <c r="G383" t="s">
        <v>17</v>
      </c>
      <c r="H383" s="2">
        <v>901.76</v>
      </c>
    </row>
    <row r="384" spans="1:8">
      <c r="A384" t="s">
        <v>30</v>
      </c>
      <c r="B384" t="s">
        <v>31</v>
      </c>
      <c r="C384" t="s">
        <v>32</v>
      </c>
      <c r="D384" t="s">
        <v>33</v>
      </c>
      <c r="E384">
        <v>2014</v>
      </c>
      <c r="F384" t="s">
        <v>14</v>
      </c>
      <c r="G384" t="s">
        <v>15</v>
      </c>
      <c r="H384" s="2">
        <v>332.44</v>
      </c>
    </row>
    <row r="385" spans="1:8">
      <c r="A385" t="s">
        <v>30</v>
      </c>
      <c r="B385" t="s">
        <v>31</v>
      </c>
      <c r="C385" t="s">
        <v>32</v>
      </c>
      <c r="D385" t="s">
        <v>33</v>
      </c>
      <c r="E385">
        <v>2014</v>
      </c>
      <c r="F385" t="s">
        <v>14</v>
      </c>
      <c r="G385" t="s">
        <v>13</v>
      </c>
      <c r="H385" s="2">
        <v>9919.56</v>
      </c>
    </row>
    <row r="386" spans="1:8">
      <c r="A386" t="s">
        <v>30</v>
      </c>
      <c r="B386" t="s">
        <v>31</v>
      </c>
      <c r="C386" t="s">
        <v>32</v>
      </c>
      <c r="D386" t="s">
        <v>33</v>
      </c>
      <c r="E386">
        <v>2015</v>
      </c>
      <c r="F386" t="s">
        <v>22</v>
      </c>
      <c r="G386" t="s">
        <v>13</v>
      </c>
      <c r="H386" s="2">
        <v>2190.75</v>
      </c>
    </row>
    <row r="387" spans="1:8">
      <c r="A387" t="s">
        <v>30</v>
      </c>
      <c r="B387" t="s">
        <v>31</v>
      </c>
      <c r="C387" t="s">
        <v>32</v>
      </c>
      <c r="D387" t="s">
        <v>33</v>
      </c>
      <c r="E387">
        <v>2015</v>
      </c>
      <c r="F387" t="s">
        <v>18</v>
      </c>
      <c r="G387" t="s">
        <v>13</v>
      </c>
      <c r="H387" s="2">
        <v>55245.22</v>
      </c>
    </row>
    <row r="388" spans="1:8">
      <c r="A388" t="s">
        <v>30</v>
      </c>
      <c r="B388" t="s">
        <v>31</v>
      </c>
      <c r="C388" t="s">
        <v>32</v>
      </c>
      <c r="D388" t="s">
        <v>33</v>
      </c>
      <c r="E388">
        <v>2015</v>
      </c>
      <c r="F388" t="s">
        <v>20</v>
      </c>
      <c r="G388" t="s">
        <v>17</v>
      </c>
      <c r="H388" s="2">
        <v>31.02</v>
      </c>
    </row>
    <row r="389" spans="1:8">
      <c r="A389" t="s">
        <v>30</v>
      </c>
      <c r="B389" t="s">
        <v>31</v>
      </c>
      <c r="C389" t="s">
        <v>32</v>
      </c>
      <c r="D389" t="s">
        <v>33</v>
      </c>
      <c r="E389">
        <v>2015</v>
      </c>
      <c r="F389" t="s">
        <v>14</v>
      </c>
      <c r="G389" t="s">
        <v>17</v>
      </c>
      <c r="H389" s="2">
        <v>223.07</v>
      </c>
    </row>
    <row r="390" spans="1:8">
      <c r="A390" t="s">
        <v>30</v>
      </c>
      <c r="B390" t="s">
        <v>31</v>
      </c>
      <c r="C390" t="s">
        <v>32</v>
      </c>
      <c r="D390" t="s">
        <v>33</v>
      </c>
      <c r="E390">
        <v>2016</v>
      </c>
      <c r="F390" t="s">
        <v>12</v>
      </c>
      <c r="G390" t="s">
        <v>19</v>
      </c>
      <c r="H390" s="2">
        <v>0</v>
      </c>
    </row>
    <row r="391" spans="1:8">
      <c r="A391" t="s">
        <v>30</v>
      </c>
      <c r="B391" t="s">
        <v>31</v>
      </c>
      <c r="C391" t="s">
        <v>32</v>
      </c>
      <c r="D391" t="s">
        <v>33</v>
      </c>
      <c r="E391">
        <v>2016</v>
      </c>
      <c r="F391" t="s">
        <v>18</v>
      </c>
      <c r="G391" t="s">
        <v>17</v>
      </c>
      <c r="H391" s="2">
        <v>3235.35</v>
      </c>
    </row>
    <row r="392" spans="1:8">
      <c r="A392" t="s">
        <v>30</v>
      </c>
      <c r="B392" t="s">
        <v>31</v>
      </c>
      <c r="C392" t="s">
        <v>32</v>
      </c>
      <c r="D392" t="s">
        <v>33</v>
      </c>
      <c r="E392">
        <v>2016</v>
      </c>
      <c r="F392" t="s">
        <v>14</v>
      </c>
      <c r="G392" t="s">
        <v>13</v>
      </c>
      <c r="H392" s="2">
        <v>11430.03</v>
      </c>
    </row>
    <row r="393" spans="1:8">
      <c r="A393" t="s">
        <v>30</v>
      </c>
      <c r="B393" t="s">
        <v>31</v>
      </c>
      <c r="C393" t="s">
        <v>32</v>
      </c>
      <c r="D393" t="s">
        <v>33</v>
      </c>
      <c r="E393">
        <v>2016</v>
      </c>
      <c r="F393" t="s">
        <v>21</v>
      </c>
      <c r="G393" t="s">
        <v>13</v>
      </c>
      <c r="H393" s="2">
        <v>64781.04</v>
      </c>
    </row>
    <row r="394" spans="1:8">
      <c r="A394" t="s">
        <v>30</v>
      </c>
      <c r="B394" t="s">
        <v>31</v>
      </c>
      <c r="C394" t="s">
        <v>32</v>
      </c>
      <c r="D394" t="s">
        <v>33</v>
      </c>
      <c r="E394">
        <v>2017</v>
      </c>
      <c r="F394" t="s">
        <v>22</v>
      </c>
      <c r="G394" t="s">
        <v>19</v>
      </c>
      <c r="H394" s="2">
        <v>0</v>
      </c>
    </row>
    <row r="395" spans="1:8">
      <c r="A395" t="s">
        <v>30</v>
      </c>
      <c r="B395" t="s">
        <v>31</v>
      </c>
      <c r="C395" t="s">
        <v>32</v>
      </c>
      <c r="D395" t="s">
        <v>33</v>
      </c>
      <c r="E395">
        <v>2017</v>
      </c>
      <c r="F395" t="s">
        <v>16</v>
      </c>
      <c r="G395" t="s">
        <v>15</v>
      </c>
      <c r="H395" s="2">
        <v>16986.37</v>
      </c>
    </row>
    <row r="396" spans="1:8">
      <c r="A396" t="s">
        <v>30</v>
      </c>
      <c r="B396" t="s">
        <v>31</v>
      </c>
      <c r="C396" t="s">
        <v>32</v>
      </c>
      <c r="D396" t="s">
        <v>33</v>
      </c>
      <c r="E396">
        <v>2017</v>
      </c>
      <c r="F396" t="s">
        <v>16</v>
      </c>
      <c r="G396" t="s">
        <v>19</v>
      </c>
      <c r="H396" s="2">
        <v>0</v>
      </c>
    </row>
    <row r="397" spans="1:8">
      <c r="A397" t="s">
        <v>30</v>
      </c>
      <c r="B397" t="s">
        <v>31</v>
      </c>
      <c r="C397" t="s">
        <v>32</v>
      </c>
      <c r="D397" t="s">
        <v>33</v>
      </c>
      <c r="E397">
        <v>2018</v>
      </c>
      <c r="F397" t="s">
        <v>22</v>
      </c>
      <c r="G397" t="s">
        <v>13</v>
      </c>
      <c r="H397" s="2">
        <v>2201.71</v>
      </c>
    </row>
    <row r="398" spans="1:8">
      <c r="A398" t="s">
        <v>30</v>
      </c>
      <c r="B398" t="s">
        <v>31</v>
      </c>
      <c r="C398" t="s">
        <v>32</v>
      </c>
      <c r="D398" t="s">
        <v>33</v>
      </c>
      <c r="E398">
        <v>2018</v>
      </c>
      <c r="F398" t="s">
        <v>22</v>
      </c>
      <c r="G398" t="s">
        <v>19</v>
      </c>
      <c r="H398" s="2">
        <v>0</v>
      </c>
    </row>
    <row r="399" spans="1:8">
      <c r="A399" t="s">
        <v>30</v>
      </c>
      <c r="B399" t="s">
        <v>31</v>
      </c>
      <c r="C399" t="s">
        <v>32</v>
      </c>
      <c r="D399" t="s">
        <v>33</v>
      </c>
      <c r="E399">
        <v>2018</v>
      </c>
      <c r="F399" t="s">
        <v>12</v>
      </c>
      <c r="G399" t="s">
        <v>17</v>
      </c>
      <c r="H399" s="2">
        <v>660.79</v>
      </c>
    </row>
    <row r="400" spans="1:8">
      <c r="A400" t="s">
        <v>30</v>
      </c>
      <c r="B400" t="s">
        <v>31</v>
      </c>
      <c r="C400" t="s">
        <v>32</v>
      </c>
      <c r="D400" t="s">
        <v>33</v>
      </c>
      <c r="E400">
        <v>2018</v>
      </c>
      <c r="F400" t="s">
        <v>18</v>
      </c>
      <c r="G400" t="s">
        <v>17</v>
      </c>
      <c r="H400" s="2">
        <v>3247.5</v>
      </c>
    </row>
    <row r="401" spans="1:8">
      <c r="A401" t="s">
        <v>30</v>
      </c>
      <c r="B401" t="s">
        <v>31</v>
      </c>
      <c r="C401" t="s">
        <v>32</v>
      </c>
      <c r="D401" t="s">
        <v>33</v>
      </c>
      <c r="E401">
        <v>2018</v>
      </c>
      <c r="F401" t="s">
        <v>14</v>
      </c>
      <c r="G401" t="s">
        <v>15</v>
      </c>
      <c r="H401" s="2">
        <v>312.52999999999997</v>
      </c>
    </row>
    <row r="402" spans="1:8">
      <c r="A402" t="s">
        <v>30</v>
      </c>
      <c r="B402" t="s">
        <v>31</v>
      </c>
      <c r="C402" t="s">
        <v>32</v>
      </c>
      <c r="D402" t="s">
        <v>33</v>
      </c>
      <c r="E402">
        <v>2019</v>
      </c>
      <c r="F402" t="s">
        <v>22</v>
      </c>
      <c r="G402" t="s">
        <v>19</v>
      </c>
      <c r="H402" s="2">
        <v>0</v>
      </c>
    </row>
    <row r="403" spans="1:8">
      <c r="A403" t="s">
        <v>30</v>
      </c>
      <c r="B403" t="s">
        <v>31</v>
      </c>
      <c r="C403" t="s">
        <v>32</v>
      </c>
      <c r="D403" t="s">
        <v>33</v>
      </c>
      <c r="E403">
        <v>2019</v>
      </c>
      <c r="F403" t="s">
        <v>12</v>
      </c>
      <c r="G403" t="s">
        <v>15</v>
      </c>
      <c r="H403" s="2">
        <v>1638.98</v>
      </c>
    </row>
    <row r="404" spans="1:8">
      <c r="A404" t="s">
        <v>30</v>
      </c>
      <c r="B404" t="s">
        <v>31</v>
      </c>
      <c r="C404" t="s">
        <v>32</v>
      </c>
      <c r="D404" t="s">
        <v>33</v>
      </c>
      <c r="E404">
        <v>2019</v>
      </c>
      <c r="F404" t="s">
        <v>18</v>
      </c>
      <c r="G404" t="s">
        <v>13</v>
      </c>
      <c r="H404" s="2">
        <v>55350.71</v>
      </c>
    </row>
    <row r="405" spans="1:8">
      <c r="A405" t="s">
        <v>30</v>
      </c>
      <c r="B405" t="s">
        <v>31</v>
      </c>
      <c r="C405" t="s">
        <v>32</v>
      </c>
      <c r="D405" t="s">
        <v>33</v>
      </c>
      <c r="E405">
        <v>2019</v>
      </c>
      <c r="F405" t="s">
        <v>21</v>
      </c>
      <c r="G405" t="s">
        <v>15</v>
      </c>
      <c r="H405" s="2">
        <v>1335.94</v>
      </c>
    </row>
    <row r="406" spans="1:8">
      <c r="A406" t="s">
        <v>30</v>
      </c>
      <c r="B406" t="s">
        <v>31</v>
      </c>
      <c r="C406" t="s">
        <v>32</v>
      </c>
      <c r="D406" t="s">
        <v>33</v>
      </c>
      <c r="E406">
        <v>2019</v>
      </c>
      <c r="F406" t="s">
        <v>21</v>
      </c>
      <c r="G406" t="s">
        <v>19</v>
      </c>
      <c r="H406" s="2">
        <v>0</v>
      </c>
    </row>
    <row r="407" spans="1:8">
      <c r="A407" t="s">
        <v>30</v>
      </c>
      <c r="B407" t="s">
        <v>31</v>
      </c>
      <c r="C407" t="s">
        <v>32</v>
      </c>
      <c r="D407" t="s">
        <v>33</v>
      </c>
      <c r="E407">
        <v>2020</v>
      </c>
      <c r="F407" t="s">
        <v>20</v>
      </c>
      <c r="G407" t="s">
        <v>13</v>
      </c>
      <c r="H407" s="2">
        <v>3297.26</v>
      </c>
    </row>
    <row r="408" spans="1:8">
      <c r="A408" t="s">
        <v>30</v>
      </c>
      <c r="B408" t="s">
        <v>31</v>
      </c>
      <c r="C408" t="s">
        <v>32</v>
      </c>
      <c r="D408" t="s">
        <v>33</v>
      </c>
      <c r="E408">
        <v>2020</v>
      </c>
      <c r="F408" t="s">
        <v>20</v>
      </c>
      <c r="G408" t="s">
        <v>17</v>
      </c>
      <c r="H408" s="2">
        <v>32.450000000000003</v>
      </c>
    </row>
    <row r="409" spans="1:8">
      <c r="A409" t="s">
        <v>30</v>
      </c>
      <c r="B409" t="s">
        <v>31</v>
      </c>
      <c r="C409" t="s">
        <v>32</v>
      </c>
      <c r="D409" t="s">
        <v>33</v>
      </c>
      <c r="E409">
        <v>2020</v>
      </c>
      <c r="F409" t="s">
        <v>14</v>
      </c>
      <c r="G409" t="s">
        <v>15</v>
      </c>
      <c r="H409" s="2">
        <v>337.25</v>
      </c>
    </row>
    <row r="410" spans="1:8">
      <c r="A410" t="s">
        <v>30</v>
      </c>
      <c r="B410" t="s">
        <v>31</v>
      </c>
      <c r="C410" t="s">
        <v>32</v>
      </c>
      <c r="D410" t="s">
        <v>33</v>
      </c>
      <c r="E410">
        <v>2021</v>
      </c>
      <c r="F410" t="s">
        <v>22</v>
      </c>
      <c r="G410" t="s">
        <v>15</v>
      </c>
      <c r="H410" s="2">
        <v>13712.69</v>
      </c>
    </row>
    <row r="411" spans="1:8">
      <c r="A411" t="s">
        <v>30</v>
      </c>
      <c r="B411" t="s">
        <v>31</v>
      </c>
      <c r="C411" t="s">
        <v>32</v>
      </c>
      <c r="D411" t="s">
        <v>33</v>
      </c>
      <c r="E411">
        <v>2021</v>
      </c>
      <c r="F411" t="s">
        <v>22</v>
      </c>
      <c r="G411" t="s">
        <v>17</v>
      </c>
      <c r="H411" s="2">
        <v>4381.3</v>
      </c>
    </row>
    <row r="412" spans="1:8">
      <c r="A412" t="s">
        <v>30</v>
      </c>
      <c r="B412" t="s">
        <v>31</v>
      </c>
      <c r="C412" t="s">
        <v>32</v>
      </c>
      <c r="D412" t="s">
        <v>33</v>
      </c>
      <c r="E412">
        <v>2021</v>
      </c>
      <c r="F412" t="s">
        <v>18</v>
      </c>
      <c r="G412" t="s">
        <v>13</v>
      </c>
      <c r="H412" s="2">
        <v>55067.34</v>
      </c>
    </row>
    <row r="413" spans="1:8">
      <c r="A413" t="s">
        <v>30</v>
      </c>
      <c r="B413" t="s">
        <v>31</v>
      </c>
      <c r="C413" t="s">
        <v>32</v>
      </c>
      <c r="D413" t="s">
        <v>33</v>
      </c>
      <c r="E413">
        <v>2021</v>
      </c>
      <c r="F413" t="s">
        <v>20</v>
      </c>
      <c r="G413" t="s">
        <v>13</v>
      </c>
      <c r="H413" s="2">
        <v>2813.31</v>
      </c>
    </row>
    <row r="414" spans="1:8">
      <c r="A414" t="s">
        <v>30</v>
      </c>
      <c r="B414" t="s">
        <v>31</v>
      </c>
      <c r="C414" t="s">
        <v>32</v>
      </c>
      <c r="D414" t="s">
        <v>33</v>
      </c>
      <c r="E414">
        <v>2021</v>
      </c>
      <c r="F414" t="s">
        <v>16</v>
      </c>
      <c r="G414" t="s">
        <v>13</v>
      </c>
      <c r="H414" s="2">
        <v>3233.16</v>
      </c>
    </row>
    <row r="415" spans="1:8">
      <c r="A415" t="s">
        <v>30</v>
      </c>
      <c r="B415" t="s">
        <v>31</v>
      </c>
      <c r="C415" t="s">
        <v>32</v>
      </c>
      <c r="D415" t="s">
        <v>33</v>
      </c>
      <c r="E415">
        <v>2022</v>
      </c>
      <c r="F415" t="s">
        <v>12</v>
      </c>
      <c r="G415" t="s">
        <v>19</v>
      </c>
      <c r="H415" s="2">
        <v>0</v>
      </c>
    </row>
    <row r="416" spans="1:8">
      <c r="A416" t="s">
        <v>30</v>
      </c>
      <c r="B416" t="s">
        <v>31</v>
      </c>
      <c r="C416" t="s">
        <v>32</v>
      </c>
      <c r="D416" t="s">
        <v>33</v>
      </c>
      <c r="E416">
        <v>2022</v>
      </c>
      <c r="F416" t="s">
        <v>20</v>
      </c>
      <c r="G416" t="s">
        <v>17</v>
      </c>
      <c r="H416" s="2">
        <v>32.94</v>
      </c>
    </row>
    <row r="417" spans="1:8">
      <c r="A417" t="s">
        <v>30</v>
      </c>
      <c r="B417" t="s">
        <v>31</v>
      </c>
      <c r="C417" t="s">
        <v>32</v>
      </c>
      <c r="D417" t="s">
        <v>33</v>
      </c>
      <c r="E417">
        <v>2023</v>
      </c>
      <c r="F417" t="s">
        <v>14</v>
      </c>
      <c r="G417" t="s">
        <v>17</v>
      </c>
      <c r="H417" s="2">
        <v>258.51</v>
      </c>
    </row>
    <row r="418" spans="1:8">
      <c r="A418" t="s">
        <v>30</v>
      </c>
      <c r="B418" t="s">
        <v>31</v>
      </c>
      <c r="C418" t="s">
        <v>32</v>
      </c>
      <c r="D418" t="s">
        <v>33</v>
      </c>
      <c r="E418">
        <v>2023</v>
      </c>
      <c r="F418" t="s">
        <v>21</v>
      </c>
      <c r="G418" t="s">
        <v>15</v>
      </c>
      <c r="H418" s="2">
        <v>1510.55</v>
      </c>
    </row>
    <row r="419" spans="1:8">
      <c r="A419" t="s">
        <v>30</v>
      </c>
      <c r="B419" t="s">
        <v>31</v>
      </c>
      <c r="C419" t="s">
        <v>32</v>
      </c>
      <c r="D419" t="s">
        <v>33</v>
      </c>
      <c r="E419">
        <v>2024</v>
      </c>
      <c r="F419" t="s">
        <v>16</v>
      </c>
      <c r="G419" t="s">
        <v>13</v>
      </c>
      <c r="H419" s="2">
        <v>3611.24</v>
      </c>
    </row>
    <row r="420" spans="1:8">
      <c r="A420" t="s">
        <v>34</v>
      </c>
      <c r="B420" t="s">
        <v>35</v>
      </c>
      <c r="C420" t="s">
        <v>25</v>
      </c>
      <c r="D420" t="s">
        <v>11</v>
      </c>
      <c r="E420">
        <v>1990</v>
      </c>
      <c r="F420" t="s">
        <v>18</v>
      </c>
      <c r="G420" t="s">
        <v>17</v>
      </c>
      <c r="H420" s="2">
        <v>11871.98</v>
      </c>
    </row>
    <row r="421" spans="1:8">
      <c r="A421" t="s">
        <v>34</v>
      </c>
      <c r="B421" t="s">
        <v>35</v>
      </c>
      <c r="C421" t="s">
        <v>25</v>
      </c>
      <c r="D421" t="s">
        <v>11</v>
      </c>
      <c r="E421">
        <v>1990</v>
      </c>
      <c r="F421" t="s">
        <v>21</v>
      </c>
      <c r="G421" t="s">
        <v>15</v>
      </c>
      <c r="H421" s="2">
        <v>1444.51</v>
      </c>
    </row>
    <row r="422" spans="1:8">
      <c r="A422" t="s">
        <v>34</v>
      </c>
      <c r="B422" t="s">
        <v>35</v>
      </c>
      <c r="C422" t="s">
        <v>25</v>
      </c>
      <c r="D422" t="s">
        <v>11</v>
      </c>
      <c r="E422">
        <v>1990</v>
      </c>
      <c r="F422" t="s">
        <v>16</v>
      </c>
      <c r="G422" t="s">
        <v>15</v>
      </c>
      <c r="H422" s="2">
        <v>58742.1</v>
      </c>
    </row>
    <row r="423" spans="1:8">
      <c r="A423" t="s">
        <v>34</v>
      </c>
      <c r="B423" t="s">
        <v>35</v>
      </c>
      <c r="C423" t="s">
        <v>25</v>
      </c>
      <c r="D423" t="s">
        <v>11</v>
      </c>
      <c r="E423">
        <v>1991</v>
      </c>
      <c r="F423" t="s">
        <v>12</v>
      </c>
      <c r="G423" t="s">
        <v>17</v>
      </c>
      <c r="H423" s="2">
        <v>2175.44</v>
      </c>
    </row>
    <row r="424" spans="1:8">
      <c r="A424" t="s">
        <v>34</v>
      </c>
      <c r="B424" t="s">
        <v>35</v>
      </c>
      <c r="C424" t="s">
        <v>25</v>
      </c>
      <c r="D424" t="s">
        <v>11</v>
      </c>
      <c r="E424">
        <v>1991</v>
      </c>
      <c r="F424" t="s">
        <v>20</v>
      </c>
      <c r="G424" t="s">
        <v>13</v>
      </c>
      <c r="H424" s="2">
        <v>-63459.02</v>
      </c>
    </row>
    <row r="425" spans="1:8">
      <c r="A425" t="s">
        <v>34</v>
      </c>
      <c r="B425" t="s">
        <v>35</v>
      </c>
      <c r="C425" t="s">
        <v>25</v>
      </c>
      <c r="D425" t="s">
        <v>11</v>
      </c>
      <c r="E425">
        <v>1991</v>
      </c>
      <c r="F425" t="s">
        <v>16</v>
      </c>
      <c r="G425" t="s">
        <v>19</v>
      </c>
      <c r="H425" s="2">
        <v>0</v>
      </c>
    </row>
    <row r="426" spans="1:8">
      <c r="A426" t="s">
        <v>34</v>
      </c>
      <c r="B426" t="s">
        <v>35</v>
      </c>
      <c r="C426" t="s">
        <v>25</v>
      </c>
      <c r="D426" t="s">
        <v>11</v>
      </c>
      <c r="E426">
        <v>1991</v>
      </c>
      <c r="F426" t="s">
        <v>16</v>
      </c>
      <c r="G426" t="s">
        <v>17</v>
      </c>
      <c r="H426" s="2">
        <v>3648.63</v>
      </c>
    </row>
    <row r="427" spans="1:8">
      <c r="A427" t="s">
        <v>34</v>
      </c>
      <c r="B427" t="s">
        <v>35</v>
      </c>
      <c r="C427" t="s">
        <v>25</v>
      </c>
      <c r="D427" t="s">
        <v>11</v>
      </c>
      <c r="E427">
        <v>1992</v>
      </c>
      <c r="F427" t="s">
        <v>22</v>
      </c>
      <c r="G427" t="s">
        <v>17</v>
      </c>
      <c r="H427" s="2">
        <v>6316.76</v>
      </c>
    </row>
    <row r="428" spans="1:8">
      <c r="A428" t="s">
        <v>34</v>
      </c>
      <c r="B428" t="s">
        <v>35</v>
      </c>
      <c r="C428" t="s">
        <v>25</v>
      </c>
      <c r="D428" t="s">
        <v>11</v>
      </c>
      <c r="E428">
        <v>1992</v>
      </c>
      <c r="F428" t="s">
        <v>16</v>
      </c>
      <c r="G428" t="s">
        <v>15</v>
      </c>
      <c r="H428" s="2">
        <v>57596.76</v>
      </c>
    </row>
    <row r="429" spans="1:8">
      <c r="A429" t="s">
        <v>34</v>
      </c>
      <c r="B429" t="s">
        <v>35</v>
      </c>
      <c r="C429" t="s">
        <v>25</v>
      </c>
      <c r="D429" t="s">
        <v>11</v>
      </c>
      <c r="E429">
        <v>1993</v>
      </c>
      <c r="F429" t="s">
        <v>22</v>
      </c>
      <c r="G429" t="s">
        <v>19</v>
      </c>
      <c r="H429" s="2">
        <v>0</v>
      </c>
    </row>
    <row r="430" spans="1:8">
      <c r="A430" t="s">
        <v>34</v>
      </c>
      <c r="B430" t="s">
        <v>35</v>
      </c>
      <c r="C430" t="s">
        <v>25</v>
      </c>
      <c r="D430" t="s">
        <v>11</v>
      </c>
      <c r="E430">
        <v>1993</v>
      </c>
      <c r="F430" t="s">
        <v>22</v>
      </c>
      <c r="G430" t="s">
        <v>17</v>
      </c>
      <c r="H430" s="2">
        <v>5902.22</v>
      </c>
    </row>
    <row r="431" spans="1:8">
      <c r="A431" t="s">
        <v>34</v>
      </c>
      <c r="B431" t="s">
        <v>35</v>
      </c>
      <c r="C431" t="s">
        <v>25</v>
      </c>
      <c r="D431" t="s">
        <v>11</v>
      </c>
      <c r="E431">
        <v>1993</v>
      </c>
      <c r="F431" t="s">
        <v>18</v>
      </c>
      <c r="G431" t="s">
        <v>19</v>
      </c>
      <c r="H431" s="2">
        <v>9114.7999999999993</v>
      </c>
    </row>
    <row r="432" spans="1:8">
      <c r="A432" t="s">
        <v>34</v>
      </c>
      <c r="B432" t="s">
        <v>35</v>
      </c>
      <c r="C432" t="s">
        <v>25</v>
      </c>
      <c r="D432" t="s">
        <v>11</v>
      </c>
      <c r="E432">
        <v>1993</v>
      </c>
      <c r="F432" t="s">
        <v>21</v>
      </c>
      <c r="G432" t="s">
        <v>17</v>
      </c>
      <c r="H432" s="2">
        <v>549.97</v>
      </c>
    </row>
    <row r="433" spans="1:8">
      <c r="A433" t="s">
        <v>34</v>
      </c>
      <c r="B433" t="s">
        <v>35</v>
      </c>
      <c r="C433" t="s">
        <v>25</v>
      </c>
      <c r="D433" t="s">
        <v>11</v>
      </c>
      <c r="E433">
        <v>1994</v>
      </c>
      <c r="F433" t="s">
        <v>12</v>
      </c>
      <c r="G433" t="s">
        <v>13</v>
      </c>
      <c r="H433" s="2">
        <v>71129.64</v>
      </c>
    </row>
    <row r="434" spans="1:8">
      <c r="A434" t="s">
        <v>34</v>
      </c>
      <c r="B434" t="s">
        <v>35</v>
      </c>
      <c r="C434" t="s">
        <v>25</v>
      </c>
      <c r="D434" t="s">
        <v>11</v>
      </c>
      <c r="E434">
        <v>1996</v>
      </c>
      <c r="F434" t="s">
        <v>22</v>
      </c>
      <c r="G434" t="s">
        <v>17</v>
      </c>
      <c r="H434" s="2">
        <v>6788.47</v>
      </c>
    </row>
    <row r="435" spans="1:8">
      <c r="A435" t="s">
        <v>34</v>
      </c>
      <c r="B435" t="s">
        <v>35</v>
      </c>
      <c r="C435" t="s">
        <v>25</v>
      </c>
      <c r="D435" t="s">
        <v>11</v>
      </c>
      <c r="E435">
        <v>1996</v>
      </c>
      <c r="F435" t="s">
        <v>12</v>
      </c>
      <c r="G435" t="s">
        <v>15</v>
      </c>
      <c r="H435" s="2">
        <v>5109.43</v>
      </c>
    </row>
    <row r="436" spans="1:8">
      <c r="A436" t="s">
        <v>34</v>
      </c>
      <c r="B436" t="s">
        <v>35</v>
      </c>
      <c r="C436" t="s">
        <v>25</v>
      </c>
      <c r="D436" t="s">
        <v>11</v>
      </c>
      <c r="E436">
        <v>1996</v>
      </c>
      <c r="F436" t="s">
        <v>21</v>
      </c>
      <c r="G436" t="s">
        <v>13</v>
      </c>
      <c r="H436" s="2">
        <v>71851.600000000006</v>
      </c>
    </row>
    <row r="437" spans="1:8">
      <c r="A437" t="s">
        <v>34</v>
      </c>
      <c r="B437" t="s">
        <v>35</v>
      </c>
      <c r="C437" t="s">
        <v>25</v>
      </c>
      <c r="D437" t="s">
        <v>11</v>
      </c>
      <c r="E437">
        <v>1996</v>
      </c>
      <c r="F437" t="s">
        <v>16</v>
      </c>
      <c r="G437" t="s">
        <v>17</v>
      </c>
      <c r="H437" s="2">
        <v>4053.94</v>
      </c>
    </row>
    <row r="438" spans="1:8">
      <c r="A438" t="s">
        <v>34</v>
      </c>
      <c r="B438" t="s">
        <v>35</v>
      </c>
      <c r="C438" t="s">
        <v>25</v>
      </c>
      <c r="D438" t="s">
        <v>11</v>
      </c>
      <c r="E438">
        <v>1997</v>
      </c>
      <c r="F438" t="s">
        <v>22</v>
      </c>
      <c r="G438" t="s">
        <v>15</v>
      </c>
      <c r="H438" s="2">
        <v>26281.46</v>
      </c>
    </row>
    <row r="439" spans="1:8">
      <c r="A439" t="s">
        <v>34</v>
      </c>
      <c r="B439" t="s">
        <v>35</v>
      </c>
      <c r="C439" t="s">
        <v>25</v>
      </c>
      <c r="D439" t="s">
        <v>11</v>
      </c>
      <c r="E439">
        <v>1997</v>
      </c>
      <c r="F439" t="s">
        <v>12</v>
      </c>
      <c r="G439" t="s">
        <v>17</v>
      </c>
      <c r="H439" s="2">
        <v>2412.1799999999998</v>
      </c>
    </row>
    <row r="440" spans="1:8">
      <c r="A440" t="s">
        <v>34</v>
      </c>
      <c r="B440" t="s">
        <v>35</v>
      </c>
      <c r="C440" t="s">
        <v>25</v>
      </c>
      <c r="D440" t="s">
        <v>11</v>
      </c>
      <c r="E440">
        <v>1997</v>
      </c>
      <c r="F440" t="s">
        <v>18</v>
      </c>
      <c r="G440" t="s">
        <v>19</v>
      </c>
      <c r="H440" s="2">
        <v>13848.99</v>
      </c>
    </row>
    <row r="441" spans="1:8">
      <c r="A441" t="s">
        <v>34</v>
      </c>
      <c r="B441" t="s">
        <v>35</v>
      </c>
      <c r="C441" t="s">
        <v>25</v>
      </c>
      <c r="D441" t="s">
        <v>11</v>
      </c>
      <c r="E441">
        <v>1997</v>
      </c>
      <c r="F441" t="s">
        <v>20</v>
      </c>
      <c r="G441" t="s">
        <v>13</v>
      </c>
      <c r="H441" s="2">
        <v>-67442.36</v>
      </c>
    </row>
    <row r="442" spans="1:8">
      <c r="A442" t="s">
        <v>34</v>
      </c>
      <c r="B442" t="s">
        <v>35</v>
      </c>
      <c r="C442" t="s">
        <v>25</v>
      </c>
      <c r="D442" t="s">
        <v>11</v>
      </c>
      <c r="E442">
        <v>1997</v>
      </c>
      <c r="F442" t="s">
        <v>14</v>
      </c>
      <c r="G442" t="s">
        <v>13</v>
      </c>
      <c r="H442" s="2">
        <v>11288.22</v>
      </c>
    </row>
    <row r="443" spans="1:8">
      <c r="A443" t="s">
        <v>34</v>
      </c>
      <c r="B443" t="s">
        <v>35</v>
      </c>
      <c r="C443" t="s">
        <v>25</v>
      </c>
      <c r="D443" t="s">
        <v>11</v>
      </c>
      <c r="E443">
        <v>1997</v>
      </c>
      <c r="F443" t="s">
        <v>21</v>
      </c>
      <c r="G443" t="s">
        <v>15</v>
      </c>
      <c r="H443" s="2">
        <v>1562.15</v>
      </c>
    </row>
    <row r="444" spans="1:8">
      <c r="A444" t="s">
        <v>34</v>
      </c>
      <c r="B444" t="s">
        <v>35</v>
      </c>
      <c r="C444" t="s">
        <v>25</v>
      </c>
      <c r="D444" t="s">
        <v>11</v>
      </c>
      <c r="E444">
        <v>1997</v>
      </c>
      <c r="F444" t="s">
        <v>16</v>
      </c>
      <c r="G444" t="s">
        <v>19</v>
      </c>
      <c r="H444" s="2">
        <v>0</v>
      </c>
    </row>
    <row r="445" spans="1:8">
      <c r="A445" t="s">
        <v>34</v>
      </c>
      <c r="B445" t="s">
        <v>35</v>
      </c>
      <c r="C445" t="s">
        <v>25</v>
      </c>
      <c r="D445" t="s">
        <v>11</v>
      </c>
      <c r="E445">
        <v>1998</v>
      </c>
      <c r="F445" t="s">
        <v>22</v>
      </c>
      <c r="G445" t="s">
        <v>15</v>
      </c>
      <c r="H445" s="2">
        <v>28836.48</v>
      </c>
    </row>
    <row r="446" spans="1:8">
      <c r="A446" t="s">
        <v>34</v>
      </c>
      <c r="B446" t="s">
        <v>35</v>
      </c>
      <c r="C446" t="s">
        <v>25</v>
      </c>
      <c r="D446" t="s">
        <v>11</v>
      </c>
      <c r="E446">
        <v>1998</v>
      </c>
      <c r="F446" t="s">
        <v>22</v>
      </c>
      <c r="G446" t="s">
        <v>13</v>
      </c>
      <c r="H446" s="2">
        <v>4026.31</v>
      </c>
    </row>
    <row r="447" spans="1:8">
      <c r="A447" t="s">
        <v>34</v>
      </c>
      <c r="B447" t="s">
        <v>35</v>
      </c>
      <c r="C447" t="s">
        <v>25</v>
      </c>
      <c r="D447" t="s">
        <v>11</v>
      </c>
      <c r="E447">
        <v>1998</v>
      </c>
      <c r="F447" t="s">
        <v>16</v>
      </c>
      <c r="G447" t="s">
        <v>19</v>
      </c>
      <c r="H447" s="2">
        <v>0</v>
      </c>
    </row>
    <row r="448" spans="1:8">
      <c r="A448" t="s">
        <v>34</v>
      </c>
      <c r="B448" t="s">
        <v>35</v>
      </c>
      <c r="C448" t="s">
        <v>25</v>
      </c>
      <c r="D448" t="s">
        <v>11</v>
      </c>
      <c r="E448">
        <v>1998</v>
      </c>
      <c r="F448" t="s">
        <v>16</v>
      </c>
      <c r="G448" t="s">
        <v>17</v>
      </c>
      <c r="H448" s="2">
        <v>4554.41</v>
      </c>
    </row>
    <row r="449" spans="1:8">
      <c r="A449" t="s">
        <v>34</v>
      </c>
      <c r="B449" t="s">
        <v>35</v>
      </c>
      <c r="C449" t="s">
        <v>25</v>
      </c>
      <c r="D449" t="s">
        <v>11</v>
      </c>
      <c r="E449">
        <v>1999</v>
      </c>
      <c r="F449" t="s">
        <v>12</v>
      </c>
      <c r="G449" t="s">
        <v>17</v>
      </c>
      <c r="H449" s="2">
        <v>2661.69</v>
      </c>
    </row>
    <row r="450" spans="1:8">
      <c r="A450" t="s">
        <v>34</v>
      </c>
      <c r="B450" t="s">
        <v>35</v>
      </c>
      <c r="C450" t="s">
        <v>25</v>
      </c>
      <c r="D450" t="s">
        <v>11</v>
      </c>
      <c r="E450">
        <v>1999</v>
      </c>
      <c r="F450" t="s">
        <v>21</v>
      </c>
      <c r="G450" t="s">
        <v>19</v>
      </c>
      <c r="H450" s="2">
        <v>0</v>
      </c>
    </row>
    <row r="451" spans="1:8">
      <c r="A451" t="s">
        <v>34</v>
      </c>
      <c r="B451" t="s">
        <v>35</v>
      </c>
      <c r="C451" t="s">
        <v>25</v>
      </c>
      <c r="D451" t="s">
        <v>11</v>
      </c>
      <c r="E451">
        <v>1999</v>
      </c>
      <c r="F451" t="s">
        <v>16</v>
      </c>
      <c r="G451" t="s">
        <v>15</v>
      </c>
      <c r="H451" s="2">
        <v>80539.06</v>
      </c>
    </row>
    <row r="452" spans="1:8">
      <c r="A452" t="s">
        <v>34</v>
      </c>
      <c r="B452" t="s">
        <v>35</v>
      </c>
      <c r="C452" t="s">
        <v>25</v>
      </c>
      <c r="D452" t="s">
        <v>11</v>
      </c>
      <c r="E452">
        <v>2000</v>
      </c>
      <c r="F452" t="s">
        <v>22</v>
      </c>
      <c r="G452" t="s">
        <v>13</v>
      </c>
      <c r="H452" s="2">
        <v>3832.98</v>
      </c>
    </row>
    <row r="453" spans="1:8">
      <c r="A453" t="s">
        <v>34</v>
      </c>
      <c r="B453" t="s">
        <v>35</v>
      </c>
      <c r="C453" t="s">
        <v>25</v>
      </c>
      <c r="D453" t="s">
        <v>11</v>
      </c>
      <c r="E453">
        <v>2000</v>
      </c>
      <c r="F453" t="s">
        <v>12</v>
      </c>
      <c r="G453" t="s">
        <v>13</v>
      </c>
      <c r="H453" s="2">
        <v>69202.83</v>
      </c>
    </row>
    <row r="454" spans="1:8">
      <c r="A454" t="s">
        <v>34</v>
      </c>
      <c r="B454" t="s">
        <v>35</v>
      </c>
      <c r="C454" t="s">
        <v>25</v>
      </c>
      <c r="D454" t="s">
        <v>11</v>
      </c>
      <c r="E454">
        <v>2000</v>
      </c>
      <c r="F454" t="s">
        <v>20</v>
      </c>
      <c r="G454" t="s">
        <v>17</v>
      </c>
      <c r="H454" s="2">
        <v>-725.88</v>
      </c>
    </row>
    <row r="455" spans="1:8">
      <c r="A455" t="s">
        <v>34</v>
      </c>
      <c r="B455" t="s">
        <v>35</v>
      </c>
      <c r="C455" t="s">
        <v>25</v>
      </c>
      <c r="D455" t="s">
        <v>11</v>
      </c>
      <c r="E455">
        <v>2000</v>
      </c>
      <c r="F455" t="s">
        <v>16</v>
      </c>
      <c r="G455" t="s">
        <v>19</v>
      </c>
      <c r="H455" s="2">
        <v>0</v>
      </c>
    </row>
    <row r="456" spans="1:8">
      <c r="A456" t="s">
        <v>34</v>
      </c>
      <c r="B456" t="s">
        <v>35</v>
      </c>
      <c r="C456" t="s">
        <v>25</v>
      </c>
      <c r="D456" t="s">
        <v>11</v>
      </c>
      <c r="E456">
        <v>2001</v>
      </c>
      <c r="F456" t="s">
        <v>22</v>
      </c>
      <c r="G456" t="s">
        <v>15</v>
      </c>
      <c r="H456" s="2">
        <v>30940.57</v>
      </c>
    </row>
    <row r="457" spans="1:8">
      <c r="A457" t="s">
        <v>34</v>
      </c>
      <c r="B457" t="s">
        <v>35</v>
      </c>
      <c r="C457" t="s">
        <v>25</v>
      </c>
      <c r="D457" t="s">
        <v>11</v>
      </c>
      <c r="E457">
        <v>2001</v>
      </c>
      <c r="F457" t="s">
        <v>22</v>
      </c>
      <c r="G457" t="s">
        <v>17</v>
      </c>
      <c r="H457" s="2">
        <v>10680.49</v>
      </c>
    </row>
    <row r="458" spans="1:8">
      <c r="A458" t="s">
        <v>34</v>
      </c>
      <c r="B458" t="s">
        <v>35</v>
      </c>
      <c r="C458" t="s">
        <v>25</v>
      </c>
      <c r="D458" t="s">
        <v>11</v>
      </c>
      <c r="E458">
        <v>2001</v>
      </c>
      <c r="F458" t="s">
        <v>21</v>
      </c>
      <c r="G458" t="s">
        <v>15</v>
      </c>
      <c r="H458" s="2">
        <v>1923.69</v>
      </c>
    </row>
    <row r="459" spans="1:8">
      <c r="A459" t="s">
        <v>34</v>
      </c>
      <c r="B459" t="s">
        <v>35</v>
      </c>
      <c r="C459" t="s">
        <v>25</v>
      </c>
      <c r="D459" t="s">
        <v>11</v>
      </c>
      <c r="E459">
        <v>2001</v>
      </c>
      <c r="F459" t="s">
        <v>21</v>
      </c>
      <c r="G459" t="s">
        <v>17</v>
      </c>
      <c r="H459" s="2">
        <v>955.68</v>
      </c>
    </row>
    <row r="460" spans="1:8">
      <c r="A460" t="s">
        <v>34</v>
      </c>
      <c r="B460" t="s">
        <v>35</v>
      </c>
      <c r="C460" t="s">
        <v>25</v>
      </c>
      <c r="D460" t="s">
        <v>11</v>
      </c>
      <c r="E460">
        <v>2002</v>
      </c>
      <c r="F460" t="s">
        <v>22</v>
      </c>
      <c r="G460" t="s">
        <v>13</v>
      </c>
      <c r="H460" s="2">
        <v>4170.88</v>
      </c>
    </row>
    <row r="461" spans="1:8">
      <c r="A461" t="s">
        <v>34</v>
      </c>
      <c r="B461" t="s">
        <v>35</v>
      </c>
      <c r="C461" t="s">
        <v>25</v>
      </c>
      <c r="D461" t="s">
        <v>11</v>
      </c>
      <c r="E461">
        <v>2002</v>
      </c>
      <c r="F461" t="s">
        <v>22</v>
      </c>
      <c r="G461" t="s">
        <v>19</v>
      </c>
      <c r="H461" s="2">
        <v>0</v>
      </c>
    </row>
    <row r="462" spans="1:8">
      <c r="A462" t="s">
        <v>34</v>
      </c>
      <c r="B462" t="s">
        <v>35</v>
      </c>
      <c r="C462" t="s">
        <v>25</v>
      </c>
      <c r="D462" t="s">
        <v>11</v>
      </c>
      <c r="E462">
        <v>2002</v>
      </c>
      <c r="F462" t="s">
        <v>12</v>
      </c>
      <c r="G462" t="s">
        <v>13</v>
      </c>
      <c r="H462" s="2">
        <v>86806.38</v>
      </c>
    </row>
    <row r="463" spans="1:8">
      <c r="A463" t="s">
        <v>34</v>
      </c>
      <c r="B463" t="s">
        <v>35</v>
      </c>
      <c r="C463" t="s">
        <v>25</v>
      </c>
      <c r="D463" t="s">
        <v>11</v>
      </c>
      <c r="E463">
        <v>2002</v>
      </c>
      <c r="F463" t="s">
        <v>14</v>
      </c>
      <c r="G463" t="s">
        <v>19</v>
      </c>
      <c r="H463" s="2">
        <v>0</v>
      </c>
    </row>
    <row r="464" spans="1:8">
      <c r="A464" t="s">
        <v>34</v>
      </c>
      <c r="B464" t="s">
        <v>35</v>
      </c>
      <c r="C464" t="s">
        <v>25</v>
      </c>
      <c r="D464" t="s">
        <v>11</v>
      </c>
      <c r="E464">
        <v>2002</v>
      </c>
      <c r="F464" t="s">
        <v>14</v>
      </c>
      <c r="G464" t="s">
        <v>17</v>
      </c>
      <c r="H464" s="2">
        <v>302.57</v>
      </c>
    </row>
    <row r="465" spans="1:8">
      <c r="A465" t="s">
        <v>34</v>
      </c>
      <c r="B465" t="s">
        <v>35</v>
      </c>
      <c r="C465" t="s">
        <v>25</v>
      </c>
      <c r="D465" t="s">
        <v>11</v>
      </c>
      <c r="E465">
        <v>2003</v>
      </c>
      <c r="F465" t="s">
        <v>12</v>
      </c>
      <c r="G465" t="s">
        <v>15</v>
      </c>
      <c r="H465" s="2">
        <v>7282.28</v>
      </c>
    </row>
    <row r="466" spans="1:8">
      <c r="A466" t="s">
        <v>34</v>
      </c>
      <c r="B466" t="s">
        <v>35</v>
      </c>
      <c r="C466" t="s">
        <v>25</v>
      </c>
      <c r="D466" t="s">
        <v>11</v>
      </c>
      <c r="E466">
        <v>2003</v>
      </c>
      <c r="F466" t="s">
        <v>12</v>
      </c>
      <c r="G466" t="s">
        <v>17</v>
      </c>
      <c r="H466" s="2">
        <v>2789.95</v>
      </c>
    </row>
    <row r="467" spans="1:8">
      <c r="A467" t="s">
        <v>34</v>
      </c>
      <c r="B467" t="s">
        <v>35</v>
      </c>
      <c r="C467" t="s">
        <v>25</v>
      </c>
      <c r="D467" t="s">
        <v>11</v>
      </c>
      <c r="E467">
        <v>2003</v>
      </c>
      <c r="F467" t="s">
        <v>18</v>
      </c>
      <c r="G467" t="s">
        <v>15</v>
      </c>
      <c r="H467" s="2">
        <v>16151.82</v>
      </c>
    </row>
    <row r="468" spans="1:8">
      <c r="A468" t="s">
        <v>34</v>
      </c>
      <c r="B468" t="s">
        <v>35</v>
      </c>
      <c r="C468" t="s">
        <v>25</v>
      </c>
      <c r="D468" t="s">
        <v>11</v>
      </c>
      <c r="E468">
        <v>2003</v>
      </c>
      <c r="F468" t="s">
        <v>18</v>
      </c>
      <c r="G468" t="s">
        <v>17</v>
      </c>
      <c r="H468" s="2">
        <v>16693.830000000002</v>
      </c>
    </row>
    <row r="469" spans="1:8">
      <c r="A469" t="s">
        <v>34</v>
      </c>
      <c r="B469" t="s">
        <v>35</v>
      </c>
      <c r="C469" t="s">
        <v>25</v>
      </c>
      <c r="D469" t="s">
        <v>11</v>
      </c>
      <c r="E469">
        <v>2003</v>
      </c>
      <c r="F469" t="s">
        <v>20</v>
      </c>
      <c r="G469" t="s">
        <v>13</v>
      </c>
      <c r="H469" s="2">
        <v>-74133.42</v>
      </c>
    </row>
    <row r="470" spans="1:8">
      <c r="A470" t="s">
        <v>34</v>
      </c>
      <c r="B470" t="s">
        <v>35</v>
      </c>
      <c r="C470" t="s">
        <v>25</v>
      </c>
      <c r="D470" t="s">
        <v>11</v>
      </c>
      <c r="E470">
        <v>2003</v>
      </c>
      <c r="F470" t="s">
        <v>16</v>
      </c>
      <c r="G470" t="s">
        <v>17</v>
      </c>
      <c r="H470" s="2">
        <v>5161.1400000000003</v>
      </c>
    </row>
    <row r="471" spans="1:8">
      <c r="A471" t="s">
        <v>34</v>
      </c>
      <c r="B471" t="s">
        <v>35</v>
      </c>
      <c r="C471" t="s">
        <v>25</v>
      </c>
      <c r="D471" t="s">
        <v>11</v>
      </c>
      <c r="E471">
        <v>2004</v>
      </c>
      <c r="F471" t="s">
        <v>22</v>
      </c>
      <c r="G471" t="s">
        <v>13</v>
      </c>
      <c r="H471" s="2">
        <v>4221.68</v>
      </c>
    </row>
    <row r="472" spans="1:8">
      <c r="A472" t="s">
        <v>34</v>
      </c>
      <c r="B472" t="s">
        <v>35</v>
      </c>
      <c r="C472" t="s">
        <v>25</v>
      </c>
      <c r="D472" t="s">
        <v>11</v>
      </c>
      <c r="E472">
        <v>2004</v>
      </c>
      <c r="F472" t="s">
        <v>12</v>
      </c>
      <c r="G472" t="s">
        <v>15</v>
      </c>
      <c r="H472" s="2">
        <v>6805.89</v>
      </c>
    </row>
    <row r="473" spans="1:8">
      <c r="A473" t="s">
        <v>34</v>
      </c>
      <c r="B473" t="s">
        <v>35</v>
      </c>
      <c r="C473" t="s">
        <v>25</v>
      </c>
      <c r="D473" t="s">
        <v>11</v>
      </c>
      <c r="E473">
        <v>2004</v>
      </c>
      <c r="F473" t="s">
        <v>12</v>
      </c>
      <c r="G473" t="s">
        <v>13</v>
      </c>
      <c r="H473" s="2">
        <v>76244.789999999994</v>
      </c>
    </row>
    <row r="474" spans="1:8">
      <c r="A474" t="s">
        <v>34</v>
      </c>
      <c r="B474" t="s">
        <v>35</v>
      </c>
      <c r="C474" t="s">
        <v>25</v>
      </c>
      <c r="D474" t="s">
        <v>11</v>
      </c>
      <c r="E474">
        <v>2004</v>
      </c>
      <c r="F474" t="s">
        <v>20</v>
      </c>
      <c r="G474" t="s">
        <v>13</v>
      </c>
      <c r="H474" s="2">
        <v>-75530.100000000006</v>
      </c>
    </row>
    <row r="475" spans="1:8">
      <c r="A475" t="s">
        <v>34</v>
      </c>
      <c r="B475" t="s">
        <v>35</v>
      </c>
      <c r="C475" t="s">
        <v>25</v>
      </c>
      <c r="D475" t="s">
        <v>11</v>
      </c>
      <c r="E475">
        <v>2004</v>
      </c>
      <c r="F475" t="s">
        <v>20</v>
      </c>
      <c r="G475" t="s">
        <v>19</v>
      </c>
      <c r="H475" s="2">
        <v>0</v>
      </c>
    </row>
    <row r="476" spans="1:8">
      <c r="A476" t="s">
        <v>34</v>
      </c>
      <c r="B476" t="s">
        <v>35</v>
      </c>
      <c r="C476" t="s">
        <v>25</v>
      </c>
      <c r="D476" t="s">
        <v>11</v>
      </c>
      <c r="E476">
        <v>2004</v>
      </c>
      <c r="F476" t="s">
        <v>21</v>
      </c>
      <c r="G476" t="s">
        <v>13</v>
      </c>
      <c r="H476" s="2">
        <v>94353.77</v>
      </c>
    </row>
    <row r="477" spans="1:8">
      <c r="A477" t="s">
        <v>34</v>
      </c>
      <c r="B477" t="s">
        <v>35</v>
      </c>
      <c r="C477" t="s">
        <v>25</v>
      </c>
      <c r="D477" t="s">
        <v>11</v>
      </c>
      <c r="E477">
        <v>2005</v>
      </c>
      <c r="F477" t="s">
        <v>22</v>
      </c>
      <c r="G477" t="s">
        <v>15</v>
      </c>
      <c r="H477" s="2">
        <v>31539.63</v>
      </c>
    </row>
    <row r="478" spans="1:8">
      <c r="A478" t="s">
        <v>34</v>
      </c>
      <c r="B478" t="s">
        <v>35</v>
      </c>
      <c r="C478" t="s">
        <v>25</v>
      </c>
      <c r="D478" t="s">
        <v>11</v>
      </c>
      <c r="E478">
        <v>2005</v>
      </c>
      <c r="F478" t="s">
        <v>12</v>
      </c>
      <c r="G478" t="s">
        <v>19</v>
      </c>
      <c r="H478" s="2">
        <v>0</v>
      </c>
    </row>
    <row r="479" spans="1:8">
      <c r="A479" t="s">
        <v>34</v>
      </c>
      <c r="B479" t="s">
        <v>35</v>
      </c>
      <c r="C479" t="s">
        <v>25</v>
      </c>
      <c r="D479" t="s">
        <v>11</v>
      </c>
      <c r="E479">
        <v>2005</v>
      </c>
      <c r="F479" t="s">
        <v>21</v>
      </c>
      <c r="G479" t="s">
        <v>17</v>
      </c>
      <c r="H479" s="2">
        <v>876.74</v>
      </c>
    </row>
    <row r="480" spans="1:8">
      <c r="A480" t="s">
        <v>34</v>
      </c>
      <c r="B480" t="s">
        <v>35</v>
      </c>
      <c r="C480" t="s">
        <v>25</v>
      </c>
      <c r="D480" t="s">
        <v>11</v>
      </c>
      <c r="E480">
        <v>2006</v>
      </c>
      <c r="F480" t="s">
        <v>12</v>
      </c>
      <c r="G480" t="s">
        <v>15</v>
      </c>
      <c r="H480" s="2">
        <v>6407.88</v>
      </c>
    </row>
    <row r="481" spans="1:8">
      <c r="A481" t="s">
        <v>34</v>
      </c>
      <c r="B481" t="s">
        <v>35</v>
      </c>
      <c r="C481" t="s">
        <v>25</v>
      </c>
      <c r="D481" t="s">
        <v>11</v>
      </c>
      <c r="E481">
        <v>2006</v>
      </c>
      <c r="F481" t="s">
        <v>18</v>
      </c>
      <c r="G481" t="s">
        <v>13</v>
      </c>
      <c r="H481" s="2">
        <v>313183.37</v>
      </c>
    </row>
    <row r="482" spans="1:8">
      <c r="A482" t="s">
        <v>34</v>
      </c>
      <c r="B482" t="s">
        <v>35</v>
      </c>
      <c r="C482" t="s">
        <v>25</v>
      </c>
      <c r="D482" t="s">
        <v>11</v>
      </c>
      <c r="E482">
        <v>2007</v>
      </c>
      <c r="F482" t="s">
        <v>14</v>
      </c>
      <c r="G482" t="s">
        <v>19</v>
      </c>
      <c r="H482" s="2">
        <v>0</v>
      </c>
    </row>
    <row r="483" spans="1:8">
      <c r="A483" t="s">
        <v>34</v>
      </c>
      <c r="B483" t="s">
        <v>35</v>
      </c>
      <c r="C483" t="s">
        <v>25</v>
      </c>
      <c r="D483" t="s">
        <v>11</v>
      </c>
      <c r="E483">
        <v>2007</v>
      </c>
      <c r="F483" t="s">
        <v>16</v>
      </c>
      <c r="G483" t="s">
        <v>17</v>
      </c>
      <c r="H483" s="2">
        <v>6093.71</v>
      </c>
    </row>
    <row r="484" spans="1:8">
      <c r="A484" t="s">
        <v>34</v>
      </c>
      <c r="B484" t="s">
        <v>35</v>
      </c>
      <c r="C484" t="s">
        <v>25</v>
      </c>
      <c r="D484" t="s">
        <v>11</v>
      </c>
      <c r="E484">
        <v>2008</v>
      </c>
      <c r="F484" t="s">
        <v>12</v>
      </c>
      <c r="G484" t="s">
        <v>15</v>
      </c>
      <c r="H484" s="2">
        <v>7996.35</v>
      </c>
    </row>
    <row r="485" spans="1:8">
      <c r="A485" t="s">
        <v>34</v>
      </c>
      <c r="B485" t="s">
        <v>35</v>
      </c>
      <c r="C485" t="s">
        <v>25</v>
      </c>
      <c r="D485" t="s">
        <v>11</v>
      </c>
      <c r="E485">
        <v>2008</v>
      </c>
      <c r="F485" t="s">
        <v>20</v>
      </c>
      <c r="G485" t="s">
        <v>13</v>
      </c>
      <c r="H485" s="2">
        <v>-105225.91</v>
      </c>
    </row>
    <row r="486" spans="1:8">
      <c r="A486" t="s">
        <v>34</v>
      </c>
      <c r="B486" t="s">
        <v>35</v>
      </c>
      <c r="C486" t="s">
        <v>25</v>
      </c>
      <c r="D486" t="s">
        <v>11</v>
      </c>
      <c r="E486">
        <v>2008</v>
      </c>
      <c r="F486" t="s">
        <v>20</v>
      </c>
      <c r="G486" t="s">
        <v>19</v>
      </c>
      <c r="H486" s="2">
        <v>0</v>
      </c>
    </row>
    <row r="487" spans="1:8">
      <c r="A487" t="s">
        <v>34</v>
      </c>
      <c r="B487" t="s">
        <v>35</v>
      </c>
      <c r="C487" t="s">
        <v>25</v>
      </c>
      <c r="D487" t="s">
        <v>11</v>
      </c>
      <c r="E487">
        <v>2008</v>
      </c>
      <c r="F487" t="s">
        <v>14</v>
      </c>
      <c r="G487" t="s">
        <v>15</v>
      </c>
      <c r="H487" s="2">
        <v>506.65</v>
      </c>
    </row>
    <row r="488" spans="1:8">
      <c r="A488" t="s">
        <v>34</v>
      </c>
      <c r="B488" t="s">
        <v>35</v>
      </c>
      <c r="C488" t="s">
        <v>25</v>
      </c>
      <c r="D488" t="s">
        <v>11</v>
      </c>
      <c r="E488">
        <v>2008</v>
      </c>
      <c r="F488" t="s">
        <v>14</v>
      </c>
      <c r="G488" t="s">
        <v>13</v>
      </c>
      <c r="H488" s="2">
        <v>16447.16</v>
      </c>
    </row>
    <row r="489" spans="1:8">
      <c r="A489" t="s">
        <v>34</v>
      </c>
      <c r="B489" t="s">
        <v>35</v>
      </c>
      <c r="C489" t="s">
        <v>25</v>
      </c>
      <c r="D489" t="s">
        <v>11</v>
      </c>
      <c r="E489">
        <v>2008</v>
      </c>
      <c r="F489" t="s">
        <v>21</v>
      </c>
      <c r="G489" t="s">
        <v>17</v>
      </c>
      <c r="H489" s="2">
        <v>1116.29</v>
      </c>
    </row>
    <row r="490" spans="1:8">
      <c r="A490" t="s">
        <v>34</v>
      </c>
      <c r="B490" t="s">
        <v>35</v>
      </c>
      <c r="C490" t="s">
        <v>25</v>
      </c>
      <c r="D490" t="s">
        <v>11</v>
      </c>
      <c r="E490">
        <v>2009</v>
      </c>
      <c r="F490" t="s">
        <v>12</v>
      </c>
      <c r="G490" t="s">
        <v>15</v>
      </c>
      <c r="H490" s="2">
        <v>8018.3</v>
      </c>
    </row>
    <row r="491" spans="1:8">
      <c r="A491" t="s">
        <v>34</v>
      </c>
      <c r="B491" t="s">
        <v>35</v>
      </c>
      <c r="C491" t="s">
        <v>25</v>
      </c>
      <c r="D491" t="s">
        <v>11</v>
      </c>
      <c r="E491">
        <v>2009</v>
      </c>
      <c r="F491" t="s">
        <v>12</v>
      </c>
      <c r="G491" t="s">
        <v>17</v>
      </c>
      <c r="H491" s="2">
        <v>3063.55</v>
      </c>
    </row>
    <row r="492" spans="1:8">
      <c r="A492" t="s">
        <v>34</v>
      </c>
      <c r="B492" t="s">
        <v>35</v>
      </c>
      <c r="C492" t="s">
        <v>25</v>
      </c>
      <c r="D492" t="s">
        <v>11</v>
      </c>
      <c r="E492">
        <v>2009</v>
      </c>
      <c r="F492" t="s">
        <v>21</v>
      </c>
      <c r="G492" t="s">
        <v>19</v>
      </c>
      <c r="H492" s="2">
        <v>0</v>
      </c>
    </row>
    <row r="493" spans="1:8">
      <c r="A493" t="s">
        <v>34</v>
      </c>
      <c r="B493" t="s">
        <v>35</v>
      </c>
      <c r="C493" t="s">
        <v>25</v>
      </c>
      <c r="D493" t="s">
        <v>11</v>
      </c>
      <c r="E493">
        <v>2009</v>
      </c>
      <c r="F493" t="s">
        <v>16</v>
      </c>
      <c r="G493" t="s">
        <v>15</v>
      </c>
      <c r="H493" s="2">
        <v>86844.63</v>
      </c>
    </row>
    <row r="494" spans="1:8">
      <c r="A494" t="s">
        <v>34</v>
      </c>
      <c r="B494" t="s">
        <v>35</v>
      </c>
      <c r="C494" t="s">
        <v>25</v>
      </c>
      <c r="D494" t="s">
        <v>11</v>
      </c>
      <c r="E494">
        <v>2010</v>
      </c>
      <c r="F494" t="s">
        <v>18</v>
      </c>
      <c r="G494" t="s">
        <v>19</v>
      </c>
      <c r="H494" s="2">
        <v>19140.439999999999</v>
      </c>
    </row>
    <row r="495" spans="1:8">
      <c r="A495" t="s">
        <v>34</v>
      </c>
      <c r="B495" t="s">
        <v>35</v>
      </c>
      <c r="C495" t="s">
        <v>25</v>
      </c>
      <c r="D495" t="s">
        <v>11</v>
      </c>
      <c r="E495">
        <v>2010</v>
      </c>
      <c r="F495" t="s">
        <v>14</v>
      </c>
      <c r="G495" t="s">
        <v>15</v>
      </c>
      <c r="H495" s="2">
        <v>488.24</v>
      </c>
    </row>
    <row r="496" spans="1:8">
      <c r="A496" t="s">
        <v>34</v>
      </c>
      <c r="B496" t="s">
        <v>35</v>
      </c>
      <c r="C496" t="s">
        <v>25</v>
      </c>
      <c r="D496" t="s">
        <v>11</v>
      </c>
      <c r="E496">
        <v>2010</v>
      </c>
      <c r="F496" t="s">
        <v>14</v>
      </c>
      <c r="G496" t="s">
        <v>17</v>
      </c>
      <c r="H496" s="2">
        <v>332.96</v>
      </c>
    </row>
    <row r="497" spans="1:8">
      <c r="A497" t="s">
        <v>34</v>
      </c>
      <c r="B497" t="s">
        <v>35</v>
      </c>
      <c r="C497" t="s">
        <v>25</v>
      </c>
      <c r="D497" t="s">
        <v>11</v>
      </c>
      <c r="E497">
        <v>2011</v>
      </c>
      <c r="F497" t="s">
        <v>22</v>
      </c>
      <c r="G497" t="s">
        <v>15</v>
      </c>
      <c r="H497" s="2">
        <v>34315.54</v>
      </c>
    </row>
    <row r="498" spans="1:8">
      <c r="A498" t="s">
        <v>34</v>
      </c>
      <c r="B498" t="s">
        <v>35</v>
      </c>
      <c r="C498" t="s">
        <v>25</v>
      </c>
      <c r="D498" t="s">
        <v>11</v>
      </c>
      <c r="E498">
        <v>2011</v>
      </c>
      <c r="F498" t="s">
        <v>22</v>
      </c>
      <c r="G498" t="s">
        <v>17</v>
      </c>
      <c r="H498" s="2">
        <v>10375.64</v>
      </c>
    </row>
    <row r="499" spans="1:8">
      <c r="A499" t="s">
        <v>34</v>
      </c>
      <c r="B499" t="s">
        <v>35</v>
      </c>
      <c r="C499" t="s">
        <v>25</v>
      </c>
      <c r="D499" t="s">
        <v>11</v>
      </c>
      <c r="E499">
        <v>2011</v>
      </c>
      <c r="F499" t="s">
        <v>14</v>
      </c>
      <c r="G499" t="s">
        <v>13</v>
      </c>
      <c r="H499" s="2">
        <v>13773.94</v>
      </c>
    </row>
    <row r="500" spans="1:8">
      <c r="A500" t="s">
        <v>34</v>
      </c>
      <c r="B500" t="s">
        <v>35</v>
      </c>
      <c r="C500" t="s">
        <v>25</v>
      </c>
      <c r="D500" t="s">
        <v>11</v>
      </c>
      <c r="E500">
        <v>2011</v>
      </c>
      <c r="F500" t="s">
        <v>21</v>
      </c>
      <c r="G500" t="s">
        <v>15</v>
      </c>
      <c r="H500" s="2">
        <v>1921.32</v>
      </c>
    </row>
    <row r="501" spans="1:8">
      <c r="A501" t="s">
        <v>34</v>
      </c>
      <c r="B501" t="s">
        <v>35</v>
      </c>
      <c r="C501" t="s">
        <v>25</v>
      </c>
      <c r="D501" t="s">
        <v>11</v>
      </c>
      <c r="E501">
        <v>2012</v>
      </c>
      <c r="F501" t="s">
        <v>22</v>
      </c>
      <c r="G501" t="s">
        <v>17</v>
      </c>
      <c r="H501" s="2">
        <v>11294.86</v>
      </c>
    </row>
    <row r="502" spans="1:8">
      <c r="A502" t="s">
        <v>34</v>
      </c>
      <c r="B502" t="s">
        <v>35</v>
      </c>
      <c r="C502" t="s">
        <v>25</v>
      </c>
      <c r="D502" t="s">
        <v>11</v>
      </c>
      <c r="E502">
        <v>2012</v>
      </c>
      <c r="F502" t="s">
        <v>18</v>
      </c>
      <c r="G502" t="s">
        <v>19</v>
      </c>
      <c r="H502" s="2">
        <v>21274.14</v>
      </c>
    </row>
    <row r="503" spans="1:8">
      <c r="A503" t="s">
        <v>34</v>
      </c>
      <c r="B503" t="s">
        <v>35</v>
      </c>
      <c r="C503" t="s">
        <v>25</v>
      </c>
      <c r="D503" t="s">
        <v>11</v>
      </c>
      <c r="E503">
        <v>2012</v>
      </c>
      <c r="F503" t="s">
        <v>20</v>
      </c>
      <c r="G503" t="s">
        <v>17</v>
      </c>
      <c r="H503" s="2">
        <v>-991.38</v>
      </c>
    </row>
    <row r="504" spans="1:8">
      <c r="A504" t="s">
        <v>34</v>
      </c>
      <c r="B504" t="s">
        <v>35</v>
      </c>
      <c r="C504" t="s">
        <v>25</v>
      </c>
      <c r="D504" t="s">
        <v>11</v>
      </c>
      <c r="E504">
        <v>2012</v>
      </c>
      <c r="F504" t="s">
        <v>16</v>
      </c>
      <c r="G504" t="s">
        <v>15</v>
      </c>
      <c r="H504" s="2">
        <v>108692.16</v>
      </c>
    </row>
    <row r="505" spans="1:8">
      <c r="A505" t="s">
        <v>34</v>
      </c>
      <c r="B505" t="s">
        <v>35</v>
      </c>
      <c r="C505" t="s">
        <v>25</v>
      </c>
      <c r="D505" t="s">
        <v>11</v>
      </c>
      <c r="E505">
        <v>2013</v>
      </c>
      <c r="F505" t="s">
        <v>16</v>
      </c>
      <c r="G505" t="s">
        <v>15</v>
      </c>
      <c r="H505" s="2">
        <v>92074.01</v>
      </c>
    </row>
    <row r="506" spans="1:8">
      <c r="A506" t="s">
        <v>34</v>
      </c>
      <c r="B506" t="s">
        <v>35</v>
      </c>
      <c r="C506" t="s">
        <v>25</v>
      </c>
      <c r="D506" t="s">
        <v>11</v>
      </c>
      <c r="E506">
        <v>2013</v>
      </c>
      <c r="F506" t="s">
        <v>16</v>
      </c>
      <c r="G506" t="s">
        <v>13</v>
      </c>
      <c r="H506" s="2">
        <v>17241.73</v>
      </c>
    </row>
    <row r="507" spans="1:8">
      <c r="A507" t="s">
        <v>34</v>
      </c>
      <c r="B507" t="s">
        <v>35</v>
      </c>
      <c r="C507" t="s">
        <v>25</v>
      </c>
      <c r="D507" t="s">
        <v>11</v>
      </c>
      <c r="E507">
        <v>2014</v>
      </c>
      <c r="F507" t="s">
        <v>21</v>
      </c>
      <c r="G507" t="s">
        <v>15</v>
      </c>
      <c r="H507" s="2">
        <v>2035.7</v>
      </c>
    </row>
    <row r="508" spans="1:8">
      <c r="A508" t="s">
        <v>34</v>
      </c>
      <c r="B508" t="s">
        <v>35</v>
      </c>
      <c r="C508" t="s">
        <v>25</v>
      </c>
      <c r="D508" t="s">
        <v>11</v>
      </c>
      <c r="E508">
        <v>2015</v>
      </c>
      <c r="F508" t="s">
        <v>18</v>
      </c>
      <c r="G508" t="s">
        <v>13</v>
      </c>
      <c r="H508" s="2">
        <v>311497.5</v>
      </c>
    </row>
    <row r="509" spans="1:8">
      <c r="A509" t="s">
        <v>34</v>
      </c>
      <c r="B509" t="s">
        <v>35</v>
      </c>
      <c r="C509" t="s">
        <v>25</v>
      </c>
      <c r="D509" t="s">
        <v>11</v>
      </c>
      <c r="E509">
        <v>2015</v>
      </c>
      <c r="F509" t="s">
        <v>21</v>
      </c>
      <c r="G509" t="s">
        <v>19</v>
      </c>
      <c r="H509" s="2">
        <v>0</v>
      </c>
    </row>
    <row r="510" spans="1:8">
      <c r="A510" t="s">
        <v>34</v>
      </c>
      <c r="B510" t="s">
        <v>35</v>
      </c>
      <c r="C510" t="s">
        <v>25</v>
      </c>
      <c r="D510" t="s">
        <v>11</v>
      </c>
      <c r="E510">
        <v>2016</v>
      </c>
      <c r="F510" t="s">
        <v>12</v>
      </c>
      <c r="G510" t="s">
        <v>13</v>
      </c>
      <c r="H510" s="2">
        <v>92115.3</v>
      </c>
    </row>
    <row r="511" spans="1:8">
      <c r="A511" t="s">
        <v>34</v>
      </c>
      <c r="B511" t="s">
        <v>35</v>
      </c>
      <c r="C511" t="s">
        <v>25</v>
      </c>
      <c r="D511" t="s">
        <v>11</v>
      </c>
      <c r="E511">
        <v>2016</v>
      </c>
      <c r="F511" t="s">
        <v>18</v>
      </c>
      <c r="G511" t="s">
        <v>17</v>
      </c>
      <c r="H511" s="2">
        <v>19823.97</v>
      </c>
    </row>
    <row r="512" spans="1:8">
      <c r="A512" t="s">
        <v>34</v>
      </c>
      <c r="B512" t="s">
        <v>35</v>
      </c>
      <c r="C512" t="s">
        <v>25</v>
      </c>
      <c r="D512" t="s">
        <v>11</v>
      </c>
      <c r="E512">
        <v>2016</v>
      </c>
      <c r="F512" t="s">
        <v>20</v>
      </c>
      <c r="G512" t="s">
        <v>15</v>
      </c>
      <c r="H512" s="2">
        <v>-967.75</v>
      </c>
    </row>
    <row r="513" spans="1:8">
      <c r="A513" t="s">
        <v>34</v>
      </c>
      <c r="B513" t="s">
        <v>35</v>
      </c>
      <c r="C513" t="s">
        <v>25</v>
      </c>
      <c r="D513" t="s">
        <v>11</v>
      </c>
      <c r="E513">
        <v>2017</v>
      </c>
      <c r="F513" t="s">
        <v>12</v>
      </c>
      <c r="G513" t="s">
        <v>17</v>
      </c>
      <c r="H513" s="2">
        <v>3838.05</v>
      </c>
    </row>
    <row r="514" spans="1:8">
      <c r="A514" t="s">
        <v>34</v>
      </c>
      <c r="B514" t="s">
        <v>35</v>
      </c>
      <c r="C514" t="s">
        <v>25</v>
      </c>
      <c r="D514" t="s">
        <v>11</v>
      </c>
      <c r="E514">
        <v>2018</v>
      </c>
      <c r="F514" t="s">
        <v>12</v>
      </c>
      <c r="G514" t="s">
        <v>13</v>
      </c>
      <c r="H514" s="2">
        <v>93307.16</v>
      </c>
    </row>
    <row r="515" spans="1:8">
      <c r="A515" t="s">
        <v>34</v>
      </c>
      <c r="B515" t="s">
        <v>35</v>
      </c>
      <c r="C515" t="s">
        <v>25</v>
      </c>
      <c r="D515" t="s">
        <v>11</v>
      </c>
      <c r="E515">
        <v>2018</v>
      </c>
      <c r="F515" t="s">
        <v>12</v>
      </c>
      <c r="G515" t="s">
        <v>17</v>
      </c>
      <c r="H515" s="2">
        <v>3003.81</v>
      </c>
    </row>
    <row r="516" spans="1:8">
      <c r="A516" t="s">
        <v>34</v>
      </c>
      <c r="B516" t="s">
        <v>35</v>
      </c>
      <c r="C516" t="s">
        <v>25</v>
      </c>
      <c r="D516" t="s">
        <v>11</v>
      </c>
      <c r="E516">
        <v>2018</v>
      </c>
      <c r="F516" t="s">
        <v>14</v>
      </c>
      <c r="G516" t="s">
        <v>15</v>
      </c>
      <c r="H516" s="2">
        <v>468.12</v>
      </c>
    </row>
    <row r="517" spans="1:8">
      <c r="A517" t="s">
        <v>34</v>
      </c>
      <c r="B517" t="s">
        <v>35</v>
      </c>
      <c r="C517" t="s">
        <v>25</v>
      </c>
      <c r="D517" t="s">
        <v>11</v>
      </c>
      <c r="E517">
        <v>2018</v>
      </c>
      <c r="F517" t="s">
        <v>21</v>
      </c>
      <c r="G517" t="s">
        <v>17</v>
      </c>
      <c r="H517" s="2">
        <v>1018.91</v>
      </c>
    </row>
    <row r="518" spans="1:8">
      <c r="A518" t="s">
        <v>34</v>
      </c>
      <c r="B518" t="s">
        <v>35</v>
      </c>
      <c r="C518" t="s">
        <v>25</v>
      </c>
      <c r="D518" t="s">
        <v>11</v>
      </c>
      <c r="E518">
        <v>2019</v>
      </c>
      <c r="F518" t="s">
        <v>20</v>
      </c>
      <c r="G518" t="s">
        <v>15</v>
      </c>
      <c r="H518" s="2">
        <v>-927.88</v>
      </c>
    </row>
    <row r="519" spans="1:8">
      <c r="A519" t="s">
        <v>34</v>
      </c>
      <c r="B519" t="s">
        <v>35</v>
      </c>
      <c r="C519" t="s">
        <v>25</v>
      </c>
      <c r="D519" t="s">
        <v>11</v>
      </c>
      <c r="E519">
        <v>2019</v>
      </c>
      <c r="F519" t="s">
        <v>20</v>
      </c>
      <c r="G519" t="s">
        <v>19</v>
      </c>
      <c r="H519" s="2">
        <v>0</v>
      </c>
    </row>
    <row r="520" spans="1:8">
      <c r="A520" t="s">
        <v>34</v>
      </c>
      <c r="B520" t="s">
        <v>35</v>
      </c>
      <c r="C520" t="s">
        <v>25</v>
      </c>
      <c r="D520" t="s">
        <v>11</v>
      </c>
      <c r="E520">
        <v>2020</v>
      </c>
      <c r="F520" t="s">
        <v>22</v>
      </c>
      <c r="G520" t="s">
        <v>13</v>
      </c>
      <c r="H520" s="2">
        <v>5211.03</v>
      </c>
    </row>
    <row r="521" spans="1:8">
      <c r="A521" t="s">
        <v>34</v>
      </c>
      <c r="B521" t="s">
        <v>35</v>
      </c>
      <c r="C521" t="s">
        <v>25</v>
      </c>
      <c r="D521" t="s">
        <v>11</v>
      </c>
      <c r="E521">
        <v>2020</v>
      </c>
      <c r="F521" t="s">
        <v>21</v>
      </c>
      <c r="G521" t="s">
        <v>17</v>
      </c>
      <c r="H521" s="2">
        <v>1090.03</v>
      </c>
    </row>
    <row r="522" spans="1:8">
      <c r="A522" t="s">
        <v>34</v>
      </c>
      <c r="B522" t="s">
        <v>35</v>
      </c>
      <c r="C522" t="s">
        <v>25</v>
      </c>
      <c r="D522" t="s">
        <v>11</v>
      </c>
      <c r="E522">
        <v>2021</v>
      </c>
      <c r="F522" t="s">
        <v>22</v>
      </c>
      <c r="G522" t="s">
        <v>19</v>
      </c>
      <c r="H522" s="2">
        <v>0</v>
      </c>
    </row>
    <row r="523" spans="1:8">
      <c r="A523" t="s">
        <v>34</v>
      </c>
      <c r="B523" t="s">
        <v>35</v>
      </c>
      <c r="C523" t="s">
        <v>25</v>
      </c>
      <c r="D523" t="s">
        <v>11</v>
      </c>
      <c r="E523">
        <v>2021</v>
      </c>
      <c r="F523" t="s">
        <v>12</v>
      </c>
      <c r="G523" t="s">
        <v>19</v>
      </c>
      <c r="H523" s="2">
        <v>0</v>
      </c>
    </row>
    <row r="524" spans="1:8">
      <c r="A524" t="s">
        <v>34</v>
      </c>
      <c r="B524" t="s">
        <v>35</v>
      </c>
      <c r="C524" t="s">
        <v>25</v>
      </c>
      <c r="D524" t="s">
        <v>11</v>
      </c>
      <c r="E524">
        <v>2021</v>
      </c>
      <c r="F524" t="s">
        <v>21</v>
      </c>
      <c r="G524" t="s">
        <v>15</v>
      </c>
      <c r="H524" s="2">
        <v>2356.14</v>
      </c>
    </row>
    <row r="525" spans="1:8">
      <c r="A525" t="s">
        <v>34</v>
      </c>
      <c r="B525" t="s">
        <v>35</v>
      </c>
      <c r="C525" t="s">
        <v>25</v>
      </c>
      <c r="D525" t="s">
        <v>11</v>
      </c>
      <c r="E525">
        <v>2021</v>
      </c>
      <c r="F525" t="s">
        <v>21</v>
      </c>
      <c r="G525" t="s">
        <v>17</v>
      </c>
      <c r="H525" s="2">
        <v>1105.5899999999999</v>
      </c>
    </row>
    <row r="526" spans="1:8">
      <c r="A526" t="s">
        <v>34</v>
      </c>
      <c r="B526" t="s">
        <v>35</v>
      </c>
      <c r="C526" t="s">
        <v>25</v>
      </c>
      <c r="D526" t="s">
        <v>11</v>
      </c>
      <c r="E526">
        <v>2022</v>
      </c>
      <c r="F526" t="s">
        <v>18</v>
      </c>
      <c r="G526" t="s">
        <v>15</v>
      </c>
      <c r="H526" s="2">
        <v>15930.91</v>
      </c>
    </row>
    <row r="527" spans="1:8">
      <c r="A527" t="s">
        <v>34</v>
      </c>
      <c r="B527" t="s">
        <v>35</v>
      </c>
      <c r="C527" t="s">
        <v>25</v>
      </c>
      <c r="D527" t="s">
        <v>11</v>
      </c>
      <c r="E527">
        <v>2022</v>
      </c>
      <c r="F527" t="s">
        <v>18</v>
      </c>
      <c r="G527" t="s">
        <v>17</v>
      </c>
      <c r="H527" s="2">
        <v>17300.11</v>
      </c>
    </row>
    <row r="528" spans="1:8">
      <c r="A528" t="s">
        <v>34</v>
      </c>
      <c r="B528" t="s">
        <v>35</v>
      </c>
      <c r="C528" t="s">
        <v>25</v>
      </c>
      <c r="D528" t="s">
        <v>11</v>
      </c>
      <c r="E528">
        <v>2022</v>
      </c>
      <c r="F528" t="s">
        <v>14</v>
      </c>
      <c r="G528" t="s">
        <v>15</v>
      </c>
      <c r="H528" s="2">
        <v>444.73</v>
      </c>
    </row>
    <row r="529" spans="1:8">
      <c r="A529" t="s">
        <v>34</v>
      </c>
      <c r="B529" t="s">
        <v>35</v>
      </c>
      <c r="C529" t="s">
        <v>25</v>
      </c>
      <c r="D529" t="s">
        <v>11</v>
      </c>
      <c r="E529">
        <v>2022</v>
      </c>
      <c r="F529" t="s">
        <v>14</v>
      </c>
      <c r="G529" t="s">
        <v>19</v>
      </c>
      <c r="H529" s="2">
        <v>0</v>
      </c>
    </row>
    <row r="530" spans="1:8">
      <c r="A530" t="s">
        <v>34</v>
      </c>
      <c r="B530" t="s">
        <v>35</v>
      </c>
      <c r="C530" t="s">
        <v>25</v>
      </c>
      <c r="D530" t="s">
        <v>11</v>
      </c>
      <c r="E530">
        <v>2022</v>
      </c>
      <c r="F530" t="s">
        <v>16</v>
      </c>
      <c r="G530" t="s">
        <v>13</v>
      </c>
      <c r="H530" s="2">
        <v>16907.580000000002</v>
      </c>
    </row>
    <row r="531" spans="1:8">
      <c r="A531" t="s">
        <v>34</v>
      </c>
      <c r="B531" t="s">
        <v>35</v>
      </c>
      <c r="C531" t="s">
        <v>25</v>
      </c>
      <c r="D531" t="s">
        <v>11</v>
      </c>
      <c r="E531">
        <v>2023</v>
      </c>
      <c r="F531" t="s">
        <v>16</v>
      </c>
      <c r="G531" t="s">
        <v>19</v>
      </c>
      <c r="H531" s="2">
        <v>0</v>
      </c>
    </row>
    <row r="532" spans="1:8">
      <c r="A532" t="s">
        <v>34</v>
      </c>
      <c r="B532" t="s">
        <v>35</v>
      </c>
      <c r="C532" t="s">
        <v>25</v>
      </c>
      <c r="D532" t="s">
        <v>11</v>
      </c>
      <c r="E532">
        <v>2024</v>
      </c>
      <c r="F532" t="s">
        <v>21</v>
      </c>
      <c r="G532" t="s">
        <v>17</v>
      </c>
      <c r="H532" s="2">
        <v>1125.1199999999999</v>
      </c>
    </row>
    <row r="533" spans="1:8">
      <c r="A533" t="s">
        <v>34</v>
      </c>
      <c r="B533" t="s">
        <v>35</v>
      </c>
      <c r="C533" t="s">
        <v>25</v>
      </c>
      <c r="D533" t="s">
        <v>11</v>
      </c>
      <c r="E533">
        <v>2024</v>
      </c>
      <c r="F533" t="s">
        <v>16</v>
      </c>
      <c r="G533" t="s">
        <v>17</v>
      </c>
      <c r="H533" s="2">
        <v>5923.08</v>
      </c>
    </row>
    <row r="534" spans="1:8">
      <c r="A534" t="s">
        <v>36</v>
      </c>
      <c r="B534" t="s">
        <v>37</v>
      </c>
      <c r="C534" t="s">
        <v>25</v>
      </c>
      <c r="D534" t="s">
        <v>29</v>
      </c>
      <c r="E534">
        <v>1990</v>
      </c>
      <c r="F534" t="s">
        <v>12</v>
      </c>
      <c r="G534" t="s">
        <v>15</v>
      </c>
      <c r="H534" s="2">
        <v>5497.92</v>
      </c>
    </row>
    <row r="535" spans="1:8">
      <c r="A535" t="s">
        <v>36</v>
      </c>
      <c r="B535" t="s">
        <v>37</v>
      </c>
      <c r="C535" t="s">
        <v>25</v>
      </c>
      <c r="D535" t="s">
        <v>29</v>
      </c>
      <c r="E535">
        <v>1991</v>
      </c>
      <c r="F535" t="s">
        <v>22</v>
      </c>
      <c r="G535" t="s">
        <v>13</v>
      </c>
      <c r="H535" s="2">
        <v>10042.049999999999</v>
      </c>
    </row>
    <row r="536" spans="1:8">
      <c r="A536" t="s">
        <v>36</v>
      </c>
      <c r="B536" t="s">
        <v>37</v>
      </c>
      <c r="C536" t="s">
        <v>25</v>
      </c>
      <c r="D536" t="s">
        <v>29</v>
      </c>
      <c r="E536">
        <v>1991</v>
      </c>
      <c r="F536" t="s">
        <v>12</v>
      </c>
      <c r="G536" t="s">
        <v>15</v>
      </c>
      <c r="H536" s="2">
        <v>6168.33</v>
      </c>
    </row>
    <row r="537" spans="1:8">
      <c r="A537" t="s">
        <v>36</v>
      </c>
      <c r="B537" t="s">
        <v>37</v>
      </c>
      <c r="C537" t="s">
        <v>25</v>
      </c>
      <c r="D537" t="s">
        <v>29</v>
      </c>
      <c r="E537">
        <v>1991</v>
      </c>
      <c r="F537" t="s">
        <v>18</v>
      </c>
      <c r="G537" t="s">
        <v>13</v>
      </c>
      <c r="H537" s="2">
        <v>95370.63</v>
      </c>
    </row>
    <row r="538" spans="1:8">
      <c r="A538" t="s">
        <v>36</v>
      </c>
      <c r="B538" t="s">
        <v>37</v>
      </c>
      <c r="C538" t="s">
        <v>25</v>
      </c>
      <c r="D538" t="s">
        <v>29</v>
      </c>
      <c r="E538">
        <v>1991</v>
      </c>
      <c r="F538" t="s">
        <v>20</v>
      </c>
      <c r="G538" t="s">
        <v>13</v>
      </c>
      <c r="H538" s="2">
        <v>-21665.48</v>
      </c>
    </row>
    <row r="539" spans="1:8">
      <c r="A539" t="s">
        <v>36</v>
      </c>
      <c r="B539" t="s">
        <v>37</v>
      </c>
      <c r="C539" t="s">
        <v>25</v>
      </c>
      <c r="D539" t="s">
        <v>29</v>
      </c>
      <c r="E539">
        <v>1991</v>
      </c>
      <c r="F539" t="s">
        <v>14</v>
      </c>
      <c r="G539" t="s">
        <v>13</v>
      </c>
      <c r="H539" s="2">
        <v>57053.3</v>
      </c>
    </row>
    <row r="540" spans="1:8">
      <c r="A540" t="s">
        <v>36</v>
      </c>
      <c r="B540" t="s">
        <v>37</v>
      </c>
      <c r="C540" t="s">
        <v>25</v>
      </c>
      <c r="D540" t="s">
        <v>29</v>
      </c>
      <c r="E540">
        <v>1991</v>
      </c>
      <c r="F540" t="s">
        <v>16</v>
      </c>
      <c r="G540" t="s">
        <v>15</v>
      </c>
      <c r="H540" s="2">
        <v>4113.78</v>
      </c>
    </row>
    <row r="541" spans="1:8">
      <c r="A541" t="s">
        <v>36</v>
      </c>
      <c r="B541" t="s">
        <v>37</v>
      </c>
      <c r="C541" t="s">
        <v>25</v>
      </c>
      <c r="D541" t="s">
        <v>29</v>
      </c>
      <c r="E541">
        <v>1992</v>
      </c>
      <c r="F541" t="s">
        <v>18</v>
      </c>
      <c r="G541" t="s">
        <v>15</v>
      </c>
      <c r="H541" s="2">
        <v>5120.3500000000004</v>
      </c>
    </row>
    <row r="542" spans="1:8">
      <c r="A542" t="s">
        <v>36</v>
      </c>
      <c r="B542" t="s">
        <v>37</v>
      </c>
      <c r="C542" t="s">
        <v>25</v>
      </c>
      <c r="D542" t="s">
        <v>29</v>
      </c>
      <c r="E542">
        <v>1992</v>
      </c>
      <c r="F542" t="s">
        <v>21</v>
      </c>
      <c r="G542" t="s">
        <v>15</v>
      </c>
      <c r="H542" s="2">
        <v>813.79</v>
      </c>
    </row>
    <row r="543" spans="1:8">
      <c r="A543" t="s">
        <v>36</v>
      </c>
      <c r="B543" t="s">
        <v>37</v>
      </c>
      <c r="C543" t="s">
        <v>25</v>
      </c>
      <c r="D543" t="s">
        <v>29</v>
      </c>
      <c r="E543">
        <v>1992</v>
      </c>
      <c r="F543" t="s">
        <v>21</v>
      </c>
      <c r="G543" t="s">
        <v>13</v>
      </c>
      <c r="H543" s="2">
        <v>41906.89</v>
      </c>
    </row>
    <row r="544" spans="1:8">
      <c r="A544" t="s">
        <v>36</v>
      </c>
      <c r="B544" t="s">
        <v>37</v>
      </c>
      <c r="C544" t="s">
        <v>25</v>
      </c>
      <c r="D544" t="s">
        <v>29</v>
      </c>
      <c r="E544">
        <v>1992</v>
      </c>
      <c r="F544" t="s">
        <v>16</v>
      </c>
      <c r="G544" t="s">
        <v>13</v>
      </c>
      <c r="H544" s="2">
        <v>699.08</v>
      </c>
    </row>
    <row r="545" spans="1:8">
      <c r="A545" t="s">
        <v>36</v>
      </c>
      <c r="B545" t="s">
        <v>37</v>
      </c>
      <c r="C545" t="s">
        <v>25</v>
      </c>
      <c r="D545" t="s">
        <v>29</v>
      </c>
      <c r="E545">
        <v>1993</v>
      </c>
      <c r="F545" t="s">
        <v>18</v>
      </c>
      <c r="G545" t="s">
        <v>17</v>
      </c>
      <c r="H545" s="2">
        <v>5365.43</v>
      </c>
    </row>
    <row r="546" spans="1:8">
      <c r="A546" t="s">
        <v>36</v>
      </c>
      <c r="B546" t="s">
        <v>37</v>
      </c>
      <c r="C546" t="s">
        <v>25</v>
      </c>
      <c r="D546" t="s">
        <v>29</v>
      </c>
      <c r="E546">
        <v>1993</v>
      </c>
      <c r="F546" t="s">
        <v>20</v>
      </c>
      <c r="G546" t="s">
        <v>17</v>
      </c>
      <c r="H546" s="2">
        <v>-245.5</v>
      </c>
    </row>
    <row r="547" spans="1:8">
      <c r="A547" t="s">
        <v>36</v>
      </c>
      <c r="B547" t="s">
        <v>37</v>
      </c>
      <c r="C547" t="s">
        <v>25</v>
      </c>
      <c r="D547" t="s">
        <v>29</v>
      </c>
      <c r="E547">
        <v>1993</v>
      </c>
      <c r="F547" t="s">
        <v>14</v>
      </c>
      <c r="G547" t="s">
        <v>19</v>
      </c>
      <c r="H547" s="2">
        <v>0</v>
      </c>
    </row>
    <row r="548" spans="1:8">
      <c r="A548" t="s">
        <v>36</v>
      </c>
      <c r="B548" t="s">
        <v>37</v>
      </c>
      <c r="C548" t="s">
        <v>25</v>
      </c>
      <c r="D548" t="s">
        <v>29</v>
      </c>
      <c r="E548">
        <v>1994</v>
      </c>
      <c r="F548" t="s">
        <v>14</v>
      </c>
      <c r="G548" t="s">
        <v>19</v>
      </c>
      <c r="H548" s="2">
        <v>0</v>
      </c>
    </row>
    <row r="549" spans="1:8">
      <c r="A549" t="s">
        <v>36</v>
      </c>
      <c r="B549" t="s">
        <v>37</v>
      </c>
      <c r="C549" t="s">
        <v>25</v>
      </c>
      <c r="D549" t="s">
        <v>29</v>
      </c>
      <c r="E549">
        <v>1995</v>
      </c>
      <c r="F549" t="s">
        <v>18</v>
      </c>
      <c r="G549" t="s">
        <v>15</v>
      </c>
      <c r="H549" s="2">
        <v>6055.85</v>
      </c>
    </row>
    <row r="550" spans="1:8">
      <c r="A550" t="s">
        <v>36</v>
      </c>
      <c r="B550" t="s">
        <v>37</v>
      </c>
      <c r="C550" t="s">
        <v>25</v>
      </c>
      <c r="D550" t="s">
        <v>29</v>
      </c>
      <c r="E550">
        <v>1996</v>
      </c>
      <c r="F550" t="s">
        <v>12</v>
      </c>
      <c r="G550" t="s">
        <v>15</v>
      </c>
      <c r="H550" s="2">
        <v>5302.94</v>
      </c>
    </row>
    <row r="551" spans="1:8">
      <c r="A551" t="s">
        <v>36</v>
      </c>
      <c r="B551" t="s">
        <v>37</v>
      </c>
      <c r="C551" t="s">
        <v>25</v>
      </c>
      <c r="D551" t="s">
        <v>29</v>
      </c>
      <c r="E551">
        <v>1996</v>
      </c>
      <c r="F551" t="s">
        <v>12</v>
      </c>
      <c r="G551" t="s">
        <v>19</v>
      </c>
      <c r="H551" s="2">
        <v>0</v>
      </c>
    </row>
    <row r="552" spans="1:8">
      <c r="A552" t="s">
        <v>36</v>
      </c>
      <c r="B552" t="s">
        <v>37</v>
      </c>
      <c r="C552" t="s">
        <v>25</v>
      </c>
      <c r="D552" t="s">
        <v>29</v>
      </c>
      <c r="E552">
        <v>1996</v>
      </c>
      <c r="F552" t="s">
        <v>12</v>
      </c>
      <c r="G552" t="s">
        <v>17</v>
      </c>
      <c r="H552" s="2">
        <v>2576.66</v>
      </c>
    </row>
    <row r="553" spans="1:8">
      <c r="A553" t="s">
        <v>36</v>
      </c>
      <c r="B553" t="s">
        <v>37</v>
      </c>
      <c r="C553" t="s">
        <v>25</v>
      </c>
      <c r="D553" t="s">
        <v>29</v>
      </c>
      <c r="E553">
        <v>1996</v>
      </c>
      <c r="F553" t="s">
        <v>20</v>
      </c>
      <c r="G553" t="s">
        <v>17</v>
      </c>
      <c r="H553" s="2">
        <v>-224.68</v>
      </c>
    </row>
    <row r="554" spans="1:8">
      <c r="A554" t="s">
        <v>36</v>
      </c>
      <c r="B554" t="s">
        <v>37</v>
      </c>
      <c r="C554" t="s">
        <v>25</v>
      </c>
      <c r="D554" t="s">
        <v>29</v>
      </c>
      <c r="E554">
        <v>1996</v>
      </c>
      <c r="F554" t="s">
        <v>14</v>
      </c>
      <c r="G554" t="s">
        <v>15</v>
      </c>
      <c r="H554" s="2">
        <v>1675.6</v>
      </c>
    </row>
    <row r="555" spans="1:8">
      <c r="A555" t="s">
        <v>36</v>
      </c>
      <c r="B555" t="s">
        <v>37</v>
      </c>
      <c r="C555" t="s">
        <v>25</v>
      </c>
      <c r="D555" t="s">
        <v>29</v>
      </c>
      <c r="E555">
        <v>1997</v>
      </c>
      <c r="F555" t="s">
        <v>22</v>
      </c>
      <c r="G555" t="s">
        <v>17</v>
      </c>
      <c r="H555" s="2">
        <v>19565.45</v>
      </c>
    </row>
    <row r="556" spans="1:8">
      <c r="A556" t="s">
        <v>36</v>
      </c>
      <c r="B556" t="s">
        <v>37</v>
      </c>
      <c r="C556" t="s">
        <v>25</v>
      </c>
      <c r="D556" t="s">
        <v>29</v>
      </c>
      <c r="E556">
        <v>1997</v>
      </c>
      <c r="F556" t="s">
        <v>12</v>
      </c>
      <c r="G556" t="s">
        <v>17</v>
      </c>
      <c r="H556" s="2">
        <v>2644.17</v>
      </c>
    </row>
    <row r="557" spans="1:8">
      <c r="A557" t="s">
        <v>36</v>
      </c>
      <c r="B557" t="s">
        <v>37</v>
      </c>
      <c r="C557" t="s">
        <v>25</v>
      </c>
      <c r="D557" t="s">
        <v>29</v>
      </c>
      <c r="E557">
        <v>1997</v>
      </c>
      <c r="F557" t="s">
        <v>14</v>
      </c>
      <c r="G557" t="s">
        <v>13</v>
      </c>
      <c r="H557" s="2">
        <v>55592.32</v>
      </c>
    </row>
    <row r="558" spans="1:8">
      <c r="A558" t="s">
        <v>36</v>
      </c>
      <c r="B558" t="s">
        <v>37</v>
      </c>
      <c r="C558" t="s">
        <v>25</v>
      </c>
      <c r="D558" t="s">
        <v>29</v>
      </c>
      <c r="E558">
        <v>1997</v>
      </c>
      <c r="F558" t="s">
        <v>21</v>
      </c>
      <c r="G558" t="s">
        <v>15</v>
      </c>
      <c r="H558" s="2">
        <v>868.7</v>
      </c>
    </row>
    <row r="559" spans="1:8">
      <c r="A559" t="s">
        <v>36</v>
      </c>
      <c r="B559" t="s">
        <v>37</v>
      </c>
      <c r="C559" t="s">
        <v>25</v>
      </c>
      <c r="D559" t="s">
        <v>29</v>
      </c>
      <c r="E559">
        <v>1998</v>
      </c>
      <c r="F559" t="s">
        <v>12</v>
      </c>
      <c r="G559" t="s">
        <v>15</v>
      </c>
      <c r="H559" s="2">
        <v>6383.59</v>
      </c>
    </row>
    <row r="560" spans="1:8">
      <c r="A560" t="s">
        <v>36</v>
      </c>
      <c r="B560" t="s">
        <v>37</v>
      </c>
      <c r="C560" t="s">
        <v>25</v>
      </c>
      <c r="D560" t="s">
        <v>29</v>
      </c>
      <c r="E560">
        <v>1998</v>
      </c>
      <c r="F560" t="s">
        <v>21</v>
      </c>
      <c r="G560" t="s">
        <v>19</v>
      </c>
      <c r="H560" s="2">
        <v>0</v>
      </c>
    </row>
    <row r="561" spans="1:8">
      <c r="A561" t="s">
        <v>36</v>
      </c>
      <c r="B561" t="s">
        <v>37</v>
      </c>
      <c r="C561" t="s">
        <v>25</v>
      </c>
      <c r="D561" t="s">
        <v>29</v>
      </c>
      <c r="E561">
        <v>1998</v>
      </c>
      <c r="F561" t="s">
        <v>16</v>
      </c>
      <c r="G561" t="s">
        <v>17</v>
      </c>
      <c r="H561" s="2">
        <v>284.83</v>
      </c>
    </row>
    <row r="562" spans="1:8">
      <c r="A562" t="s">
        <v>36</v>
      </c>
      <c r="B562" t="s">
        <v>37</v>
      </c>
      <c r="C562" t="s">
        <v>25</v>
      </c>
      <c r="D562" t="s">
        <v>29</v>
      </c>
      <c r="E562">
        <v>1999</v>
      </c>
      <c r="F562" t="s">
        <v>22</v>
      </c>
      <c r="G562" t="s">
        <v>15</v>
      </c>
      <c r="H562" s="2">
        <v>69236.7</v>
      </c>
    </row>
    <row r="563" spans="1:8">
      <c r="A563" t="s">
        <v>36</v>
      </c>
      <c r="B563" t="s">
        <v>37</v>
      </c>
      <c r="C563" t="s">
        <v>25</v>
      </c>
      <c r="D563" t="s">
        <v>29</v>
      </c>
      <c r="E563">
        <v>1999</v>
      </c>
      <c r="F563" t="s">
        <v>22</v>
      </c>
      <c r="G563" t="s">
        <v>19</v>
      </c>
      <c r="H563" s="2">
        <v>0</v>
      </c>
    </row>
    <row r="564" spans="1:8">
      <c r="A564" t="s">
        <v>36</v>
      </c>
      <c r="B564" t="s">
        <v>37</v>
      </c>
      <c r="C564" t="s">
        <v>25</v>
      </c>
      <c r="D564" t="s">
        <v>29</v>
      </c>
      <c r="E564">
        <v>2000</v>
      </c>
      <c r="F564" t="s">
        <v>14</v>
      </c>
      <c r="G564" t="s">
        <v>13</v>
      </c>
      <c r="H564" s="2">
        <v>61432.83</v>
      </c>
    </row>
    <row r="565" spans="1:8">
      <c r="A565" t="s">
        <v>36</v>
      </c>
      <c r="B565" t="s">
        <v>37</v>
      </c>
      <c r="C565" t="s">
        <v>25</v>
      </c>
      <c r="D565" t="s">
        <v>29</v>
      </c>
      <c r="E565">
        <v>2001</v>
      </c>
      <c r="F565" t="s">
        <v>22</v>
      </c>
      <c r="G565" t="s">
        <v>19</v>
      </c>
      <c r="H565" s="2">
        <v>0</v>
      </c>
    </row>
    <row r="566" spans="1:8">
      <c r="A566" t="s">
        <v>36</v>
      </c>
      <c r="B566" t="s">
        <v>37</v>
      </c>
      <c r="C566" t="s">
        <v>25</v>
      </c>
      <c r="D566" t="s">
        <v>29</v>
      </c>
      <c r="E566">
        <v>2001</v>
      </c>
      <c r="F566" t="s">
        <v>12</v>
      </c>
      <c r="G566" t="s">
        <v>15</v>
      </c>
      <c r="H566" s="2">
        <v>5728.52</v>
      </c>
    </row>
    <row r="567" spans="1:8">
      <c r="A567" t="s">
        <v>36</v>
      </c>
      <c r="B567" t="s">
        <v>37</v>
      </c>
      <c r="C567" t="s">
        <v>25</v>
      </c>
      <c r="D567" t="s">
        <v>29</v>
      </c>
      <c r="E567">
        <v>2001</v>
      </c>
      <c r="F567" t="s">
        <v>20</v>
      </c>
      <c r="G567" t="s">
        <v>13</v>
      </c>
      <c r="H567" s="2">
        <v>-23782.17</v>
      </c>
    </row>
    <row r="568" spans="1:8">
      <c r="A568" t="s">
        <v>36</v>
      </c>
      <c r="B568" t="s">
        <v>37</v>
      </c>
      <c r="C568" t="s">
        <v>25</v>
      </c>
      <c r="D568" t="s">
        <v>29</v>
      </c>
      <c r="E568">
        <v>2002</v>
      </c>
      <c r="F568" t="s">
        <v>14</v>
      </c>
      <c r="G568" t="s">
        <v>17</v>
      </c>
      <c r="H568" s="2">
        <v>1105.9000000000001</v>
      </c>
    </row>
    <row r="569" spans="1:8">
      <c r="A569" t="s">
        <v>36</v>
      </c>
      <c r="B569" t="s">
        <v>37</v>
      </c>
      <c r="C569" t="s">
        <v>25</v>
      </c>
      <c r="D569" t="s">
        <v>29</v>
      </c>
      <c r="E569">
        <v>2004</v>
      </c>
      <c r="F569" t="s">
        <v>12</v>
      </c>
      <c r="G569" t="s">
        <v>19</v>
      </c>
      <c r="H569" s="2">
        <v>0</v>
      </c>
    </row>
    <row r="570" spans="1:8">
      <c r="A570" t="s">
        <v>36</v>
      </c>
      <c r="B570" t="s">
        <v>37</v>
      </c>
      <c r="C570" t="s">
        <v>25</v>
      </c>
      <c r="D570" t="s">
        <v>29</v>
      </c>
      <c r="E570">
        <v>2004</v>
      </c>
      <c r="F570" t="s">
        <v>20</v>
      </c>
      <c r="G570" t="s">
        <v>19</v>
      </c>
      <c r="H570" s="2">
        <v>0</v>
      </c>
    </row>
    <row r="571" spans="1:8">
      <c r="A571" t="s">
        <v>36</v>
      </c>
      <c r="B571" t="s">
        <v>37</v>
      </c>
      <c r="C571" t="s">
        <v>25</v>
      </c>
      <c r="D571" t="s">
        <v>29</v>
      </c>
      <c r="E571">
        <v>2005</v>
      </c>
      <c r="F571" t="s">
        <v>22</v>
      </c>
      <c r="G571" t="s">
        <v>17</v>
      </c>
      <c r="H571" s="2">
        <v>20503.16</v>
      </c>
    </row>
    <row r="572" spans="1:8">
      <c r="A572" t="s">
        <v>36</v>
      </c>
      <c r="B572" t="s">
        <v>37</v>
      </c>
      <c r="C572" t="s">
        <v>25</v>
      </c>
      <c r="D572" t="s">
        <v>29</v>
      </c>
      <c r="E572">
        <v>2005</v>
      </c>
      <c r="F572" t="s">
        <v>16</v>
      </c>
      <c r="G572" t="s">
        <v>13</v>
      </c>
      <c r="H572" s="2">
        <v>929.91</v>
      </c>
    </row>
    <row r="573" spans="1:8">
      <c r="A573" t="s">
        <v>36</v>
      </c>
      <c r="B573" t="s">
        <v>37</v>
      </c>
      <c r="C573" t="s">
        <v>25</v>
      </c>
      <c r="D573" t="s">
        <v>29</v>
      </c>
      <c r="E573">
        <v>2006</v>
      </c>
      <c r="F573" t="s">
        <v>22</v>
      </c>
      <c r="G573" t="s">
        <v>13</v>
      </c>
      <c r="H573" s="2">
        <v>10632.81</v>
      </c>
    </row>
    <row r="574" spans="1:8">
      <c r="A574" t="s">
        <v>36</v>
      </c>
      <c r="B574" t="s">
        <v>37</v>
      </c>
      <c r="C574" t="s">
        <v>25</v>
      </c>
      <c r="D574" t="s">
        <v>29</v>
      </c>
      <c r="E574">
        <v>2006</v>
      </c>
      <c r="F574" t="s">
        <v>20</v>
      </c>
      <c r="G574" t="s">
        <v>15</v>
      </c>
      <c r="H574" s="2">
        <v>-249.81</v>
      </c>
    </row>
    <row r="575" spans="1:8">
      <c r="A575" t="s">
        <v>36</v>
      </c>
      <c r="B575" t="s">
        <v>37</v>
      </c>
      <c r="C575" t="s">
        <v>25</v>
      </c>
      <c r="D575" t="s">
        <v>29</v>
      </c>
      <c r="E575">
        <v>2006</v>
      </c>
      <c r="F575" t="s">
        <v>20</v>
      </c>
      <c r="G575" t="s">
        <v>13</v>
      </c>
      <c r="H575" s="2">
        <v>-26682.5</v>
      </c>
    </row>
    <row r="576" spans="1:8">
      <c r="A576" t="s">
        <v>36</v>
      </c>
      <c r="B576" t="s">
        <v>37</v>
      </c>
      <c r="C576" t="s">
        <v>25</v>
      </c>
      <c r="D576" t="s">
        <v>29</v>
      </c>
      <c r="E576">
        <v>2006</v>
      </c>
      <c r="F576" t="s">
        <v>20</v>
      </c>
      <c r="G576" t="s">
        <v>17</v>
      </c>
      <c r="H576" s="2">
        <v>-262.56</v>
      </c>
    </row>
    <row r="577" spans="1:8">
      <c r="A577" t="s">
        <v>36</v>
      </c>
      <c r="B577" t="s">
        <v>37</v>
      </c>
      <c r="C577" t="s">
        <v>25</v>
      </c>
      <c r="D577" t="s">
        <v>29</v>
      </c>
      <c r="E577">
        <v>2007</v>
      </c>
      <c r="F577" t="s">
        <v>22</v>
      </c>
      <c r="G577" t="s">
        <v>13</v>
      </c>
      <c r="H577" s="2">
        <v>9780.19</v>
      </c>
    </row>
    <row r="578" spans="1:8">
      <c r="A578" t="s">
        <v>36</v>
      </c>
      <c r="B578" t="s">
        <v>37</v>
      </c>
      <c r="C578" t="s">
        <v>25</v>
      </c>
      <c r="D578" t="s">
        <v>29</v>
      </c>
      <c r="E578">
        <v>2007</v>
      </c>
      <c r="F578" t="s">
        <v>22</v>
      </c>
      <c r="G578" t="s">
        <v>17</v>
      </c>
      <c r="H578" s="2">
        <v>18737.63</v>
      </c>
    </row>
    <row r="579" spans="1:8">
      <c r="A579" t="s">
        <v>36</v>
      </c>
      <c r="B579" t="s">
        <v>37</v>
      </c>
      <c r="C579" t="s">
        <v>25</v>
      </c>
      <c r="D579" t="s">
        <v>29</v>
      </c>
      <c r="E579">
        <v>2007</v>
      </c>
      <c r="F579" t="s">
        <v>21</v>
      </c>
      <c r="G579" t="s">
        <v>19</v>
      </c>
      <c r="H579" s="2">
        <v>0</v>
      </c>
    </row>
    <row r="580" spans="1:8">
      <c r="A580" t="s">
        <v>36</v>
      </c>
      <c r="B580" t="s">
        <v>37</v>
      </c>
      <c r="C580" t="s">
        <v>25</v>
      </c>
      <c r="D580" t="s">
        <v>29</v>
      </c>
      <c r="E580">
        <v>2008</v>
      </c>
      <c r="F580" t="s">
        <v>12</v>
      </c>
      <c r="G580" t="s">
        <v>19</v>
      </c>
      <c r="H580" s="2">
        <v>0</v>
      </c>
    </row>
    <row r="581" spans="1:8">
      <c r="A581" t="s">
        <v>36</v>
      </c>
      <c r="B581" t="s">
        <v>37</v>
      </c>
      <c r="C581" t="s">
        <v>25</v>
      </c>
      <c r="D581" t="s">
        <v>29</v>
      </c>
      <c r="E581">
        <v>2008</v>
      </c>
      <c r="F581" t="s">
        <v>14</v>
      </c>
      <c r="G581" t="s">
        <v>15</v>
      </c>
      <c r="H581" s="2">
        <v>1788.64</v>
      </c>
    </row>
    <row r="582" spans="1:8">
      <c r="A582" t="s">
        <v>36</v>
      </c>
      <c r="B582" t="s">
        <v>37</v>
      </c>
      <c r="C582" t="s">
        <v>25</v>
      </c>
      <c r="D582" t="s">
        <v>29</v>
      </c>
      <c r="E582">
        <v>2008</v>
      </c>
      <c r="F582" t="s">
        <v>14</v>
      </c>
      <c r="G582" t="s">
        <v>13</v>
      </c>
      <c r="H582" s="2">
        <v>55058.34</v>
      </c>
    </row>
    <row r="583" spans="1:8">
      <c r="A583" t="s">
        <v>36</v>
      </c>
      <c r="B583" t="s">
        <v>37</v>
      </c>
      <c r="C583" t="s">
        <v>25</v>
      </c>
      <c r="D583" t="s">
        <v>29</v>
      </c>
      <c r="E583">
        <v>2008</v>
      </c>
      <c r="F583" t="s">
        <v>21</v>
      </c>
      <c r="G583" t="s">
        <v>13</v>
      </c>
      <c r="H583" s="2">
        <v>45256.46</v>
      </c>
    </row>
    <row r="584" spans="1:8">
      <c r="A584" t="s">
        <v>36</v>
      </c>
      <c r="B584" t="s">
        <v>37</v>
      </c>
      <c r="C584" t="s">
        <v>25</v>
      </c>
      <c r="D584" t="s">
        <v>29</v>
      </c>
      <c r="E584">
        <v>2008</v>
      </c>
      <c r="F584" t="s">
        <v>16</v>
      </c>
      <c r="G584" t="s">
        <v>17</v>
      </c>
      <c r="H584" s="2">
        <v>265.52999999999997</v>
      </c>
    </row>
    <row r="585" spans="1:8">
      <c r="A585" t="s">
        <v>36</v>
      </c>
      <c r="B585" t="s">
        <v>37</v>
      </c>
      <c r="C585" t="s">
        <v>25</v>
      </c>
      <c r="D585" t="s">
        <v>29</v>
      </c>
      <c r="E585">
        <v>2009</v>
      </c>
      <c r="F585" t="s">
        <v>20</v>
      </c>
      <c r="G585" t="s">
        <v>19</v>
      </c>
      <c r="H585" s="2">
        <v>0</v>
      </c>
    </row>
    <row r="586" spans="1:8">
      <c r="A586" t="s">
        <v>36</v>
      </c>
      <c r="B586" t="s">
        <v>37</v>
      </c>
      <c r="C586" t="s">
        <v>25</v>
      </c>
      <c r="D586" t="s">
        <v>29</v>
      </c>
      <c r="E586">
        <v>2009</v>
      </c>
      <c r="F586" t="s">
        <v>14</v>
      </c>
      <c r="G586" t="s">
        <v>13</v>
      </c>
      <c r="H586" s="2">
        <v>58887.85</v>
      </c>
    </row>
    <row r="587" spans="1:8">
      <c r="A587" t="s">
        <v>36</v>
      </c>
      <c r="B587" t="s">
        <v>37</v>
      </c>
      <c r="C587" t="s">
        <v>25</v>
      </c>
      <c r="D587" t="s">
        <v>29</v>
      </c>
      <c r="E587">
        <v>2009</v>
      </c>
      <c r="F587" t="s">
        <v>16</v>
      </c>
      <c r="G587" t="s">
        <v>17</v>
      </c>
      <c r="H587" s="2">
        <v>252.59</v>
      </c>
    </row>
    <row r="588" spans="1:8">
      <c r="A588" t="s">
        <v>36</v>
      </c>
      <c r="B588" t="s">
        <v>37</v>
      </c>
      <c r="C588" t="s">
        <v>25</v>
      </c>
      <c r="D588" t="s">
        <v>29</v>
      </c>
      <c r="E588">
        <v>2010</v>
      </c>
      <c r="F588" t="s">
        <v>22</v>
      </c>
      <c r="G588" t="s">
        <v>15</v>
      </c>
      <c r="H588" s="2">
        <v>67731.759999999995</v>
      </c>
    </row>
    <row r="589" spans="1:8">
      <c r="A589" t="s">
        <v>36</v>
      </c>
      <c r="B589" t="s">
        <v>37</v>
      </c>
      <c r="C589" t="s">
        <v>25</v>
      </c>
      <c r="D589" t="s">
        <v>29</v>
      </c>
      <c r="E589">
        <v>2010</v>
      </c>
      <c r="F589" t="s">
        <v>12</v>
      </c>
      <c r="G589" t="s">
        <v>13</v>
      </c>
      <c r="H589" s="2">
        <v>83345.41</v>
      </c>
    </row>
    <row r="590" spans="1:8">
      <c r="A590" t="s">
        <v>36</v>
      </c>
      <c r="B590" t="s">
        <v>37</v>
      </c>
      <c r="C590" t="s">
        <v>25</v>
      </c>
      <c r="D590" t="s">
        <v>29</v>
      </c>
      <c r="E590">
        <v>2010</v>
      </c>
      <c r="F590" t="s">
        <v>16</v>
      </c>
      <c r="G590" t="s">
        <v>13</v>
      </c>
      <c r="H590" s="2">
        <v>807.16</v>
      </c>
    </row>
    <row r="591" spans="1:8">
      <c r="A591" t="s">
        <v>36</v>
      </c>
      <c r="B591" t="s">
        <v>37</v>
      </c>
      <c r="C591" t="s">
        <v>25</v>
      </c>
      <c r="D591" t="s">
        <v>29</v>
      </c>
      <c r="E591">
        <v>2010</v>
      </c>
      <c r="F591" t="s">
        <v>16</v>
      </c>
      <c r="G591" t="s">
        <v>17</v>
      </c>
      <c r="H591" s="2">
        <v>277.16000000000003</v>
      </c>
    </row>
    <row r="592" spans="1:8">
      <c r="A592" t="s">
        <v>36</v>
      </c>
      <c r="B592" t="s">
        <v>37</v>
      </c>
      <c r="C592" t="s">
        <v>25</v>
      </c>
      <c r="D592" t="s">
        <v>29</v>
      </c>
      <c r="E592">
        <v>2011</v>
      </c>
      <c r="F592" t="s">
        <v>21</v>
      </c>
      <c r="G592" t="s">
        <v>15</v>
      </c>
      <c r="H592" s="2">
        <v>950.19</v>
      </c>
    </row>
    <row r="593" spans="1:8">
      <c r="A593" t="s">
        <v>36</v>
      </c>
      <c r="B593" t="s">
        <v>37</v>
      </c>
      <c r="C593" t="s">
        <v>25</v>
      </c>
      <c r="D593" t="s">
        <v>29</v>
      </c>
      <c r="E593">
        <v>2011</v>
      </c>
      <c r="F593" t="s">
        <v>16</v>
      </c>
      <c r="G593" t="s">
        <v>15</v>
      </c>
      <c r="H593" s="2">
        <v>4361.41</v>
      </c>
    </row>
    <row r="594" spans="1:8">
      <c r="A594" t="s">
        <v>36</v>
      </c>
      <c r="B594" t="s">
        <v>37</v>
      </c>
      <c r="C594" t="s">
        <v>25</v>
      </c>
      <c r="D594" t="s">
        <v>29</v>
      </c>
      <c r="E594">
        <v>2012</v>
      </c>
      <c r="F594" t="s">
        <v>20</v>
      </c>
      <c r="G594" t="s">
        <v>17</v>
      </c>
      <c r="H594" s="2">
        <v>-234.44</v>
      </c>
    </row>
    <row r="595" spans="1:8">
      <c r="A595" t="s">
        <v>36</v>
      </c>
      <c r="B595" t="s">
        <v>37</v>
      </c>
      <c r="C595" t="s">
        <v>25</v>
      </c>
      <c r="D595" t="s">
        <v>29</v>
      </c>
      <c r="E595">
        <v>2012</v>
      </c>
      <c r="F595" t="s">
        <v>21</v>
      </c>
      <c r="G595" t="s">
        <v>19</v>
      </c>
      <c r="H595" s="2">
        <v>0</v>
      </c>
    </row>
    <row r="596" spans="1:8">
      <c r="A596" t="s">
        <v>36</v>
      </c>
      <c r="B596" t="s">
        <v>37</v>
      </c>
      <c r="C596" t="s">
        <v>25</v>
      </c>
      <c r="D596" t="s">
        <v>29</v>
      </c>
      <c r="E596">
        <v>2012</v>
      </c>
      <c r="F596" t="s">
        <v>16</v>
      </c>
      <c r="G596" t="s">
        <v>15</v>
      </c>
      <c r="H596" s="2">
        <v>4211.3500000000004</v>
      </c>
    </row>
    <row r="597" spans="1:8">
      <c r="A597" t="s">
        <v>36</v>
      </c>
      <c r="B597" t="s">
        <v>37</v>
      </c>
      <c r="C597" t="s">
        <v>25</v>
      </c>
      <c r="D597" t="s">
        <v>29</v>
      </c>
      <c r="E597">
        <v>2013</v>
      </c>
      <c r="F597" t="s">
        <v>22</v>
      </c>
      <c r="G597" t="s">
        <v>19</v>
      </c>
      <c r="H597" s="2">
        <v>0</v>
      </c>
    </row>
    <row r="598" spans="1:8">
      <c r="A598" t="s">
        <v>36</v>
      </c>
      <c r="B598" t="s">
        <v>37</v>
      </c>
      <c r="C598" t="s">
        <v>25</v>
      </c>
      <c r="D598" t="s">
        <v>29</v>
      </c>
      <c r="E598">
        <v>2013</v>
      </c>
      <c r="F598" t="s">
        <v>14</v>
      </c>
      <c r="G598" t="s">
        <v>13</v>
      </c>
      <c r="H598" s="2">
        <v>49547.43</v>
      </c>
    </row>
    <row r="599" spans="1:8">
      <c r="A599" t="s">
        <v>36</v>
      </c>
      <c r="B599" t="s">
        <v>37</v>
      </c>
      <c r="C599" t="s">
        <v>25</v>
      </c>
      <c r="D599" t="s">
        <v>29</v>
      </c>
      <c r="E599">
        <v>2014</v>
      </c>
      <c r="F599" t="s">
        <v>12</v>
      </c>
      <c r="G599" t="s">
        <v>15</v>
      </c>
      <c r="H599" s="2">
        <v>5843.42</v>
      </c>
    </row>
    <row r="600" spans="1:8">
      <c r="A600" t="s">
        <v>36</v>
      </c>
      <c r="B600" t="s">
        <v>37</v>
      </c>
      <c r="C600" t="s">
        <v>25</v>
      </c>
      <c r="D600" t="s">
        <v>29</v>
      </c>
      <c r="E600">
        <v>2014</v>
      </c>
      <c r="F600" t="s">
        <v>18</v>
      </c>
      <c r="G600" t="s">
        <v>19</v>
      </c>
      <c r="H600" s="2">
        <v>5390.03</v>
      </c>
    </row>
    <row r="601" spans="1:8">
      <c r="A601" t="s">
        <v>36</v>
      </c>
      <c r="B601" t="s">
        <v>37</v>
      </c>
      <c r="C601" t="s">
        <v>25</v>
      </c>
      <c r="D601" t="s">
        <v>29</v>
      </c>
      <c r="E601">
        <v>2014</v>
      </c>
      <c r="F601" t="s">
        <v>14</v>
      </c>
      <c r="G601" t="s">
        <v>13</v>
      </c>
      <c r="H601" s="2">
        <v>48229.78</v>
      </c>
    </row>
    <row r="602" spans="1:8">
      <c r="A602" t="s">
        <v>36</v>
      </c>
      <c r="B602" t="s">
        <v>37</v>
      </c>
      <c r="C602" t="s">
        <v>25</v>
      </c>
      <c r="D602" t="s">
        <v>29</v>
      </c>
      <c r="E602">
        <v>2015</v>
      </c>
      <c r="F602" t="s">
        <v>22</v>
      </c>
      <c r="G602" t="s">
        <v>15</v>
      </c>
      <c r="H602" s="2">
        <v>66513.509999999995</v>
      </c>
    </row>
    <row r="603" spans="1:8">
      <c r="A603" t="s">
        <v>36</v>
      </c>
      <c r="B603" t="s">
        <v>37</v>
      </c>
      <c r="C603" t="s">
        <v>25</v>
      </c>
      <c r="D603" t="s">
        <v>29</v>
      </c>
      <c r="E603">
        <v>2015</v>
      </c>
      <c r="F603" t="s">
        <v>12</v>
      </c>
      <c r="G603" t="s">
        <v>15</v>
      </c>
      <c r="H603" s="2">
        <v>5204.34</v>
      </c>
    </row>
    <row r="604" spans="1:8">
      <c r="A604" t="s">
        <v>36</v>
      </c>
      <c r="B604" t="s">
        <v>37</v>
      </c>
      <c r="C604" t="s">
        <v>25</v>
      </c>
      <c r="D604" t="s">
        <v>29</v>
      </c>
      <c r="E604">
        <v>2015</v>
      </c>
      <c r="F604" t="s">
        <v>18</v>
      </c>
      <c r="G604" t="s">
        <v>15</v>
      </c>
      <c r="H604" s="2">
        <v>5052.8</v>
      </c>
    </row>
    <row r="605" spans="1:8">
      <c r="A605" t="s">
        <v>36</v>
      </c>
      <c r="B605" t="s">
        <v>37</v>
      </c>
      <c r="C605" t="s">
        <v>25</v>
      </c>
      <c r="D605" t="s">
        <v>29</v>
      </c>
      <c r="E605">
        <v>2015</v>
      </c>
      <c r="F605" t="s">
        <v>18</v>
      </c>
      <c r="G605" t="s">
        <v>17</v>
      </c>
      <c r="H605" s="2">
        <v>5080.3999999999996</v>
      </c>
    </row>
    <row r="606" spans="1:8">
      <c r="A606" t="s">
        <v>36</v>
      </c>
      <c r="B606" t="s">
        <v>37</v>
      </c>
      <c r="C606" t="s">
        <v>25</v>
      </c>
      <c r="D606" t="s">
        <v>29</v>
      </c>
      <c r="E606">
        <v>2015</v>
      </c>
      <c r="F606" t="s">
        <v>20</v>
      </c>
      <c r="G606" t="s">
        <v>17</v>
      </c>
      <c r="H606" s="2">
        <v>-219.61</v>
      </c>
    </row>
    <row r="607" spans="1:8">
      <c r="A607" t="s">
        <v>36</v>
      </c>
      <c r="B607" t="s">
        <v>37</v>
      </c>
      <c r="C607" t="s">
        <v>25</v>
      </c>
      <c r="D607" t="s">
        <v>29</v>
      </c>
      <c r="E607">
        <v>2015</v>
      </c>
      <c r="F607" t="s">
        <v>14</v>
      </c>
      <c r="G607" t="s">
        <v>17</v>
      </c>
      <c r="H607" s="2">
        <v>1179.02</v>
      </c>
    </row>
    <row r="608" spans="1:8">
      <c r="A608" t="s">
        <v>36</v>
      </c>
      <c r="B608" t="s">
        <v>37</v>
      </c>
      <c r="C608" t="s">
        <v>25</v>
      </c>
      <c r="D608" t="s">
        <v>29</v>
      </c>
      <c r="E608">
        <v>2015</v>
      </c>
      <c r="F608" t="s">
        <v>21</v>
      </c>
      <c r="G608" t="s">
        <v>15</v>
      </c>
      <c r="H608" s="2">
        <v>928.66</v>
      </c>
    </row>
    <row r="609" spans="1:8">
      <c r="A609" t="s">
        <v>36</v>
      </c>
      <c r="B609" t="s">
        <v>37</v>
      </c>
      <c r="C609" t="s">
        <v>25</v>
      </c>
      <c r="D609" t="s">
        <v>29</v>
      </c>
      <c r="E609">
        <v>2015</v>
      </c>
      <c r="F609" t="s">
        <v>21</v>
      </c>
      <c r="G609" t="s">
        <v>19</v>
      </c>
      <c r="H609" s="2">
        <v>0</v>
      </c>
    </row>
    <row r="610" spans="1:8">
      <c r="A610" t="s">
        <v>36</v>
      </c>
      <c r="B610" t="s">
        <v>37</v>
      </c>
      <c r="C610" t="s">
        <v>25</v>
      </c>
      <c r="D610" t="s">
        <v>29</v>
      </c>
      <c r="E610">
        <v>2016</v>
      </c>
      <c r="F610" t="s">
        <v>18</v>
      </c>
      <c r="G610" t="s">
        <v>19</v>
      </c>
      <c r="H610" s="2">
        <v>5030.58</v>
      </c>
    </row>
    <row r="611" spans="1:8">
      <c r="A611" t="s">
        <v>36</v>
      </c>
      <c r="B611" t="s">
        <v>37</v>
      </c>
      <c r="C611" t="s">
        <v>25</v>
      </c>
      <c r="D611" t="s">
        <v>29</v>
      </c>
      <c r="E611">
        <v>2016</v>
      </c>
      <c r="F611" t="s">
        <v>20</v>
      </c>
      <c r="G611" t="s">
        <v>13</v>
      </c>
      <c r="H611" s="2">
        <v>-21162.73</v>
      </c>
    </row>
    <row r="612" spans="1:8">
      <c r="A612" t="s">
        <v>36</v>
      </c>
      <c r="B612" t="s">
        <v>37</v>
      </c>
      <c r="C612" t="s">
        <v>25</v>
      </c>
      <c r="D612" t="s">
        <v>29</v>
      </c>
      <c r="E612">
        <v>2016</v>
      </c>
      <c r="F612" t="s">
        <v>21</v>
      </c>
      <c r="G612" t="s">
        <v>13</v>
      </c>
      <c r="H612" s="2">
        <v>38545.279999999999</v>
      </c>
    </row>
    <row r="613" spans="1:8">
      <c r="A613" t="s">
        <v>36</v>
      </c>
      <c r="B613" t="s">
        <v>37</v>
      </c>
      <c r="C613" t="s">
        <v>25</v>
      </c>
      <c r="D613" t="s">
        <v>29</v>
      </c>
      <c r="E613">
        <v>2016</v>
      </c>
      <c r="F613" t="s">
        <v>16</v>
      </c>
      <c r="G613" t="s">
        <v>15</v>
      </c>
      <c r="H613" s="2">
        <v>3776.33</v>
      </c>
    </row>
    <row r="614" spans="1:8">
      <c r="A614" t="s">
        <v>36</v>
      </c>
      <c r="B614" t="s">
        <v>37</v>
      </c>
      <c r="C614" t="s">
        <v>25</v>
      </c>
      <c r="D614" t="s">
        <v>29</v>
      </c>
      <c r="E614">
        <v>2016</v>
      </c>
      <c r="F614" t="s">
        <v>16</v>
      </c>
      <c r="G614" t="s">
        <v>17</v>
      </c>
      <c r="H614" s="2">
        <v>226.59</v>
      </c>
    </row>
    <row r="615" spans="1:8">
      <c r="A615" t="s">
        <v>36</v>
      </c>
      <c r="B615" t="s">
        <v>37</v>
      </c>
      <c r="C615" t="s">
        <v>25</v>
      </c>
      <c r="D615" t="s">
        <v>29</v>
      </c>
      <c r="E615">
        <v>2017</v>
      </c>
      <c r="F615" t="s">
        <v>18</v>
      </c>
      <c r="G615" t="s">
        <v>19</v>
      </c>
      <c r="H615" s="2">
        <v>4566.01</v>
      </c>
    </row>
    <row r="616" spans="1:8">
      <c r="A616" t="s">
        <v>36</v>
      </c>
      <c r="B616" t="s">
        <v>37</v>
      </c>
      <c r="C616" t="s">
        <v>25</v>
      </c>
      <c r="D616" t="s">
        <v>29</v>
      </c>
      <c r="E616">
        <v>2017</v>
      </c>
      <c r="F616" t="s">
        <v>20</v>
      </c>
      <c r="G616" t="s">
        <v>17</v>
      </c>
      <c r="H616" s="2">
        <v>-187.3</v>
      </c>
    </row>
    <row r="617" spans="1:8">
      <c r="A617" t="s">
        <v>36</v>
      </c>
      <c r="B617" t="s">
        <v>37</v>
      </c>
      <c r="C617" t="s">
        <v>25</v>
      </c>
      <c r="D617" t="s">
        <v>29</v>
      </c>
      <c r="E617">
        <v>2017</v>
      </c>
      <c r="F617" t="s">
        <v>21</v>
      </c>
      <c r="G617" t="s">
        <v>19</v>
      </c>
      <c r="H617" s="2">
        <v>0</v>
      </c>
    </row>
    <row r="618" spans="1:8">
      <c r="A618" t="s">
        <v>36</v>
      </c>
      <c r="B618" t="s">
        <v>37</v>
      </c>
      <c r="C618" t="s">
        <v>25</v>
      </c>
      <c r="D618" t="s">
        <v>29</v>
      </c>
      <c r="E618">
        <v>2017</v>
      </c>
      <c r="F618" t="s">
        <v>16</v>
      </c>
      <c r="G618" t="s">
        <v>15</v>
      </c>
      <c r="H618" s="2">
        <v>3462.62</v>
      </c>
    </row>
    <row r="619" spans="1:8">
      <c r="A619" t="s">
        <v>36</v>
      </c>
      <c r="B619" t="s">
        <v>37</v>
      </c>
      <c r="C619" t="s">
        <v>25</v>
      </c>
      <c r="D619" t="s">
        <v>29</v>
      </c>
      <c r="E619">
        <v>2018</v>
      </c>
      <c r="F619" t="s">
        <v>20</v>
      </c>
      <c r="G619" t="s">
        <v>19</v>
      </c>
      <c r="H619" s="2">
        <v>0</v>
      </c>
    </row>
    <row r="620" spans="1:8">
      <c r="A620" t="s">
        <v>36</v>
      </c>
      <c r="B620" t="s">
        <v>37</v>
      </c>
      <c r="C620" t="s">
        <v>25</v>
      </c>
      <c r="D620" t="s">
        <v>29</v>
      </c>
      <c r="E620">
        <v>2018</v>
      </c>
      <c r="F620" t="s">
        <v>14</v>
      </c>
      <c r="G620" t="s">
        <v>19</v>
      </c>
      <c r="H620" s="2">
        <v>0</v>
      </c>
    </row>
    <row r="621" spans="1:8">
      <c r="A621" t="s">
        <v>36</v>
      </c>
      <c r="B621" t="s">
        <v>37</v>
      </c>
      <c r="C621" t="s">
        <v>25</v>
      </c>
      <c r="D621" t="s">
        <v>29</v>
      </c>
      <c r="E621">
        <v>2018</v>
      </c>
      <c r="F621" t="s">
        <v>16</v>
      </c>
      <c r="G621" t="s">
        <v>13</v>
      </c>
      <c r="H621" s="2">
        <v>689.69</v>
      </c>
    </row>
    <row r="622" spans="1:8">
      <c r="A622" t="s">
        <v>36</v>
      </c>
      <c r="B622" t="s">
        <v>37</v>
      </c>
      <c r="C622" t="s">
        <v>25</v>
      </c>
      <c r="D622" t="s">
        <v>29</v>
      </c>
      <c r="E622">
        <v>2019</v>
      </c>
      <c r="F622" t="s">
        <v>22</v>
      </c>
      <c r="G622" t="s">
        <v>17</v>
      </c>
      <c r="H622" s="2">
        <v>17176.599999999999</v>
      </c>
    </row>
    <row r="623" spans="1:8">
      <c r="A623" t="s">
        <v>36</v>
      </c>
      <c r="B623" t="s">
        <v>37</v>
      </c>
      <c r="C623" t="s">
        <v>25</v>
      </c>
      <c r="D623" t="s">
        <v>29</v>
      </c>
      <c r="E623">
        <v>2019</v>
      </c>
      <c r="F623" t="s">
        <v>18</v>
      </c>
      <c r="G623" t="s">
        <v>17</v>
      </c>
      <c r="H623" s="2">
        <v>4406.79</v>
      </c>
    </row>
    <row r="624" spans="1:8">
      <c r="A624" t="s">
        <v>36</v>
      </c>
      <c r="B624" t="s">
        <v>37</v>
      </c>
      <c r="C624" t="s">
        <v>25</v>
      </c>
      <c r="D624" t="s">
        <v>29</v>
      </c>
      <c r="E624">
        <v>2019</v>
      </c>
      <c r="F624" t="s">
        <v>14</v>
      </c>
      <c r="G624" t="s">
        <v>19</v>
      </c>
      <c r="H624" s="2">
        <v>0</v>
      </c>
    </row>
    <row r="625" spans="1:8">
      <c r="A625" t="s">
        <v>36</v>
      </c>
      <c r="B625" t="s">
        <v>37</v>
      </c>
      <c r="C625" t="s">
        <v>25</v>
      </c>
      <c r="D625" t="s">
        <v>29</v>
      </c>
      <c r="E625">
        <v>2021</v>
      </c>
      <c r="F625" t="s">
        <v>12</v>
      </c>
      <c r="G625" t="s">
        <v>17</v>
      </c>
      <c r="H625" s="2">
        <v>1838.4</v>
      </c>
    </row>
    <row r="626" spans="1:8">
      <c r="A626" t="s">
        <v>36</v>
      </c>
      <c r="B626" t="s">
        <v>37</v>
      </c>
      <c r="C626" t="s">
        <v>25</v>
      </c>
      <c r="D626" t="s">
        <v>29</v>
      </c>
      <c r="E626">
        <v>2021</v>
      </c>
      <c r="F626" t="s">
        <v>18</v>
      </c>
      <c r="G626" t="s">
        <v>19</v>
      </c>
      <c r="H626" s="2">
        <v>3932.83</v>
      </c>
    </row>
    <row r="627" spans="1:8">
      <c r="A627" t="s">
        <v>36</v>
      </c>
      <c r="B627" t="s">
        <v>37</v>
      </c>
      <c r="C627" t="s">
        <v>25</v>
      </c>
      <c r="D627" t="s">
        <v>29</v>
      </c>
      <c r="E627">
        <v>2021</v>
      </c>
      <c r="F627" t="s">
        <v>16</v>
      </c>
      <c r="G627" t="s">
        <v>17</v>
      </c>
      <c r="H627" s="2">
        <v>176.97</v>
      </c>
    </row>
    <row r="628" spans="1:8">
      <c r="A628" t="s">
        <v>36</v>
      </c>
      <c r="B628" t="s">
        <v>37</v>
      </c>
      <c r="C628" t="s">
        <v>25</v>
      </c>
      <c r="D628" t="s">
        <v>29</v>
      </c>
      <c r="E628">
        <v>2022</v>
      </c>
      <c r="F628" t="s">
        <v>12</v>
      </c>
      <c r="G628" t="s">
        <v>17</v>
      </c>
      <c r="H628" s="2">
        <v>1874.82</v>
      </c>
    </row>
    <row r="629" spans="1:8">
      <c r="A629" t="s">
        <v>36</v>
      </c>
      <c r="B629" t="s">
        <v>37</v>
      </c>
      <c r="C629" t="s">
        <v>25</v>
      </c>
      <c r="D629" t="s">
        <v>29</v>
      </c>
      <c r="E629">
        <v>2023</v>
      </c>
      <c r="F629" t="s">
        <v>12</v>
      </c>
      <c r="G629" t="s">
        <v>19</v>
      </c>
      <c r="H629" s="2">
        <v>0</v>
      </c>
    </row>
    <row r="630" spans="1:8">
      <c r="A630" t="s">
        <v>36</v>
      </c>
      <c r="B630" t="s">
        <v>37</v>
      </c>
      <c r="C630" t="s">
        <v>25</v>
      </c>
      <c r="D630" t="s">
        <v>29</v>
      </c>
      <c r="E630">
        <v>2023</v>
      </c>
      <c r="F630" t="s">
        <v>20</v>
      </c>
      <c r="G630" t="s">
        <v>15</v>
      </c>
      <c r="H630" s="2">
        <v>-154.75</v>
      </c>
    </row>
    <row r="631" spans="1:8">
      <c r="A631" t="s">
        <v>36</v>
      </c>
      <c r="B631" t="s">
        <v>37</v>
      </c>
      <c r="C631" t="s">
        <v>25</v>
      </c>
      <c r="D631" t="s">
        <v>29</v>
      </c>
      <c r="E631">
        <v>2023</v>
      </c>
      <c r="F631" t="s">
        <v>20</v>
      </c>
      <c r="G631" t="s">
        <v>13</v>
      </c>
      <c r="H631" s="2">
        <v>-15065.12</v>
      </c>
    </row>
    <row r="632" spans="1:8">
      <c r="A632" t="s">
        <v>36</v>
      </c>
      <c r="B632" t="s">
        <v>37</v>
      </c>
      <c r="C632" t="s">
        <v>25</v>
      </c>
      <c r="D632" t="s">
        <v>29</v>
      </c>
      <c r="E632">
        <v>2023</v>
      </c>
      <c r="F632" t="s">
        <v>20</v>
      </c>
      <c r="G632" t="s">
        <v>17</v>
      </c>
      <c r="H632" s="2">
        <v>-155.29</v>
      </c>
    </row>
    <row r="633" spans="1:8">
      <c r="A633" t="s">
        <v>36</v>
      </c>
      <c r="B633" t="s">
        <v>37</v>
      </c>
      <c r="C633" t="s">
        <v>25</v>
      </c>
      <c r="D633" t="s">
        <v>29</v>
      </c>
      <c r="E633">
        <v>2024</v>
      </c>
      <c r="F633" t="s">
        <v>22</v>
      </c>
      <c r="G633" t="s">
        <v>19</v>
      </c>
      <c r="H633" s="2">
        <v>0</v>
      </c>
    </row>
    <row r="634" spans="1:8">
      <c r="A634" t="s">
        <v>36</v>
      </c>
      <c r="B634" t="s">
        <v>37</v>
      </c>
      <c r="C634" t="s">
        <v>25</v>
      </c>
      <c r="D634" t="s">
        <v>29</v>
      </c>
      <c r="E634">
        <v>2024</v>
      </c>
      <c r="F634" t="s">
        <v>18</v>
      </c>
      <c r="G634" t="s">
        <v>17</v>
      </c>
      <c r="H634" s="2">
        <v>3140.65</v>
      </c>
    </row>
    <row r="635" spans="1:8">
      <c r="A635" t="s">
        <v>36</v>
      </c>
      <c r="B635" t="s">
        <v>37</v>
      </c>
      <c r="C635" t="s">
        <v>25</v>
      </c>
      <c r="D635" t="s">
        <v>29</v>
      </c>
      <c r="E635">
        <v>2024</v>
      </c>
      <c r="F635" t="s">
        <v>20</v>
      </c>
      <c r="G635" t="s">
        <v>13</v>
      </c>
      <c r="H635" s="2">
        <v>-15418.54</v>
      </c>
    </row>
    <row r="636" spans="1:8">
      <c r="A636" t="s">
        <v>36</v>
      </c>
      <c r="B636" t="s">
        <v>37</v>
      </c>
      <c r="C636" t="s">
        <v>25</v>
      </c>
      <c r="D636" t="s">
        <v>29</v>
      </c>
      <c r="E636">
        <v>2024</v>
      </c>
      <c r="F636" t="s">
        <v>14</v>
      </c>
      <c r="G636" t="s">
        <v>15</v>
      </c>
      <c r="H636" s="2">
        <v>1066.43</v>
      </c>
    </row>
    <row r="637" spans="1:8">
      <c r="A637" t="s">
        <v>36</v>
      </c>
      <c r="B637" t="s">
        <v>37</v>
      </c>
      <c r="C637" t="s">
        <v>25</v>
      </c>
      <c r="D637" t="s">
        <v>29</v>
      </c>
      <c r="E637">
        <v>2024</v>
      </c>
      <c r="F637" t="s">
        <v>14</v>
      </c>
      <c r="G637" t="s">
        <v>19</v>
      </c>
      <c r="H637" s="2">
        <v>0</v>
      </c>
    </row>
    <row r="638" spans="1:8">
      <c r="A638" t="s">
        <v>36</v>
      </c>
      <c r="B638" t="s">
        <v>37</v>
      </c>
      <c r="C638" t="s">
        <v>25</v>
      </c>
      <c r="D638" t="s">
        <v>29</v>
      </c>
      <c r="E638">
        <v>2024</v>
      </c>
      <c r="F638" t="s">
        <v>21</v>
      </c>
      <c r="G638" t="s">
        <v>13</v>
      </c>
      <c r="H638" s="2">
        <v>29715.06</v>
      </c>
    </row>
    <row r="639" spans="1:8">
      <c r="A639" t="s">
        <v>36</v>
      </c>
      <c r="B639" t="s">
        <v>37</v>
      </c>
      <c r="C639" t="s">
        <v>25</v>
      </c>
      <c r="D639" t="s">
        <v>29</v>
      </c>
      <c r="E639">
        <v>2024</v>
      </c>
      <c r="F639" t="s">
        <v>21</v>
      </c>
      <c r="G639" t="s">
        <v>17</v>
      </c>
      <c r="H639" s="2">
        <v>301.61</v>
      </c>
    </row>
    <row r="640" spans="1:8">
      <c r="A640" t="s">
        <v>36</v>
      </c>
      <c r="B640" t="s">
        <v>37</v>
      </c>
      <c r="C640" t="s">
        <v>25</v>
      </c>
      <c r="D640" t="s">
        <v>29</v>
      </c>
      <c r="E640">
        <v>2024</v>
      </c>
      <c r="F640" t="s">
        <v>16</v>
      </c>
      <c r="G640" t="s">
        <v>15</v>
      </c>
      <c r="H640" s="2">
        <v>2618.2600000000002</v>
      </c>
    </row>
    <row r="641" spans="1:8">
      <c r="A641" t="s">
        <v>38</v>
      </c>
      <c r="B641" t="s">
        <v>39</v>
      </c>
      <c r="C641" t="s">
        <v>25</v>
      </c>
      <c r="D641" t="s">
        <v>29</v>
      </c>
      <c r="E641">
        <v>1990</v>
      </c>
      <c r="F641" t="s">
        <v>22</v>
      </c>
      <c r="G641" t="s">
        <v>13</v>
      </c>
      <c r="H641" s="2">
        <v>577.36</v>
      </c>
    </row>
    <row r="642" spans="1:8">
      <c r="A642" t="s">
        <v>38</v>
      </c>
      <c r="B642" t="s">
        <v>39</v>
      </c>
      <c r="C642" t="s">
        <v>25</v>
      </c>
      <c r="D642" t="s">
        <v>29</v>
      </c>
      <c r="E642">
        <v>1990</v>
      </c>
      <c r="F642" t="s">
        <v>18</v>
      </c>
      <c r="G642" t="s">
        <v>19</v>
      </c>
      <c r="H642" s="2">
        <v>215.86</v>
      </c>
    </row>
    <row r="643" spans="1:8">
      <c r="A643" t="s">
        <v>38</v>
      </c>
      <c r="B643" t="s">
        <v>39</v>
      </c>
      <c r="C643" t="s">
        <v>25</v>
      </c>
      <c r="D643" t="s">
        <v>29</v>
      </c>
      <c r="E643">
        <v>1990</v>
      </c>
      <c r="F643" t="s">
        <v>18</v>
      </c>
      <c r="G643" t="s">
        <v>17</v>
      </c>
      <c r="H643" s="2">
        <v>205.17</v>
      </c>
    </row>
    <row r="644" spans="1:8">
      <c r="A644" t="s">
        <v>38</v>
      </c>
      <c r="B644" t="s">
        <v>39</v>
      </c>
      <c r="C644" t="s">
        <v>25</v>
      </c>
      <c r="D644" t="s">
        <v>29</v>
      </c>
      <c r="E644">
        <v>1990</v>
      </c>
      <c r="F644" t="s">
        <v>20</v>
      </c>
      <c r="G644" t="s">
        <v>15</v>
      </c>
      <c r="H644" s="2">
        <v>-2.59</v>
      </c>
    </row>
    <row r="645" spans="1:8">
      <c r="A645" t="s">
        <v>38</v>
      </c>
      <c r="B645" t="s">
        <v>39</v>
      </c>
      <c r="C645" t="s">
        <v>25</v>
      </c>
      <c r="D645" t="s">
        <v>29</v>
      </c>
      <c r="E645">
        <v>1990</v>
      </c>
      <c r="F645" t="s">
        <v>20</v>
      </c>
      <c r="G645" t="s">
        <v>13</v>
      </c>
      <c r="H645" s="2">
        <v>-244.44</v>
      </c>
    </row>
    <row r="646" spans="1:8">
      <c r="A646" t="s">
        <v>38</v>
      </c>
      <c r="B646" t="s">
        <v>39</v>
      </c>
      <c r="C646" t="s">
        <v>25</v>
      </c>
      <c r="D646" t="s">
        <v>29</v>
      </c>
      <c r="E646">
        <v>1990</v>
      </c>
      <c r="F646" t="s">
        <v>20</v>
      </c>
      <c r="G646" t="s">
        <v>17</v>
      </c>
      <c r="H646" s="2">
        <v>-2.4500000000000002</v>
      </c>
    </row>
    <row r="647" spans="1:8">
      <c r="A647" t="s">
        <v>38</v>
      </c>
      <c r="B647" t="s">
        <v>39</v>
      </c>
      <c r="C647" t="s">
        <v>25</v>
      </c>
      <c r="D647" t="s">
        <v>29</v>
      </c>
      <c r="E647">
        <v>1990</v>
      </c>
      <c r="F647" t="s">
        <v>21</v>
      </c>
      <c r="G647" t="s">
        <v>17</v>
      </c>
      <c r="H647" s="2">
        <v>162.21</v>
      </c>
    </row>
    <row r="648" spans="1:8">
      <c r="A648" t="s">
        <v>38</v>
      </c>
      <c r="B648" t="s">
        <v>39</v>
      </c>
      <c r="C648" t="s">
        <v>25</v>
      </c>
      <c r="D648" t="s">
        <v>29</v>
      </c>
      <c r="E648">
        <v>1990</v>
      </c>
      <c r="F648" t="s">
        <v>16</v>
      </c>
      <c r="G648" t="s">
        <v>17</v>
      </c>
      <c r="H648" s="2">
        <v>182.1</v>
      </c>
    </row>
    <row r="649" spans="1:8">
      <c r="A649" t="s">
        <v>38</v>
      </c>
      <c r="B649" t="s">
        <v>39</v>
      </c>
      <c r="C649" t="s">
        <v>25</v>
      </c>
      <c r="D649" t="s">
        <v>29</v>
      </c>
      <c r="E649">
        <v>1991</v>
      </c>
      <c r="F649" t="s">
        <v>14</v>
      </c>
      <c r="G649" t="s">
        <v>17</v>
      </c>
      <c r="H649" s="2">
        <v>99</v>
      </c>
    </row>
    <row r="650" spans="1:8">
      <c r="A650" t="s">
        <v>38</v>
      </c>
      <c r="B650" t="s">
        <v>39</v>
      </c>
      <c r="C650" t="s">
        <v>25</v>
      </c>
      <c r="D650" t="s">
        <v>29</v>
      </c>
      <c r="E650">
        <v>1992</v>
      </c>
      <c r="F650" t="s">
        <v>22</v>
      </c>
      <c r="G650" t="s">
        <v>19</v>
      </c>
      <c r="H650" s="2">
        <v>0</v>
      </c>
    </row>
    <row r="651" spans="1:8">
      <c r="A651" t="s">
        <v>38</v>
      </c>
      <c r="B651" t="s">
        <v>39</v>
      </c>
      <c r="C651" t="s">
        <v>25</v>
      </c>
      <c r="D651" t="s">
        <v>29</v>
      </c>
      <c r="E651">
        <v>1992</v>
      </c>
      <c r="F651" t="s">
        <v>18</v>
      </c>
      <c r="G651" t="s">
        <v>15</v>
      </c>
      <c r="H651" s="2">
        <v>202.86</v>
      </c>
    </row>
    <row r="652" spans="1:8">
      <c r="A652" t="s">
        <v>38</v>
      </c>
      <c r="B652" t="s">
        <v>39</v>
      </c>
      <c r="C652" t="s">
        <v>25</v>
      </c>
      <c r="D652" t="s">
        <v>29</v>
      </c>
      <c r="E652">
        <v>1992</v>
      </c>
      <c r="F652" t="s">
        <v>18</v>
      </c>
      <c r="G652" t="s">
        <v>17</v>
      </c>
      <c r="H652" s="2">
        <v>188.87</v>
      </c>
    </row>
    <row r="653" spans="1:8">
      <c r="A653" t="s">
        <v>38</v>
      </c>
      <c r="B653" t="s">
        <v>39</v>
      </c>
      <c r="C653" t="s">
        <v>25</v>
      </c>
      <c r="D653" t="s">
        <v>29</v>
      </c>
      <c r="E653">
        <v>1992</v>
      </c>
      <c r="F653" t="s">
        <v>20</v>
      </c>
      <c r="G653" t="s">
        <v>13</v>
      </c>
      <c r="H653" s="2">
        <v>-232.82</v>
      </c>
    </row>
    <row r="654" spans="1:8">
      <c r="A654" t="s">
        <v>38</v>
      </c>
      <c r="B654" t="s">
        <v>39</v>
      </c>
      <c r="C654" t="s">
        <v>25</v>
      </c>
      <c r="D654" t="s">
        <v>29</v>
      </c>
      <c r="E654">
        <v>1992</v>
      </c>
      <c r="F654" t="s">
        <v>14</v>
      </c>
      <c r="G654" t="s">
        <v>19</v>
      </c>
      <c r="H654" s="2">
        <v>0</v>
      </c>
    </row>
    <row r="655" spans="1:8">
      <c r="A655" t="s">
        <v>38</v>
      </c>
      <c r="B655" t="s">
        <v>39</v>
      </c>
      <c r="C655" t="s">
        <v>25</v>
      </c>
      <c r="D655" t="s">
        <v>29</v>
      </c>
      <c r="E655">
        <v>1992</v>
      </c>
      <c r="F655" t="s">
        <v>16</v>
      </c>
      <c r="G655" t="s">
        <v>19</v>
      </c>
      <c r="H655" s="2">
        <v>0</v>
      </c>
    </row>
    <row r="656" spans="1:8">
      <c r="A656" t="s">
        <v>38</v>
      </c>
      <c r="B656" t="s">
        <v>39</v>
      </c>
      <c r="C656" t="s">
        <v>25</v>
      </c>
      <c r="D656" t="s">
        <v>29</v>
      </c>
      <c r="E656">
        <v>1993</v>
      </c>
      <c r="F656" t="s">
        <v>12</v>
      </c>
      <c r="G656" t="s">
        <v>19</v>
      </c>
      <c r="H656" s="2">
        <v>0</v>
      </c>
    </row>
    <row r="657" spans="1:8">
      <c r="A657" t="s">
        <v>38</v>
      </c>
      <c r="B657" t="s">
        <v>39</v>
      </c>
      <c r="C657" t="s">
        <v>25</v>
      </c>
      <c r="D657" t="s">
        <v>29</v>
      </c>
      <c r="E657">
        <v>1993</v>
      </c>
      <c r="F657" t="s">
        <v>14</v>
      </c>
      <c r="G657" t="s">
        <v>15</v>
      </c>
      <c r="H657" s="2">
        <v>161.03</v>
      </c>
    </row>
    <row r="658" spans="1:8">
      <c r="A658" t="s">
        <v>38</v>
      </c>
      <c r="B658" t="s">
        <v>39</v>
      </c>
      <c r="C658" t="s">
        <v>25</v>
      </c>
      <c r="D658" t="s">
        <v>29</v>
      </c>
      <c r="E658">
        <v>1993</v>
      </c>
      <c r="F658" t="s">
        <v>21</v>
      </c>
      <c r="G658" t="s">
        <v>19</v>
      </c>
      <c r="H658" s="2">
        <v>0</v>
      </c>
    </row>
    <row r="659" spans="1:8">
      <c r="A659" t="s">
        <v>38</v>
      </c>
      <c r="B659" t="s">
        <v>39</v>
      </c>
      <c r="C659" t="s">
        <v>25</v>
      </c>
      <c r="D659" t="s">
        <v>29</v>
      </c>
      <c r="E659">
        <v>1994</v>
      </c>
      <c r="F659" t="s">
        <v>12</v>
      </c>
      <c r="G659" t="s">
        <v>15</v>
      </c>
      <c r="H659" s="2">
        <v>337.06</v>
      </c>
    </row>
    <row r="660" spans="1:8">
      <c r="A660" t="s">
        <v>38</v>
      </c>
      <c r="B660" t="s">
        <v>39</v>
      </c>
      <c r="C660" t="s">
        <v>25</v>
      </c>
      <c r="D660" t="s">
        <v>29</v>
      </c>
      <c r="E660">
        <v>1994</v>
      </c>
      <c r="F660" t="s">
        <v>14</v>
      </c>
      <c r="G660" t="s">
        <v>15</v>
      </c>
      <c r="H660" s="2">
        <v>161.66</v>
      </c>
    </row>
    <row r="661" spans="1:8">
      <c r="A661" t="s">
        <v>38</v>
      </c>
      <c r="B661" t="s">
        <v>39</v>
      </c>
      <c r="C661" t="s">
        <v>25</v>
      </c>
      <c r="D661" t="s">
        <v>29</v>
      </c>
      <c r="E661">
        <v>1994</v>
      </c>
      <c r="F661" t="s">
        <v>16</v>
      </c>
      <c r="G661" t="s">
        <v>19</v>
      </c>
      <c r="H661" s="2">
        <v>0</v>
      </c>
    </row>
    <row r="662" spans="1:8">
      <c r="A662" t="s">
        <v>38</v>
      </c>
      <c r="B662" t="s">
        <v>39</v>
      </c>
      <c r="C662" t="s">
        <v>25</v>
      </c>
      <c r="D662" t="s">
        <v>29</v>
      </c>
      <c r="E662">
        <v>1995</v>
      </c>
      <c r="F662" t="s">
        <v>22</v>
      </c>
      <c r="G662" t="s">
        <v>13</v>
      </c>
      <c r="H662" s="2">
        <v>525.87</v>
      </c>
    </row>
    <row r="663" spans="1:8">
      <c r="A663" t="s">
        <v>38</v>
      </c>
      <c r="B663" t="s">
        <v>39</v>
      </c>
      <c r="C663" t="s">
        <v>25</v>
      </c>
      <c r="D663" t="s">
        <v>29</v>
      </c>
      <c r="E663">
        <v>1995</v>
      </c>
      <c r="F663" t="s">
        <v>12</v>
      </c>
      <c r="G663" t="s">
        <v>19</v>
      </c>
      <c r="H663" s="2">
        <v>0</v>
      </c>
    </row>
    <row r="664" spans="1:8">
      <c r="A664" t="s">
        <v>38</v>
      </c>
      <c r="B664" t="s">
        <v>39</v>
      </c>
      <c r="C664" t="s">
        <v>25</v>
      </c>
      <c r="D664" t="s">
        <v>29</v>
      </c>
      <c r="E664">
        <v>1995</v>
      </c>
      <c r="F664" t="s">
        <v>12</v>
      </c>
      <c r="G664" t="s">
        <v>17</v>
      </c>
      <c r="H664" s="2">
        <v>131.28</v>
      </c>
    </row>
    <row r="665" spans="1:8">
      <c r="A665" t="s">
        <v>38</v>
      </c>
      <c r="B665" t="s">
        <v>39</v>
      </c>
      <c r="C665" t="s">
        <v>25</v>
      </c>
      <c r="D665" t="s">
        <v>29</v>
      </c>
      <c r="E665">
        <v>1995</v>
      </c>
      <c r="F665" t="s">
        <v>14</v>
      </c>
      <c r="G665" t="s">
        <v>15</v>
      </c>
      <c r="H665" s="2">
        <v>155.07</v>
      </c>
    </row>
    <row r="666" spans="1:8">
      <c r="A666" t="s">
        <v>38</v>
      </c>
      <c r="B666" t="s">
        <v>39</v>
      </c>
      <c r="C666" t="s">
        <v>25</v>
      </c>
      <c r="D666" t="s">
        <v>29</v>
      </c>
      <c r="E666">
        <v>1995</v>
      </c>
      <c r="F666" t="s">
        <v>14</v>
      </c>
      <c r="G666" t="s">
        <v>13</v>
      </c>
      <c r="H666" s="2">
        <v>5181.46</v>
      </c>
    </row>
    <row r="667" spans="1:8">
      <c r="A667" t="s">
        <v>38</v>
      </c>
      <c r="B667" t="s">
        <v>39</v>
      </c>
      <c r="C667" t="s">
        <v>25</v>
      </c>
      <c r="D667" t="s">
        <v>29</v>
      </c>
      <c r="E667">
        <v>1996</v>
      </c>
      <c r="F667" t="s">
        <v>12</v>
      </c>
      <c r="G667" t="s">
        <v>17</v>
      </c>
      <c r="H667" s="2">
        <v>133.25</v>
      </c>
    </row>
    <row r="668" spans="1:8">
      <c r="A668" t="s">
        <v>38</v>
      </c>
      <c r="B668" t="s">
        <v>39</v>
      </c>
      <c r="C668" t="s">
        <v>25</v>
      </c>
      <c r="D668" t="s">
        <v>29</v>
      </c>
      <c r="E668">
        <v>1996</v>
      </c>
      <c r="F668" t="s">
        <v>16</v>
      </c>
      <c r="G668" t="s">
        <v>19</v>
      </c>
      <c r="H668" s="2">
        <v>0</v>
      </c>
    </row>
    <row r="669" spans="1:8">
      <c r="A669" t="s">
        <v>38</v>
      </c>
      <c r="B669" t="s">
        <v>39</v>
      </c>
      <c r="C669" t="s">
        <v>25</v>
      </c>
      <c r="D669" t="s">
        <v>29</v>
      </c>
      <c r="E669">
        <v>1996</v>
      </c>
      <c r="F669" t="s">
        <v>16</v>
      </c>
      <c r="G669" t="s">
        <v>17</v>
      </c>
      <c r="H669" s="2">
        <v>184.56</v>
      </c>
    </row>
    <row r="670" spans="1:8">
      <c r="A670" t="s">
        <v>38</v>
      </c>
      <c r="B670" t="s">
        <v>39</v>
      </c>
      <c r="C670" t="s">
        <v>25</v>
      </c>
      <c r="D670" t="s">
        <v>29</v>
      </c>
      <c r="E670">
        <v>1997</v>
      </c>
      <c r="F670" t="s">
        <v>22</v>
      </c>
      <c r="G670" t="s">
        <v>13</v>
      </c>
      <c r="H670" s="2">
        <v>557.77</v>
      </c>
    </row>
    <row r="671" spans="1:8">
      <c r="A671" t="s">
        <v>38</v>
      </c>
      <c r="B671" t="s">
        <v>39</v>
      </c>
      <c r="C671" t="s">
        <v>25</v>
      </c>
      <c r="D671" t="s">
        <v>29</v>
      </c>
      <c r="E671">
        <v>1997</v>
      </c>
      <c r="F671" t="s">
        <v>18</v>
      </c>
      <c r="G671" t="s">
        <v>15</v>
      </c>
      <c r="H671" s="2">
        <v>198.85</v>
      </c>
    </row>
    <row r="672" spans="1:8">
      <c r="A672" t="s">
        <v>38</v>
      </c>
      <c r="B672" t="s">
        <v>39</v>
      </c>
      <c r="C672" t="s">
        <v>25</v>
      </c>
      <c r="D672" t="s">
        <v>29</v>
      </c>
      <c r="E672">
        <v>1997</v>
      </c>
      <c r="F672" t="s">
        <v>16</v>
      </c>
      <c r="G672" t="s">
        <v>19</v>
      </c>
      <c r="H672" s="2">
        <v>0</v>
      </c>
    </row>
    <row r="673" spans="1:8">
      <c r="A673" t="s">
        <v>38</v>
      </c>
      <c r="B673" t="s">
        <v>39</v>
      </c>
      <c r="C673" t="s">
        <v>25</v>
      </c>
      <c r="D673" t="s">
        <v>29</v>
      </c>
      <c r="E673">
        <v>1998</v>
      </c>
      <c r="F673" t="s">
        <v>14</v>
      </c>
      <c r="G673" t="s">
        <v>19</v>
      </c>
      <c r="H673" s="2">
        <v>0</v>
      </c>
    </row>
    <row r="674" spans="1:8">
      <c r="A674" t="s">
        <v>38</v>
      </c>
      <c r="B674" t="s">
        <v>39</v>
      </c>
      <c r="C674" t="s">
        <v>25</v>
      </c>
      <c r="D674" t="s">
        <v>29</v>
      </c>
      <c r="E674">
        <v>1999</v>
      </c>
      <c r="F674" t="s">
        <v>12</v>
      </c>
      <c r="G674" t="s">
        <v>13</v>
      </c>
      <c r="H674" s="2">
        <v>4510.3999999999996</v>
      </c>
    </row>
    <row r="675" spans="1:8">
      <c r="A675" t="s">
        <v>38</v>
      </c>
      <c r="B675" t="s">
        <v>39</v>
      </c>
      <c r="C675" t="s">
        <v>25</v>
      </c>
      <c r="D675" t="s">
        <v>29</v>
      </c>
      <c r="E675">
        <v>2000</v>
      </c>
      <c r="F675" t="s">
        <v>22</v>
      </c>
      <c r="G675" t="s">
        <v>15</v>
      </c>
      <c r="H675" s="2">
        <v>4391.66</v>
      </c>
    </row>
    <row r="676" spans="1:8">
      <c r="A676" t="s">
        <v>38</v>
      </c>
      <c r="B676" t="s">
        <v>39</v>
      </c>
      <c r="C676" t="s">
        <v>25</v>
      </c>
      <c r="D676" t="s">
        <v>29</v>
      </c>
      <c r="E676">
        <v>2000</v>
      </c>
      <c r="F676" t="s">
        <v>14</v>
      </c>
      <c r="G676" t="s">
        <v>15</v>
      </c>
      <c r="H676" s="2">
        <v>169.78</v>
      </c>
    </row>
    <row r="677" spans="1:8">
      <c r="A677" t="s">
        <v>38</v>
      </c>
      <c r="B677" t="s">
        <v>39</v>
      </c>
      <c r="C677" t="s">
        <v>25</v>
      </c>
      <c r="D677" t="s">
        <v>29</v>
      </c>
      <c r="E677">
        <v>2000</v>
      </c>
      <c r="F677" t="s">
        <v>21</v>
      </c>
      <c r="G677" t="s">
        <v>15</v>
      </c>
      <c r="H677" s="2">
        <v>353.47</v>
      </c>
    </row>
    <row r="678" spans="1:8">
      <c r="A678" t="s">
        <v>38</v>
      </c>
      <c r="B678" t="s">
        <v>39</v>
      </c>
      <c r="C678" t="s">
        <v>25</v>
      </c>
      <c r="D678" t="s">
        <v>29</v>
      </c>
      <c r="E678">
        <v>2000</v>
      </c>
      <c r="F678" t="s">
        <v>16</v>
      </c>
      <c r="G678" t="s">
        <v>19</v>
      </c>
      <c r="H678" s="2">
        <v>0</v>
      </c>
    </row>
    <row r="679" spans="1:8">
      <c r="A679" t="s">
        <v>38</v>
      </c>
      <c r="B679" t="s">
        <v>39</v>
      </c>
      <c r="C679" t="s">
        <v>25</v>
      </c>
      <c r="D679" t="s">
        <v>29</v>
      </c>
      <c r="E679">
        <v>2001</v>
      </c>
      <c r="F679" t="s">
        <v>12</v>
      </c>
      <c r="G679" t="s">
        <v>15</v>
      </c>
      <c r="H679" s="2">
        <v>320.31</v>
      </c>
    </row>
    <row r="680" spans="1:8">
      <c r="A680" t="s">
        <v>38</v>
      </c>
      <c r="B680" t="s">
        <v>39</v>
      </c>
      <c r="C680" t="s">
        <v>25</v>
      </c>
      <c r="D680" t="s">
        <v>29</v>
      </c>
      <c r="E680">
        <v>2001</v>
      </c>
      <c r="F680" t="s">
        <v>18</v>
      </c>
      <c r="G680" t="s">
        <v>17</v>
      </c>
      <c r="H680" s="2">
        <v>204.23</v>
      </c>
    </row>
    <row r="681" spans="1:8">
      <c r="A681" t="s">
        <v>38</v>
      </c>
      <c r="B681" t="s">
        <v>39</v>
      </c>
      <c r="C681" t="s">
        <v>25</v>
      </c>
      <c r="D681" t="s">
        <v>29</v>
      </c>
      <c r="E681">
        <v>2001</v>
      </c>
      <c r="F681" t="s">
        <v>20</v>
      </c>
      <c r="G681" t="s">
        <v>15</v>
      </c>
      <c r="H681" s="2">
        <v>-2.52</v>
      </c>
    </row>
    <row r="682" spans="1:8">
      <c r="A682" t="s">
        <v>38</v>
      </c>
      <c r="B682" t="s">
        <v>39</v>
      </c>
      <c r="C682" t="s">
        <v>25</v>
      </c>
      <c r="D682" t="s">
        <v>29</v>
      </c>
      <c r="E682">
        <v>2001</v>
      </c>
      <c r="F682" t="s">
        <v>21</v>
      </c>
      <c r="G682" t="s">
        <v>17</v>
      </c>
      <c r="H682" s="2">
        <v>182.39</v>
      </c>
    </row>
    <row r="683" spans="1:8">
      <c r="A683" t="s">
        <v>38</v>
      </c>
      <c r="B683" t="s">
        <v>39</v>
      </c>
      <c r="C683" t="s">
        <v>25</v>
      </c>
      <c r="D683" t="s">
        <v>29</v>
      </c>
      <c r="E683">
        <v>2002</v>
      </c>
      <c r="F683" t="s">
        <v>12</v>
      </c>
      <c r="G683" t="s">
        <v>19</v>
      </c>
      <c r="H683" s="2">
        <v>0</v>
      </c>
    </row>
    <row r="684" spans="1:8">
      <c r="A684" t="s">
        <v>38</v>
      </c>
      <c r="B684" t="s">
        <v>39</v>
      </c>
      <c r="C684" t="s">
        <v>25</v>
      </c>
      <c r="D684" t="s">
        <v>29</v>
      </c>
      <c r="E684">
        <v>2002</v>
      </c>
      <c r="F684" t="s">
        <v>18</v>
      </c>
      <c r="G684" t="s">
        <v>13</v>
      </c>
      <c r="H684" s="2">
        <v>3668.16</v>
      </c>
    </row>
    <row r="685" spans="1:8">
      <c r="A685" t="s">
        <v>38</v>
      </c>
      <c r="B685" t="s">
        <v>39</v>
      </c>
      <c r="C685" t="s">
        <v>25</v>
      </c>
      <c r="D685" t="s">
        <v>29</v>
      </c>
      <c r="E685">
        <v>2002</v>
      </c>
      <c r="F685" t="s">
        <v>14</v>
      </c>
      <c r="G685" t="s">
        <v>17</v>
      </c>
      <c r="H685" s="2">
        <v>114.69</v>
      </c>
    </row>
    <row r="686" spans="1:8">
      <c r="A686" t="s">
        <v>38</v>
      </c>
      <c r="B686" t="s">
        <v>39</v>
      </c>
      <c r="C686" t="s">
        <v>25</v>
      </c>
      <c r="D686" t="s">
        <v>29</v>
      </c>
      <c r="E686">
        <v>2003</v>
      </c>
      <c r="F686" t="s">
        <v>12</v>
      </c>
      <c r="G686" t="s">
        <v>15</v>
      </c>
      <c r="H686" s="2">
        <v>358.95</v>
      </c>
    </row>
    <row r="687" spans="1:8">
      <c r="A687" t="s">
        <v>38</v>
      </c>
      <c r="B687" t="s">
        <v>39</v>
      </c>
      <c r="C687" t="s">
        <v>25</v>
      </c>
      <c r="D687" t="s">
        <v>29</v>
      </c>
      <c r="E687">
        <v>2003</v>
      </c>
      <c r="F687" t="s">
        <v>12</v>
      </c>
      <c r="G687" t="s">
        <v>19</v>
      </c>
      <c r="H687" s="2">
        <v>0</v>
      </c>
    </row>
    <row r="688" spans="1:8">
      <c r="A688" t="s">
        <v>38</v>
      </c>
      <c r="B688" t="s">
        <v>39</v>
      </c>
      <c r="C688" t="s">
        <v>25</v>
      </c>
      <c r="D688" t="s">
        <v>29</v>
      </c>
      <c r="E688">
        <v>2003</v>
      </c>
      <c r="F688" t="s">
        <v>16</v>
      </c>
      <c r="G688" t="s">
        <v>15</v>
      </c>
      <c r="H688" s="2">
        <v>3581.2</v>
      </c>
    </row>
    <row r="689" spans="1:8">
      <c r="A689" t="s">
        <v>38</v>
      </c>
      <c r="B689" t="s">
        <v>39</v>
      </c>
      <c r="C689" t="s">
        <v>25</v>
      </c>
      <c r="D689" t="s">
        <v>29</v>
      </c>
      <c r="E689">
        <v>2004</v>
      </c>
      <c r="F689" t="s">
        <v>12</v>
      </c>
      <c r="G689" t="s">
        <v>17</v>
      </c>
      <c r="H689" s="2">
        <v>145.13</v>
      </c>
    </row>
    <row r="690" spans="1:8">
      <c r="A690" t="s">
        <v>38</v>
      </c>
      <c r="B690" t="s">
        <v>39</v>
      </c>
      <c r="C690" t="s">
        <v>25</v>
      </c>
      <c r="D690" t="s">
        <v>29</v>
      </c>
      <c r="E690">
        <v>2004</v>
      </c>
      <c r="F690" t="s">
        <v>20</v>
      </c>
      <c r="G690" t="s">
        <v>13</v>
      </c>
      <c r="H690" s="2">
        <v>-254.81</v>
      </c>
    </row>
    <row r="691" spans="1:8">
      <c r="A691" t="s">
        <v>38</v>
      </c>
      <c r="B691" t="s">
        <v>39</v>
      </c>
      <c r="C691" t="s">
        <v>25</v>
      </c>
      <c r="D691" t="s">
        <v>29</v>
      </c>
      <c r="E691">
        <v>2004</v>
      </c>
      <c r="F691" t="s">
        <v>20</v>
      </c>
      <c r="G691" t="s">
        <v>17</v>
      </c>
      <c r="H691" s="2">
        <v>-2.56</v>
      </c>
    </row>
    <row r="692" spans="1:8">
      <c r="A692" t="s">
        <v>38</v>
      </c>
      <c r="B692" t="s">
        <v>39</v>
      </c>
      <c r="C692" t="s">
        <v>25</v>
      </c>
      <c r="D692" t="s">
        <v>29</v>
      </c>
      <c r="E692">
        <v>2004</v>
      </c>
      <c r="F692" t="s">
        <v>16</v>
      </c>
      <c r="G692" t="s">
        <v>19</v>
      </c>
      <c r="H692" s="2">
        <v>0</v>
      </c>
    </row>
    <row r="693" spans="1:8">
      <c r="A693" t="s">
        <v>38</v>
      </c>
      <c r="B693" t="s">
        <v>39</v>
      </c>
      <c r="C693" t="s">
        <v>25</v>
      </c>
      <c r="D693" t="s">
        <v>29</v>
      </c>
      <c r="E693">
        <v>2005</v>
      </c>
      <c r="F693" t="s">
        <v>22</v>
      </c>
      <c r="G693" t="s">
        <v>15</v>
      </c>
      <c r="H693" s="2">
        <v>4702.6400000000003</v>
      </c>
    </row>
    <row r="694" spans="1:8">
      <c r="A694" t="s">
        <v>38</v>
      </c>
      <c r="B694" t="s">
        <v>39</v>
      </c>
      <c r="C694" t="s">
        <v>25</v>
      </c>
      <c r="D694" t="s">
        <v>29</v>
      </c>
      <c r="E694">
        <v>2006</v>
      </c>
      <c r="F694" t="s">
        <v>22</v>
      </c>
      <c r="G694" t="s">
        <v>17</v>
      </c>
      <c r="H694" s="2">
        <v>1240.95</v>
      </c>
    </row>
    <row r="695" spans="1:8">
      <c r="A695" t="s">
        <v>38</v>
      </c>
      <c r="B695" t="s">
        <v>39</v>
      </c>
      <c r="C695" t="s">
        <v>25</v>
      </c>
      <c r="D695" t="s">
        <v>29</v>
      </c>
      <c r="E695">
        <v>2006</v>
      </c>
      <c r="F695" t="s">
        <v>21</v>
      </c>
      <c r="G695" t="s">
        <v>13</v>
      </c>
      <c r="H695" s="2">
        <v>17387.39</v>
      </c>
    </row>
    <row r="696" spans="1:8">
      <c r="A696" t="s">
        <v>38</v>
      </c>
      <c r="B696" t="s">
        <v>39</v>
      </c>
      <c r="C696" t="s">
        <v>25</v>
      </c>
      <c r="D696" t="s">
        <v>29</v>
      </c>
      <c r="E696">
        <v>2008</v>
      </c>
      <c r="F696" t="s">
        <v>22</v>
      </c>
      <c r="G696" t="s">
        <v>19</v>
      </c>
      <c r="H696" s="2">
        <v>0</v>
      </c>
    </row>
    <row r="697" spans="1:8">
      <c r="A697" t="s">
        <v>38</v>
      </c>
      <c r="B697" t="s">
        <v>39</v>
      </c>
      <c r="C697" t="s">
        <v>25</v>
      </c>
      <c r="D697" t="s">
        <v>29</v>
      </c>
      <c r="E697">
        <v>2008</v>
      </c>
      <c r="F697" t="s">
        <v>12</v>
      </c>
      <c r="G697" t="s">
        <v>13</v>
      </c>
      <c r="H697" s="2">
        <v>4264.1400000000003</v>
      </c>
    </row>
    <row r="698" spans="1:8">
      <c r="A698" t="s">
        <v>38</v>
      </c>
      <c r="B698" t="s">
        <v>39</v>
      </c>
      <c r="C698" t="s">
        <v>25</v>
      </c>
      <c r="D698" t="s">
        <v>29</v>
      </c>
      <c r="E698">
        <v>2008</v>
      </c>
      <c r="F698" t="s">
        <v>14</v>
      </c>
      <c r="G698" t="s">
        <v>13</v>
      </c>
      <c r="H698" s="2">
        <v>4763.16</v>
      </c>
    </row>
    <row r="699" spans="1:8">
      <c r="A699" t="s">
        <v>38</v>
      </c>
      <c r="B699" t="s">
        <v>39</v>
      </c>
      <c r="C699" t="s">
        <v>25</v>
      </c>
      <c r="D699" t="s">
        <v>29</v>
      </c>
      <c r="E699">
        <v>2008</v>
      </c>
      <c r="F699" t="s">
        <v>21</v>
      </c>
      <c r="G699" t="s">
        <v>15</v>
      </c>
      <c r="H699" s="2">
        <v>361.45</v>
      </c>
    </row>
    <row r="700" spans="1:8">
      <c r="A700" t="s">
        <v>38</v>
      </c>
      <c r="B700" t="s">
        <v>39</v>
      </c>
      <c r="C700" t="s">
        <v>25</v>
      </c>
      <c r="D700" t="s">
        <v>29</v>
      </c>
      <c r="E700">
        <v>2009</v>
      </c>
      <c r="F700" t="s">
        <v>18</v>
      </c>
      <c r="G700" t="s">
        <v>13</v>
      </c>
      <c r="H700" s="2">
        <v>3826.53</v>
      </c>
    </row>
    <row r="701" spans="1:8">
      <c r="A701" t="s">
        <v>38</v>
      </c>
      <c r="B701" t="s">
        <v>39</v>
      </c>
      <c r="C701" t="s">
        <v>25</v>
      </c>
      <c r="D701" t="s">
        <v>29</v>
      </c>
      <c r="E701">
        <v>2009</v>
      </c>
      <c r="F701" t="s">
        <v>21</v>
      </c>
      <c r="G701" t="s">
        <v>17</v>
      </c>
      <c r="H701" s="2">
        <v>194.35</v>
      </c>
    </row>
    <row r="702" spans="1:8">
      <c r="A702" t="s">
        <v>38</v>
      </c>
      <c r="B702" t="s">
        <v>39</v>
      </c>
      <c r="C702" t="s">
        <v>25</v>
      </c>
      <c r="D702" t="s">
        <v>29</v>
      </c>
      <c r="E702">
        <v>2010</v>
      </c>
      <c r="F702" t="s">
        <v>14</v>
      </c>
      <c r="G702" t="s">
        <v>17</v>
      </c>
      <c r="H702" s="2">
        <v>124.11</v>
      </c>
    </row>
    <row r="703" spans="1:8">
      <c r="A703" t="s">
        <v>38</v>
      </c>
      <c r="B703" t="s">
        <v>39</v>
      </c>
      <c r="C703" t="s">
        <v>25</v>
      </c>
      <c r="D703" t="s">
        <v>29</v>
      </c>
      <c r="E703">
        <v>2010</v>
      </c>
      <c r="F703" t="s">
        <v>21</v>
      </c>
      <c r="G703" t="s">
        <v>17</v>
      </c>
      <c r="H703" s="2">
        <v>187.69</v>
      </c>
    </row>
    <row r="704" spans="1:8">
      <c r="A704" t="s">
        <v>38</v>
      </c>
      <c r="B704" t="s">
        <v>39</v>
      </c>
      <c r="C704" t="s">
        <v>25</v>
      </c>
      <c r="D704" t="s">
        <v>29</v>
      </c>
      <c r="E704">
        <v>2010</v>
      </c>
      <c r="F704" t="s">
        <v>16</v>
      </c>
      <c r="G704" t="s">
        <v>13</v>
      </c>
      <c r="H704" s="2">
        <v>710.59</v>
      </c>
    </row>
    <row r="705" spans="1:8">
      <c r="A705" t="s">
        <v>38</v>
      </c>
      <c r="B705" t="s">
        <v>39</v>
      </c>
      <c r="C705" t="s">
        <v>25</v>
      </c>
      <c r="D705" t="s">
        <v>29</v>
      </c>
      <c r="E705">
        <v>2011</v>
      </c>
      <c r="F705" t="s">
        <v>14</v>
      </c>
      <c r="G705" t="s">
        <v>13</v>
      </c>
      <c r="H705" s="2">
        <v>5359.46</v>
      </c>
    </row>
    <row r="706" spans="1:8">
      <c r="A706" t="s">
        <v>38</v>
      </c>
      <c r="B706" t="s">
        <v>39</v>
      </c>
      <c r="C706" t="s">
        <v>25</v>
      </c>
      <c r="D706" t="s">
        <v>29</v>
      </c>
      <c r="E706">
        <v>2012</v>
      </c>
      <c r="F706" t="s">
        <v>22</v>
      </c>
      <c r="G706" t="s">
        <v>19</v>
      </c>
      <c r="H706" s="2">
        <v>0</v>
      </c>
    </row>
    <row r="707" spans="1:8">
      <c r="A707" t="s">
        <v>38</v>
      </c>
      <c r="B707" t="s">
        <v>39</v>
      </c>
      <c r="C707" t="s">
        <v>25</v>
      </c>
      <c r="D707" t="s">
        <v>29</v>
      </c>
      <c r="E707">
        <v>2012</v>
      </c>
      <c r="F707" t="s">
        <v>18</v>
      </c>
      <c r="G707" t="s">
        <v>15</v>
      </c>
      <c r="H707" s="2">
        <v>226.01</v>
      </c>
    </row>
    <row r="708" spans="1:8">
      <c r="A708" t="s">
        <v>38</v>
      </c>
      <c r="B708" t="s">
        <v>39</v>
      </c>
      <c r="C708" t="s">
        <v>25</v>
      </c>
      <c r="D708" t="s">
        <v>29</v>
      </c>
      <c r="E708">
        <v>2012</v>
      </c>
      <c r="F708" t="s">
        <v>20</v>
      </c>
      <c r="G708" t="s">
        <v>15</v>
      </c>
      <c r="H708" s="2">
        <v>-2.74</v>
      </c>
    </row>
    <row r="709" spans="1:8">
      <c r="A709" t="s">
        <v>38</v>
      </c>
      <c r="B709" t="s">
        <v>39</v>
      </c>
      <c r="C709" t="s">
        <v>25</v>
      </c>
      <c r="D709" t="s">
        <v>29</v>
      </c>
      <c r="E709">
        <v>2012</v>
      </c>
      <c r="F709" t="s">
        <v>20</v>
      </c>
      <c r="G709" t="s">
        <v>17</v>
      </c>
      <c r="H709" s="2">
        <v>-2.86</v>
      </c>
    </row>
    <row r="710" spans="1:8">
      <c r="A710" t="s">
        <v>38</v>
      </c>
      <c r="B710" t="s">
        <v>39</v>
      </c>
      <c r="C710" t="s">
        <v>25</v>
      </c>
      <c r="D710" t="s">
        <v>29</v>
      </c>
      <c r="E710">
        <v>2012</v>
      </c>
      <c r="F710" t="s">
        <v>14</v>
      </c>
      <c r="G710" t="s">
        <v>13</v>
      </c>
      <c r="H710" s="2">
        <v>5328.64</v>
      </c>
    </row>
    <row r="711" spans="1:8">
      <c r="A711" t="s">
        <v>38</v>
      </c>
      <c r="B711" t="s">
        <v>39</v>
      </c>
      <c r="C711" t="s">
        <v>25</v>
      </c>
      <c r="D711" t="s">
        <v>29</v>
      </c>
      <c r="E711">
        <v>2012</v>
      </c>
      <c r="F711" t="s">
        <v>14</v>
      </c>
      <c r="G711" t="s">
        <v>19</v>
      </c>
      <c r="H711" s="2">
        <v>0</v>
      </c>
    </row>
    <row r="712" spans="1:8">
      <c r="A712" t="s">
        <v>38</v>
      </c>
      <c r="B712" t="s">
        <v>39</v>
      </c>
      <c r="C712" t="s">
        <v>25</v>
      </c>
      <c r="D712" t="s">
        <v>29</v>
      </c>
      <c r="E712">
        <v>2012</v>
      </c>
      <c r="F712" t="s">
        <v>16</v>
      </c>
      <c r="G712" t="s">
        <v>15</v>
      </c>
      <c r="H712" s="2">
        <v>3690.74</v>
      </c>
    </row>
    <row r="713" spans="1:8">
      <c r="A713" t="s">
        <v>38</v>
      </c>
      <c r="B713" t="s">
        <v>39</v>
      </c>
      <c r="C713" t="s">
        <v>25</v>
      </c>
      <c r="D713" t="s">
        <v>29</v>
      </c>
      <c r="E713">
        <v>2013</v>
      </c>
      <c r="F713" t="s">
        <v>21</v>
      </c>
      <c r="G713" t="s">
        <v>13</v>
      </c>
      <c r="H713" s="2">
        <v>16829.240000000002</v>
      </c>
    </row>
    <row r="714" spans="1:8">
      <c r="A714" t="s">
        <v>38</v>
      </c>
      <c r="B714" t="s">
        <v>39</v>
      </c>
      <c r="C714" t="s">
        <v>25</v>
      </c>
      <c r="D714" t="s">
        <v>29</v>
      </c>
      <c r="E714">
        <v>2014</v>
      </c>
      <c r="F714" t="s">
        <v>21</v>
      </c>
      <c r="G714" t="s">
        <v>17</v>
      </c>
      <c r="H714" s="2">
        <v>170.82</v>
      </c>
    </row>
    <row r="715" spans="1:8">
      <c r="A715" t="s">
        <v>38</v>
      </c>
      <c r="B715" t="s">
        <v>39</v>
      </c>
      <c r="C715" t="s">
        <v>25</v>
      </c>
      <c r="D715" t="s">
        <v>29</v>
      </c>
      <c r="E715">
        <v>2014</v>
      </c>
      <c r="F715" t="s">
        <v>16</v>
      </c>
      <c r="G715" t="s">
        <v>19</v>
      </c>
      <c r="H715" s="2">
        <v>0</v>
      </c>
    </row>
    <row r="716" spans="1:8">
      <c r="A716" t="s">
        <v>38</v>
      </c>
      <c r="B716" t="s">
        <v>39</v>
      </c>
      <c r="C716" t="s">
        <v>25</v>
      </c>
      <c r="D716" t="s">
        <v>29</v>
      </c>
      <c r="E716">
        <v>2015</v>
      </c>
      <c r="F716" t="s">
        <v>22</v>
      </c>
      <c r="G716" t="s">
        <v>13</v>
      </c>
      <c r="H716" s="2">
        <v>616.16999999999996</v>
      </c>
    </row>
    <row r="717" spans="1:8">
      <c r="A717" t="s">
        <v>38</v>
      </c>
      <c r="B717" t="s">
        <v>39</v>
      </c>
      <c r="C717" t="s">
        <v>25</v>
      </c>
      <c r="D717" t="s">
        <v>29</v>
      </c>
      <c r="E717">
        <v>2015</v>
      </c>
      <c r="F717" t="s">
        <v>12</v>
      </c>
      <c r="G717" t="s">
        <v>17</v>
      </c>
      <c r="H717" s="2">
        <v>161.79</v>
      </c>
    </row>
    <row r="718" spans="1:8">
      <c r="A718" t="s">
        <v>38</v>
      </c>
      <c r="B718" t="s">
        <v>39</v>
      </c>
      <c r="C718" t="s">
        <v>25</v>
      </c>
      <c r="D718" t="s">
        <v>29</v>
      </c>
      <c r="E718">
        <v>2015</v>
      </c>
      <c r="F718" t="s">
        <v>18</v>
      </c>
      <c r="G718" t="s">
        <v>15</v>
      </c>
      <c r="H718" s="2">
        <v>224.59</v>
      </c>
    </row>
    <row r="719" spans="1:8">
      <c r="A719" t="s">
        <v>38</v>
      </c>
      <c r="B719" t="s">
        <v>39</v>
      </c>
      <c r="C719" t="s">
        <v>25</v>
      </c>
      <c r="D719" t="s">
        <v>29</v>
      </c>
      <c r="E719">
        <v>2016</v>
      </c>
      <c r="F719" t="s">
        <v>18</v>
      </c>
      <c r="G719" t="s">
        <v>13</v>
      </c>
      <c r="H719" s="2">
        <v>3630.8</v>
      </c>
    </row>
    <row r="720" spans="1:8">
      <c r="A720" t="s">
        <v>38</v>
      </c>
      <c r="B720" t="s">
        <v>39</v>
      </c>
      <c r="C720" t="s">
        <v>25</v>
      </c>
      <c r="D720" t="s">
        <v>29</v>
      </c>
      <c r="E720">
        <v>2016</v>
      </c>
      <c r="F720" t="s">
        <v>21</v>
      </c>
      <c r="G720" t="s">
        <v>13</v>
      </c>
      <c r="H720" s="2">
        <v>17108.990000000002</v>
      </c>
    </row>
    <row r="721" spans="1:8">
      <c r="A721" t="s">
        <v>38</v>
      </c>
      <c r="B721" t="s">
        <v>39</v>
      </c>
      <c r="C721" t="s">
        <v>25</v>
      </c>
      <c r="D721" t="s">
        <v>29</v>
      </c>
      <c r="E721">
        <v>2017</v>
      </c>
      <c r="F721" t="s">
        <v>22</v>
      </c>
      <c r="G721" t="s">
        <v>13</v>
      </c>
      <c r="H721" s="2">
        <v>529.34</v>
      </c>
    </row>
    <row r="722" spans="1:8">
      <c r="A722" t="s">
        <v>38</v>
      </c>
      <c r="B722" t="s">
        <v>39</v>
      </c>
      <c r="C722" t="s">
        <v>25</v>
      </c>
      <c r="D722" t="s">
        <v>29</v>
      </c>
      <c r="E722">
        <v>2017</v>
      </c>
      <c r="F722" t="s">
        <v>18</v>
      </c>
      <c r="G722" t="s">
        <v>17</v>
      </c>
      <c r="H722" s="2">
        <v>214.68</v>
      </c>
    </row>
    <row r="723" spans="1:8">
      <c r="A723" t="s">
        <v>38</v>
      </c>
      <c r="B723" t="s">
        <v>39</v>
      </c>
      <c r="C723" t="s">
        <v>25</v>
      </c>
      <c r="D723" t="s">
        <v>29</v>
      </c>
      <c r="E723">
        <v>2017</v>
      </c>
      <c r="F723" t="s">
        <v>20</v>
      </c>
      <c r="G723" t="s">
        <v>19</v>
      </c>
      <c r="H723" s="2">
        <v>0</v>
      </c>
    </row>
    <row r="724" spans="1:8">
      <c r="A724" t="s">
        <v>38</v>
      </c>
      <c r="B724" t="s">
        <v>39</v>
      </c>
      <c r="C724" t="s">
        <v>25</v>
      </c>
      <c r="D724" t="s">
        <v>29</v>
      </c>
      <c r="E724">
        <v>2018</v>
      </c>
      <c r="F724" t="s">
        <v>16</v>
      </c>
      <c r="G724" t="s">
        <v>19</v>
      </c>
      <c r="H724" s="2">
        <v>0</v>
      </c>
    </row>
    <row r="725" spans="1:8">
      <c r="A725" t="s">
        <v>38</v>
      </c>
      <c r="B725" t="s">
        <v>39</v>
      </c>
      <c r="C725" t="s">
        <v>25</v>
      </c>
      <c r="D725" t="s">
        <v>29</v>
      </c>
      <c r="E725">
        <v>2019</v>
      </c>
      <c r="F725" t="s">
        <v>12</v>
      </c>
      <c r="G725" t="s">
        <v>17</v>
      </c>
      <c r="H725" s="2">
        <v>139.18</v>
      </c>
    </row>
    <row r="726" spans="1:8">
      <c r="A726" t="s">
        <v>38</v>
      </c>
      <c r="B726" t="s">
        <v>39</v>
      </c>
      <c r="C726" t="s">
        <v>25</v>
      </c>
      <c r="D726" t="s">
        <v>29</v>
      </c>
      <c r="E726">
        <v>2019</v>
      </c>
      <c r="F726" t="s">
        <v>20</v>
      </c>
      <c r="G726" t="s">
        <v>15</v>
      </c>
      <c r="H726" s="2">
        <v>-2.5099999999999998</v>
      </c>
    </row>
    <row r="727" spans="1:8">
      <c r="A727" t="s">
        <v>38</v>
      </c>
      <c r="B727" t="s">
        <v>39</v>
      </c>
      <c r="C727" t="s">
        <v>25</v>
      </c>
      <c r="D727" t="s">
        <v>29</v>
      </c>
      <c r="E727">
        <v>2019</v>
      </c>
      <c r="F727" t="s">
        <v>16</v>
      </c>
      <c r="G727" t="s">
        <v>17</v>
      </c>
      <c r="H727" s="2">
        <v>189.67</v>
      </c>
    </row>
    <row r="728" spans="1:8">
      <c r="A728" t="s">
        <v>38</v>
      </c>
      <c r="B728" t="s">
        <v>39</v>
      </c>
      <c r="C728" t="s">
        <v>25</v>
      </c>
      <c r="D728" t="s">
        <v>29</v>
      </c>
      <c r="E728">
        <v>2020</v>
      </c>
      <c r="F728" t="s">
        <v>12</v>
      </c>
      <c r="G728" t="s">
        <v>19</v>
      </c>
      <c r="H728" s="2">
        <v>0</v>
      </c>
    </row>
    <row r="729" spans="1:8">
      <c r="A729" t="s">
        <v>38</v>
      </c>
      <c r="B729" t="s">
        <v>39</v>
      </c>
      <c r="C729" t="s">
        <v>25</v>
      </c>
      <c r="D729" t="s">
        <v>29</v>
      </c>
      <c r="E729">
        <v>2020</v>
      </c>
      <c r="F729" t="s">
        <v>14</v>
      </c>
      <c r="G729" t="s">
        <v>15</v>
      </c>
      <c r="H729" s="2">
        <v>156.77000000000001</v>
      </c>
    </row>
    <row r="730" spans="1:8">
      <c r="A730" t="s">
        <v>38</v>
      </c>
      <c r="B730" t="s">
        <v>39</v>
      </c>
      <c r="C730" t="s">
        <v>25</v>
      </c>
      <c r="D730" t="s">
        <v>29</v>
      </c>
      <c r="E730">
        <v>2020</v>
      </c>
      <c r="F730" t="s">
        <v>14</v>
      </c>
      <c r="G730" t="s">
        <v>19</v>
      </c>
      <c r="H730" s="2">
        <v>0</v>
      </c>
    </row>
    <row r="731" spans="1:8">
      <c r="A731" t="s">
        <v>38</v>
      </c>
      <c r="B731" t="s">
        <v>39</v>
      </c>
      <c r="C731" t="s">
        <v>25</v>
      </c>
      <c r="D731" t="s">
        <v>29</v>
      </c>
      <c r="E731">
        <v>2020</v>
      </c>
      <c r="F731" t="s">
        <v>16</v>
      </c>
      <c r="G731" t="s">
        <v>17</v>
      </c>
      <c r="H731" s="2">
        <v>204.89</v>
      </c>
    </row>
    <row r="732" spans="1:8">
      <c r="A732" t="s">
        <v>38</v>
      </c>
      <c r="B732" t="s">
        <v>39</v>
      </c>
      <c r="C732" t="s">
        <v>25</v>
      </c>
      <c r="D732" t="s">
        <v>29</v>
      </c>
      <c r="E732">
        <v>2021</v>
      </c>
      <c r="F732" t="s">
        <v>22</v>
      </c>
      <c r="G732" t="s">
        <v>17</v>
      </c>
      <c r="H732" s="2">
        <v>1184.75</v>
      </c>
    </row>
    <row r="733" spans="1:8">
      <c r="A733" t="s">
        <v>38</v>
      </c>
      <c r="B733" t="s">
        <v>39</v>
      </c>
      <c r="C733" t="s">
        <v>25</v>
      </c>
      <c r="D733" t="s">
        <v>29</v>
      </c>
      <c r="E733">
        <v>2021</v>
      </c>
      <c r="F733" t="s">
        <v>12</v>
      </c>
      <c r="G733" t="s">
        <v>13</v>
      </c>
      <c r="H733" s="2">
        <v>4240.2700000000004</v>
      </c>
    </row>
    <row r="734" spans="1:8">
      <c r="A734" t="s">
        <v>38</v>
      </c>
      <c r="B734" t="s">
        <v>39</v>
      </c>
      <c r="C734" t="s">
        <v>25</v>
      </c>
      <c r="D734" t="s">
        <v>29</v>
      </c>
      <c r="E734">
        <v>2022</v>
      </c>
      <c r="F734" t="s">
        <v>22</v>
      </c>
      <c r="G734" t="s">
        <v>13</v>
      </c>
      <c r="H734" s="2">
        <v>531.98</v>
      </c>
    </row>
    <row r="735" spans="1:8">
      <c r="A735" t="s">
        <v>38</v>
      </c>
      <c r="B735" t="s">
        <v>39</v>
      </c>
      <c r="C735" t="s">
        <v>25</v>
      </c>
      <c r="D735" t="s">
        <v>29</v>
      </c>
      <c r="E735">
        <v>2022</v>
      </c>
      <c r="F735" t="s">
        <v>14</v>
      </c>
      <c r="G735" t="s">
        <v>15</v>
      </c>
      <c r="H735" s="2">
        <v>127.89</v>
      </c>
    </row>
    <row r="736" spans="1:8">
      <c r="A736" t="s">
        <v>38</v>
      </c>
      <c r="B736" t="s">
        <v>39</v>
      </c>
      <c r="C736" t="s">
        <v>25</v>
      </c>
      <c r="D736" t="s">
        <v>29</v>
      </c>
      <c r="E736">
        <v>2023</v>
      </c>
      <c r="F736" t="s">
        <v>12</v>
      </c>
      <c r="G736" t="s">
        <v>19</v>
      </c>
      <c r="H736" s="2">
        <v>0</v>
      </c>
    </row>
    <row r="737" spans="1:8">
      <c r="A737" t="s">
        <v>38</v>
      </c>
      <c r="B737" t="s">
        <v>39</v>
      </c>
      <c r="C737" t="s">
        <v>25</v>
      </c>
      <c r="D737" t="s">
        <v>29</v>
      </c>
      <c r="E737">
        <v>2023</v>
      </c>
      <c r="F737" t="s">
        <v>20</v>
      </c>
      <c r="G737" t="s">
        <v>13</v>
      </c>
      <c r="H737" s="2">
        <v>-246.23</v>
      </c>
    </row>
    <row r="738" spans="1:8">
      <c r="A738" t="s">
        <v>38</v>
      </c>
      <c r="B738" t="s">
        <v>39</v>
      </c>
      <c r="C738" t="s">
        <v>25</v>
      </c>
      <c r="D738" t="s">
        <v>29</v>
      </c>
      <c r="E738">
        <v>2023</v>
      </c>
      <c r="F738" t="s">
        <v>21</v>
      </c>
      <c r="G738" t="s">
        <v>13</v>
      </c>
      <c r="H738" s="2">
        <v>14535.79</v>
      </c>
    </row>
    <row r="739" spans="1:8">
      <c r="A739" t="s">
        <v>38</v>
      </c>
      <c r="B739" t="s">
        <v>39</v>
      </c>
      <c r="C739" t="s">
        <v>25</v>
      </c>
      <c r="D739" t="s">
        <v>29</v>
      </c>
      <c r="E739">
        <v>2024</v>
      </c>
      <c r="F739" t="s">
        <v>14</v>
      </c>
      <c r="G739" t="s">
        <v>15</v>
      </c>
      <c r="H739" s="2">
        <v>114.37</v>
      </c>
    </row>
    <row r="740" spans="1:8">
      <c r="A740" t="s">
        <v>38</v>
      </c>
      <c r="B740" t="s">
        <v>39</v>
      </c>
      <c r="C740" t="s">
        <v>25</v>
      </c>
      <c r="D740" t="s">
        <v>29</v>
      </c>
      <c r="E740">
        <v>2024</v>
      </c>
      <c r="F740" t="s">
        <v>21</v>
      </c>
      <c r="G740" t="s">
        <v>19</v>
      </c>
      <c r="H740" s="2">
        <v>0</v>
      </c>
    </row>
    <row r="741" spans="1:8">
      <c r="A741" t="s">
        <v>38</v>
      </c>
      <c r="B741" t="s">
        <v>39</v>
      </c>
      <c r="C741" t="s">
        <v>25</v>
      </c>
      <c r="D741" t="s">
        <v>29</v>
      </c>
      <c r="E741">
        <v>2024</v>
      </c>
      <c r="F741" t="s">
        <v>16</v>
      </c>
      <c r="G741" t="s">
        <v>19</v>
      </c>
      <c r="H741" s="2">
        <v>0</v>
      </c>
    </row>
    <row r="742" spans="1:8">
      <c r="A742" t="s">
        <v>40</v>
      </c>
      <c r="B742" t="s">
        <v>41</v>
      </c>
      <c r="C742" t="s">
        <v>32</v>
      </c>
      <c r="D742" t="s">
        <v>11</v>
      </c>
      <c r="E742">
        <v>1990</v>
      </c>
      <c r="F742" t="s">
        <v>21</v>
      </c>
      <c r="G742" t="s">
        <v>15</v>
      </c>
      <c r="H742" s="2">
        <v>4968.8</v>
      </c>
    </row>
    <row r="743" spans="1:8">
      <c r="A743" t="s">
        <v>40</v>
      </c>
      <c r="B743" t="s">
        <v>41</v>
      </c>
      <c r="C743" t="s">
        <v>32</v>
      </c>
      <c r="D743" t="s">
        <v>11</v>
      </c>
      <c r="E743">
        <v>1991</v>
      </c>
      <c r="F743" t="s">
        <v>18</v>
      </c>
      <c r="G743" t="s">
        <v>13</v>
      </c>
      <c r="H743" s="2">
        <v>199511.78</v>
      </c>
    </row>
    <row r="744" spans="1:8">
      <c r="A744" t="s">
        <v>40</v>
      </c>
      <c r="B744" t="s">
        <v>41</v>
      </c>
      <c r="C744" t="s">
        <v>32</v>
      </c>
      <c r="D744" t="s">
        <v>11</v>
      </c>
      <c r="E744">
        <v>1991</v>
      </c>
      <c r="F744" t="s">
        <v>20</v>
      </c>
      <c r="G744" t="s">
        <v>13</v>
      </c>
      <c r="H744" s="2">
        <v>132732.57999999999</v>
      </c>
    </row>
    <row r="745" spans="1:8">
      <c r="A745" t="s">
        <v>40</v>
      </c>
      <c r="B745" t="s">
        <v>41</v>
      </c>
      <c r="C745" t="s">
        <v>32</v>
      </c>
      <c r="D745" t="s">
        <v>11</v>
      </c>
      <c r="E745">
        <v>1991</v>
      </c>
      <c r="F745" t="s">
        <v>20</v>
      </c>
      <c r="G745" t="s">
        <v>19</v>
      </c>
      <c r="H745" s="2">
        <v>0</v>
      </c>
    </row>
    <row r="746" spans="1:8">
      <c r="A746" t="s">
        <v>40</v>
      </c>
      <c r="B746" t="s">
        <v>41</v>
      </c>
      <c r="C746" t="s">
        <v>32</v>
      </c>
      <c r="D746" t="s">
        <v>11</v>
      </c>
      <c r="E746">
        <v>1992</v>
      </c>
      <c r="F746" t="s">
        <v>14</v>
      </c>
      <c r="G746" t="s">
        <v>17</v>
      </c>
      <c r="H746" s="2">
        <v>9577.08</v>
      </c>
    </row>
    <row r="747" spans="1:8">
      <c r="A747" t="s">
        <v>40</v>
      </c>
      <c r="B747" t="s">
        <v>41</v>
      </c>
      <c r="C747" t="s">
        <v>32</v>
      </c>
      <c r="D747" t="s">
        <v>11</v>
      </c>
      <c r="E747">
        <v>1993</v>
      </c>
      <c r="F747" t="s">
        <v>18</v>
      </c>
      <c r="G747" t="s">
        <v>13</v>
      </c>
      <c r="H747" s="2">
        <v>204801.34</v>
      </c>
    </row>
    <row r="748" spans="1:8">
      <c r="A748" t="s">
        <v>40</v>
      </c>
      <c r="B748" t="s">
        <v>41</v>
      </c>
      <c r="C748" t="s">
        <v>32</v>
      </c>
      <c r="D748" t="s">
        <v>11</v>
      </c>
      <c r="E748">
        <v>1993</v>
      </c>
      <c r="F748" t="s">
        <v>21</v>
      </c>
      <c r="G748" t="s">
        <v>17</v>
      </c>
      <c r="H748" s="2">
        <v>3084.86</v>
      </c>
    </row>
    <row r="749" spans="1:8">
      <c r="A749" t="s">
        <v>40</v>
      </c>
      <c r="B749" t="s">
        <v>41</v>
      </c>
      <c r="C749" t="s">
        <v>32</v>
      </c>
      <c r="D749" t="s">
        <v>11</v>
      </c>
      <c r="E749">
        <v>1993</v>
      </c>
      <c r="F749" t="s">
        <v>16</v>
      </c>
      <c r="G749" t="s">
        <v>13</v>
      </c>
      <c r="H749" s="2">
        <v>122559.85</v>
      </c>
    </row>
    <row r="750" spans="1:8">
      <c r="A750" t="s">
        <v>40</v>
      </c>
      <c r="B750" t="s">
        <v>41</v>
      </c>
      <c r="C750" t="s">
        <v>32</v>
      </c>
      <c r="D750" t="s">
        <v>11</v>
      </c>
      <c r="E750">
        <v>1994</v>
      </c>
      <c r="F750" t="s">
        <v>22</v>
      </c>
      <c r="G750" t="s">
        <v>15</v>
      </c>
      <c r="H750" s="2">
        <v>627658.14</v>
      </c>
    </row>
    <row r="751" spans="1:8">
      <c r="A751" t="s">
        <v>40</v>
      </c>
      <c r="B751" t="s">
        <v>41</v>
      </c>
      <c r="C751" t="s">
        <v>32</v>
      </c>
      <c r="D751" t="s">
        <v>11</v>
      </c>
      <c r="E751">
        <v>1994</v>
      </c>
      <c r="F751" t="s">
        <v>18</v>
      </c>
      <c r="G751" t="s">
        <v>19</v>
      </c>
      <c r="H751" s="2">
        <v>13834.62</v>
      </c>
    </row>
    <row r="752" spans="1:8">
      <c r="A752" t="s">
        <v>40</v>
      </c>
      <c r="B752" t="s">
        <v>41</v>
      </c>
      <c r="C752" t="s">
        <v>32</v>
      </c>
      <c r="D752" t="s">
        <v>11</v>
      </c>
      <c r="E752">
        <v>1994</v>
      </c>
      <c r="F752" t="s">
        <v>18</v>
      </c>
      <c r="G752" t="s">
        <v>17</v>
      </c>
      <c r="H752" s="2">
        <v>13620.92</v>
      </c>
    </row>
    <row r="753" spans="1:8">
      <c r="A753" t="s">
        <v>40</v>
      </c>
      <c r="B753" t="s">
        <v>41</v>
      </c>
      <c r="C753" t="s">
        <v>32</v>
      </c>
      <c r="D753" t="s">
        <v>11</v>
      </c>
      <c r="E753">
        <v>1994</v>
      </c>
      <c r="F753" t="s">
        <v>14</v>
      </c>
      <c r="G753" t="s">
        <v>13</v>
      </c>
      <c r="H753" s="2">
        <v>568300</v>
      </c>
    </row>
    <row r="754" spans="1:8">
      <c r="A754" t="s">
        <v>40</v>
      </c>
      <c r="B754" t="s">
        <v>41</v>
      </c>
      <c r="C754" t="s">
        <v>32</v>
      </c>
      <c r="D754" t="s">
        <v>11</v>
      </c>
      <c r="E754">
        <v>1994</v>
      </c>
      <c r="F754" t="s">
        <v>16</v>
      </c>
      <c r="G754" t="s">
        <v>13</v>
      </c>
      <c r="H754" s="2">
        <v>136585.41</v>
      </c>
    </row>
    <row r="755" spans="1:8">
      <c r="A755" t="s">
        <v>40</v>
      </c>
      <c r="B755" t="s">
        <v>41</v>
      </c>
      <c r="C755" t="s">
        <v>32</v>
      </c>
      <c r="D755" t="s">
        <v>11</v>
      </c>
      <c r="E755">
        <v>1995</v>
      </c>
      <c r="F755" t="s">
        <v>21</v>
      </c>
      <c r="G755" t="s">
        <v>19</v>
      </c>
      <c r="H755" s="2">
        <v>0</v>
      </c>
    </row>
    <row r="756" spans="1:8">
      <c r="A756" t="s">
        <v>40</v>
      </c>
      <c r="B756" t="s">
        <v>41</v>
      </c>
      <c r="C756" t="s">
        <v>32</v>
      </c>
      <c r="D756" t="s">
        <v>11</v>
      </c>
      <c r="E756">
        <v>1996</v>
      </c>
      <c r="F756" t="s">
        <v>18</v>
      </c>
      <c r="G756" t="s">
        <v>15</v>
      </c>
      <c r="H756" s="2">
        <v>14734.27</v>
      </c>
    </row>
    <row r="757" spans="1:8">
      <c r="A757" t="s">
        <v>40</v>
      </c>
      <c r="B757" t="s">
        <v>41</v>
      </c>
      <c r="C757" t="s">
        <v>32</v>
      </c>
      <c r="D757" t="s">
        <v>11</v>
      </c>
      <c r="E757">
        <v>1996</v>
      </c>
      <c r="F757" t="s">
        <v>20</v>
      </c>
      <c r="G757" t="s">
        <v>17</v>
      </c>
      <c r="H757" s="2">
        <v>1451.18</v>
      </c>
    </row>
    <row r="758" spans="1:8">
      <c r="A758" t="s">
        <v>40</v>
      </c>
      <c r="B758" t="s">
        <v>41</v>
      </c>
      <c r="C758" t="s">
        <v>32</v>
      </c>
      <c r="D758" t="s">
        <v>11</v>
      </c>
      <c r="E758">
        <v>1996</v>
      </c>
      <c r="F758" t="s">
        <v>21</v>
      </c>
      <c r="G758" t="s">
        <v>13</v>
      </c>
      <c r="H758" s="2">
        <v>329913.19</v>
      </c>
    </row>
    <row r="759" spans="1:8">
      <c r="A759" t="s">
        <v>40</v>
      </c>
      <c r="B759" t="s">
        <v>41</v>
      </c>
      <c r="C759" t="s">
        <v>32</v>
      </c>
      <c r="D759" t="s">
        <v>11</v>
      </c>
      <c r="E759">
        <v>1998</v>
      </c>
      <c r="F759" t="s">
        <v>12</v>
      </c>
      <c r="G759" t="s">
        <v>15</v>
      </c>
      <c r="H759" s="2">
        <v>51903.56</v>
      </c>
    </row>
    <row r="760" spans="1:8">
      <c r="A760" t="s">
        <v>40</v>
      </c>
      <c r="B760" t="s">
        <v>41</v>
      </c>
      <c r="C760" t="s">
        <v>32</v>
      </c>
      <c r="D760" t="s">
        <v>11</v>
      </c>
      <c r="E760">
        <v>1998</v>
      </c>
      <c r="F760" t="s">
        <v>12</v>
      </c>
      <c r="G760" t="s">
        <v>13</v>
      </c>
      <c r="H760" s="2">
        <v>693342.75</v>
      </c>
    </row>
    <row r="761" spans="1:8">
      <c r="A761" t="s">
        <v>40</v>
      </c>
      <c r="B761" t="s">
        <v>41</v>
      </c>
      <c r="C761" t="s">
        <v>32</v>
      </c>
      <c r="D761" t="s">
        <v>11</v>
      </c>
      <c r="E761">
        <v>1998</v>
      </c>
      <c r="F761" t="s">
        <v>18</v>
      </c>
      <c r="G761" t="s">
        <v>13</v>
      </c>
      <c r="H761" s="2">
        <v>266418.01</v>
      </c>
    </row>
    <row r="762" spans="1:8">
      <c r="A762" t="s">
        <v>40</v>
      </c>
      <c r="B762" t="s">
        <v>41</v>
      </c>
      <c r="C762" t="s">
        <v>32</v>
      </c>
      <c r="D762" t="s">
        <v>11</v>
      </c>
      <c r="E762">
        <v>1998</v>
      </c>
      <c r="F762" t="s">
        <v>16</v>
      </c>
      <c r="G762" t="s">
        <v>13</v>
      </c>
      <c r="H762" s="2">
        <v>156791.57999999999</v>
      </c>
    </row>
    <row r="763" spans="1:8">
      <c r="A763" t="s">
        <v>40</v>
      </c>
      <c r="B763" t="s">
        <v>41</v>
      </c>
      <c r="C763" t="s">
        <v>32</v>
      </c>
      <c r="D763" t="s">
        <v>11</v>
      </c>
      <c r="E763">
        <v>1998</v>
      </c>
      <c r="F763" t="s">
        <v>16</v>
      </c>
      <c r="G763" t="s">
        <v>17</v>
      </c>
      <c r="H763" s="2">
        <v>48360.39</v>
      </c>
    </row>
    <row r="764" spans="1:8">
      <c r="A764" t="s">
        <v>40</v>
      </c>
      <c r="B764" t="s">
        <v>41</v>
      </c>
      <c r="C764" t="s">
        <v>32</v>
      </c>
      <c r="D764" t="s">
        <v>11</v>
      </c>
      <c r="E764">
        <v>1999</v>
      </c>
      <c r="F764" t="s">
        <v>22</v>
      </c>
      <c r="G764" t="s">
        <v>13</v>
      </c>
      <c r="H764" s="2">
        <v>96800.27</v>
      </c>
    </row>
    <row r="765" spans="1:8">
      <c r="A765" t="s">
        <v>40</v>
      </c>
      <c r="B765" t="s">
        <v>41</v>
      </c>
      <c r="C765" t="s">
        <v>32</v>
      </c>
      <c r="D765" t="s">
        <v>11</v>
      </c>
      <c r="E765">
        <v>1999</v>
      </c>
      <c r="F765" t="s">
        <v>22</v>
      </c>
      <c r="G765" t="s">
        <v>17</v>
      </c>
      <c r="H765" s="2">
        <v>199921.72</v>
      </c>
    </row>
    <row r="766" spans="1:8">
      <c r="A766" t="s">
        <v>40</v>
      </c>
      <c r="B766" t="s">
        <v>41</v>
      </c>
      <c r="C766" t="s">
        <v>32</v>
      </c>
      <c r="D766" t="s">
        <v>11</v>
      </c>
      <c r="E766">
        <v>1999</v>
      </c>
      <c r="F766" t="s">
        <v>20</v>
      </c>
      <c r="G766" t="s">
        <v>15</v>
      </c>
      <c r="H766" s="2">
        <v>1702.56</v>
      </c>
    </row>
    <row r="767" spans="1:8">
      <c r="A767" t="s">
        <v>40</v>
      </c>
      <c r="B767" t="s">
        <v>41</v>
      </c>
      <c r="C767" t="s">
        <v>32</v>
      </c>
      <c r="D767" t="s">
        <v>11</v>
      </c>
      <c r="E767">
        <v>1999</v>
      </c>
      <c r="F767" t="s">
        <v>21</v>
      </c>
      <c r="G767" t="s">
        <v>13</v>
      </c>
      <c r="H767" s="2">
        <v>370693.78</v>
      </c>
    </row>
    <row r="768" spans="1:8">
      <c r="A768" t="s">
        <v>40</v>
      </c>
      <c r="B768" t="s">
        <v>41</v>
      </c>
      <c r="C768" t="s">
        <v>32</v>
      </c>
      <c r="D768" t="s">
        <v>11</v>
      </c>
      <c r="E768">
        <v>1999</v>
      </c>
      <c r="F768" t="s">
        <v>21</v>
      </c>
      <c r="G768" t="s">
        <v>19</v>
      </c>
      <c r="H768" s="2">
        <v>0</v>
      </c>
    </row>
    <row r="769" spans="1:8">
      <c r="A769" t="s">
        <v>40</v>
      </c>
      <c r="B769" t="s">
        <v>41</v>
      </c>
      <c r="C769" t="s">
        <v>32</v>
      </c>
      <c r="D769" t="s">
        <v>11</v>
      </c>
      <c r="E769">
        <v>2000</v>
      </c>
      <c r="F769" t="s">
        <v>22</v>
      </c>
      <c r="G769" t="s">
        <v>19</v>
      </c>
      <c r="H769" s="2">
        <v>0</v>
      </c>
    </row>
    <row r="770" spans="1:8">
      <c r="A770" t="s">
        <v>40</v>
      </c>
      <c r="B770" t="s">
        <v>41</v>
      </c>
      <c r="C770" t="s">
        <v>32</v>
      </c>
      <c r="D770" t="s">
        <v>11</v>
      </c>
      <c r="E770">
        <v>2000</v>
      </c>
      <c r="F770" t="s">
        <v>22</v>
      </c>
      <c r="G770" t="s">
        <v>17</v>
      </c>
      <c r="H770" s="2">
        <v>185853.82</v>
      </c>
    </row>
    <row r="771" spans="1:8">
      <c r="A771" t="s">
        <v>40</v>
      </c>
      <c r="B771" t="s">
        <v>41</v>
      </c>
      <c r="C771" t="s">
        <v>32</v>
      </c>
      <c r="D771" t="s">
        <v>11</v>
      </c>
      <c r="E771">
        <v>2000</v>
      </c>
      <c r="F771" t="s">
        <v>18</v>
      </c>
      <c r="G771" t="s">
        <v>13</v>
      </c>
      <c r="H771" s="2">
        <v>236891.96</v>
      </c>
    </row>
    <row r="772" spans="1:8">
      <c r="A772" t="s">
        <v>40</v>
      </c>
      <c r="B772" t="s">
        <v>41</v>
      </c>
      <c r="C772" t="s">
        <v>32</v>
      </c>
      <c r="D772" t="s">
        <v>11</v>
      </c>
      <c r="E772">
        <v>2000</v>
      </c>
      <c r="F772" t="s">
        <v>16</v>
      </c>
      <c r="G772" t="s">
        <v>15</v>
      </c>
      <c r="H772" s="2">
        <v>731900.85</v>
      </c>
    </row>
    <row r="773" spans="1:8">
      <c r="A773" t="s">
        <v>40</v>
      </c>
      <c r="B773" t="s">
        <v>41</v>
      </c>
      <c r="C773" t="s">
        <v>32</v>
      </c>
      <c r="D773" t="s">
        <v>11</v>
      </c>
      <c r="E773">
        <v>2000</v>
      </c>
      <c r="F773" t="s">
        <v>16</v>
      </c>
      <c r="G773" t="s">
        <v>19</v>
      </c>
      <c r="H773" s="2">
        <v>0</v>
      </c>
    </row>
    <row r="774" spans="1:8">
      <c r="A774" t="s">
        <v>40</v>
      </c>
      <c r="B774" t="s">
        <v>41</v>
      </c>
      <c r="C774" t="s">
        <v>32</v>
      </c>
      <c r="D774" t="s">
        <v>11</v>
      </c>
      <c r="E774">
        <v>2001</v>
      </c>
      <c r="F774" t="s">
        <v>22</v>
      </c>
      <c r="G774" t="s">
        <v>15</v>
      </c>
      <c r="H774" s="2">
        <v>653212.57999999996</v>
      </c>
    </row>
    <row r="775" spans="1:8">
      <c r="A775" t="s">
        <v>40</v>
      </c>
      <c r="B775" t="s">
        <v>41</v>
      </c>
      <c r="C775" t="s">
        <v>32</v>
      </c>
      <c r="D775" t="s">
        <v>11</v>
      </c>
      <c r="E775">
        <v>2001</v>
      </c>
      <c r="F775" t="s">
        <v>22</v>
      </c>
      <c r="G775" t="s">
        <v>17</v>
      </c>
      <c r="H775" s="2">
        <v>189445.5</v>
      </c>
    </row>
    <row r="776" spans="1:8">
      <c r="A776" t="s">
        <v>40</v>
      </c>
      <c r="B776" t="s">
        <v>41</v>
      </c>
      <c r="C776" t="s">
        <v>32</v>
      </c>
      <c r="D776" t="s">
        <v>11</v>
      </c>
      <c r="E776">
        <v>2002</v>
      </c>
      <c r="F776" t="s">
        <v>22</v>
      </c>
      <c r="G776" t="s">
        <v>19</v>
      </c>
      <c r="H776" s="2">
        <v>0</v>
      </c>
    </row>
    <row r="777" spans="1:8">
      <c r="A777" t="s">
        <v>40</v>
      </c>
      <c r="B777" t="s">
        <v>41</v>
      </c>
      <c r="C777" t="s">
        <v>32</v>
      </c>
      <c r="D777" t="s">
        <v>11</v>
      </c>
      <c r="E777">
        <v>2002</v>
      </c>
      <c r="F777" t="s">
        <v>12</v>
      </c>
      <c r="G777" t="s">
        <v>15</v>
      </c>
      <c r="H777" s="2">
        <v>49211.39</v>
      </c>
    </row>
    <row r="778" spans="1:8">
      <c r="A778" t="s">
        <v>40</v>
      </c>
      <c r="B778" t="s">
        <v>41</v>
      </c>
      <c r="C778" t="s">
        <v>32</v>
      </c>
      <c r="D778" t="s">
        <v>11</v>
      </c>
      <c r="E778">
        <v>2002</v>
      </c>
      <c r="F778" t="s">
        <v>12</v>
      </c>
      <c r="G778" t="s">
        <v>13</v>
      </c>
      <c r="H778" s="2">
        <v>683051.36</v>
      </c>
    </row>
    <row r="779" spans="1:8">
      <c r="A779" t="s">
        <v>40</v>
      </c>
      <c r="B779" t="s">
        <v>41</v>
      </c>
      <c r="C779" t="s">
        <v>32</v>
      </c>
      <c r="D779" t="s">
        <v>11</v>
      </c>
      <c r="E779">
        <v>2002</v>
      </c>
      <c r="F779" t="s">
        <v>12</v>
      </c>
      <c r="G779" t="s">
        <v>19</v>
      </c>
      <c r="H779" s="2">
        <v>0</v>
      </c>
    </row>
    <row r="780" spans="1:8">
      <c r="A780" t="s">
        <v>40</v>
      </c>
      <c r="B780" t="s">
        <v>41</v>
      </c>
      <c r="C780" t="s">
        <v>32</v>
      </c>
      <c r="D780" t="s">
        <v>11</v>
      </c>
      <c r="E780">
        <v>2002</v>
      </c>
      <c r="F780" t="s">
        <v>18</v>
      </c>
      <c r="G780" t="s">
        <v>19</v>
      </c>
      <c r="H780" s="2">
        <v>14917.26</v>
      </c>
    </row>
    <row r="781" spans="1:8">
      <c r="A781" t="s">
        <v>40</v>
      </c>
      <c r="B781" t="s">
        <v>41</v>
      </c>
      <c r="C781" t="s">
        <v>32</v>
      </c>
      <c r="D781" t="s">
        <v>11</v>
      </c>
      <c r="E781">
        <v>2002</v>
      </c>
      <c r="F781" t="s">
        <v>20</v>
      </c>
      <c r="G781" t="s">
        <v>19</v>
      </c>
      <c r="H781" s="2">
        <v>0</v>
      </c>
    </row>
    <row r="782" spans="1:8">
      <c r="A782" t="s">
        <v>40</v>
      </c>
      <c r="B782" t="s">
        <v>41</v>
      </c>
      <c r="C782" t="s">
        <v>32</v>
      </c>
      <c r="D782" t="s">
        <v>11</v>
      </c>
      <c r="E782">
        <v>2003</v>
      </c>
      <c r="F782" t="s">
        <v>12</v>
      </c>
      <c r="G782" t="s">
        <v>15</v>
      </c>
      <c r="H782" s="2">
        <v>50981.69</v>
      </c>
    </row>
    <row r="783" spans="1:8">
      <c r="A783" t="s">
        <v>40</v>
      </c>
      <c r="B783" t="s">
        <v>41</v>
      </c>
      <c r="C783" t="s">
        <v>32</v>
      </c>
      <c r="D783" t="s">
        <v>11</v>
      </c>
      <c r="E783">
        <v>2003</v>
      </c>
      <c r="F783" t="s">
        <v>21</v>
      </c>
      <c r="G783" t="s">
        <v>13</v>
      </c>
      <c r="H783" s="2">
        <v>349729.49</v>
      </c>
    </row>
    <row r="784" spans="1:8">
      <c r="A784" t="s">
        <v>40</v>
      </c>
      <c r="B784" t="s">
        <v>41</v>
      </c>
      <c r="C784" t="s">
        <v>32</v>
      </c>
      <c r="D784" t="s">
        <v>11</v>
      </c>
      <c r="E784">
        <v>2003</v>
      </c>
      <c r="F784" t="s">
        <v>21</v>
      </c>
      <c r="G784" t="s">
        <v>19</v>
      </c>
      <c r="H784" s="2">
        <v>0</v>
      </c>
    </row>
    <row r="785" spans="1:8">
      <c r="A785" t="s">
        <v>40</v>
      </c>
      <c r="B785" t="s">
        <v>41</v>
      </c>
      <c r="C785" t="s">
        <v>32</v>
      </c>
      <c r="D785" t="s">
        <v>11</v>
      </c>
      <c r="E785">
        <v>2003</v>
      </c>
      <c r="F785" t="s">
        <v>16</v>
      </c>
      <c r="G785" t="s">
        <v>19</v>
      </c>
      <c r="H785" s="2">
        <v>0</v>
      </c>
    </row>
    <row r="786" spans="1:8">
      <c r="A786" t="s">
        <v>40</v>
      </c>
      <c r="B786" t="s">
        <v>41</v>
      </c>
      <c r="C786" t="s">
        <v>32</v>
      </c>
      <c r="D786" t="s">
        <v>11</v>
      </c>
      <c r="E786">
        <v>2004</v>
      </c>
      <c r="F786" t="s">
        <v>12</v>
      </c>
      <c r="G786" t="s">
        <v>19</v>
      </c>
      <c r="H786" s="2">
        <v>0</v>
      </c>
    </row>
    <row r="787" spans="1:8">
      <c r="A787" t="s">
        <v>40</v>
      </c>
      <c r="B787" t="s">
        <v>41</v>
      </c>
      <c r="C787" t="s">
        <v>32</v>
      </c>
      <c r="D787" t="s">
        <v>11</v>
      </c>
      <c r="E787">
        <v>2004</v>
      </c>
      <c r="F787" t="s">
        <v>21</v>
      </c>
      <c r="G787" t="s">
        <v>15</v>
      </c>
      <c r="H787" s="2">
        <v>8113.74</v>
      </c>
    </row>
    <row r="788" spans="1:8">
      <c r="A788" t="s">
        <v>40</v>
      </c>
      <c r="B788" t="s">
        <v>41</v>
      </c>
      <c r="C788" t="s">
        <v>32</v>
      </c>
      <c r="D788" t="s">
        <v>11</v>
      </c>
      <c r="E788">
        <v>2005</v>
      </c>
      <c r="F788" t="s">
        <v>12</v>
      </c>
      <c r="G788" t="s">
        <v>19</v>
      </c>
      <c r="H788" s="2">
        <v>0</v>
      </c>
    </row>
    <row r="789" spans="1:8">
      <c r="A789" t="s">
        <v>40</v>
      </c>
      <c r="B789" t="s">
        <v>41</v>
      </c>
      <c r="C789" t="s">
        <v>32</v>
      </c>
      <c r="D789" t="s">
        <v>11</v>
      </c>
      <c r="E789">
        <v>2005</v>
      </c>
      <c r="F789" t="s">
        <v>18</v>
      </c>
      <c r="G789" t="s">
        <v>13</v>
      </c>
      <c r="H789" s="2">
        <v>264363.86</v>
      </c>
    </row>
    <row r="790" spans="1:8">
      <c r="A790" t="s">
        <v>40</v>
      </c>
      <c r="B790" t="s">
        <v>41</v>
      </c>
      <c r="C790" t="s">
        <v>32</v>
      </c>
      <c r="D790" t="s">
        <v>11</v>
      </c>
      <c r="E790">
        <v>2005</v>
      </c>
      <c r="F790" t="s">
        <v>21</v>
      </c>
      <c r="G790" t="s">
        <v>15</v>
      </c>
      <c r="H790" s="2">
        <v>7523.16</v>
      </c>
    </row>
    <row r="791" spans="1:8">
      <c r="A791" t="s">
        <v>40</v>
      </c>
      <c r="B791" t="s">
        <v>41</v>
      </c>
      <c r="C791" t="s">
        <v>32</v>
      </c>
      <c r="D791" t="s">
        <v>11</v>
      </c>
      <c r="E791">
        <v>2005</v>
      </c>
      <c r="F791" t="s">
        <v>16</v>
      </c>
      <c r="G791" t="s">
        <v>19</v>
      </c>
      <c r="H791" s="2">
        <v>0</v>
      </c>
    </row>
    <row r="792" spans="1:8">
      <c r="A792" t="s">
        <v>40</v>
      </c>
      <c r="B792" t="s">
        <v>41</v>
      </c>
      <c r="C792" t="s">
        <v>32</v>
      </c>
      <c r="D792" t="s">
        <v>11</v>
      </c>
      <c r="E792">
        <v>2006</v>
      </c>
      <c r="F792" t="s">
        <v>22</v>
      </c>
      <c r="G792" t="s">
        <v>19</v>
      </c>
      <c r="H792" s="2">
        <v>0</v>
      </c>
    </row>
    <row r="793" spans="1:8">
      <c r="A793" t="s">
        <v>40</v>
      </c>
      <c r="B793" t="s">
        <v>41</v>
      </c>
      <c r="C793" t="s">
        <v>32</v>
      </c>
      <c r="D793" t="s">
        <v>11</v>
      </c>
      <c r="E793">
        <v>2006</v>
      </c>
      <c r="F793" t="s">
        <v>12</v>
      </c>
      <c r="G793" t="s">
        <v>19</v>
      </c>
      <c r="H793" s="2">
        <v>0</v>
      </c>
    </row>
    <row r="794" spans="1:8">
      <c r="A794" t="s">
        <v>40</v>
      </c>
      <c r="B794" t="s">
        <v>41</v>
      </c>
      <c r="C794" t="s">
        <v>32</v>
      </c>
      <c r="D794" t="s">
        <v>11</v>
      </c>
      <c r="E794">
        <v>2006</v>
      </c>
      <c r="F794" t="s">
        <v>18</v>
      </c>
      <c r="G794" t="s">
        <v>19</v>
      </c>
      <c r="H794" s="2">
        <v>13354.94</v>
      </c>
    </row>
    <row r="795" spans="1:8">
      <c r="A795" t="s">
        <v>40</v>
      </c>
      <c r="B795" t="s">
        <v>41</v>
      </c>
      <c r="C795" t="s">
        <v>32</v>
      </c>
      <c r="D795" t="s">
        <v>11</v>
      </c>
      <c r="E795">
        <v>2006</v>
      </c>
      <c r="F795" t="s">
        <v>20</v>
      </c>
      <c r="G795" t="s">
        <v>17</v>
      </c>
      <c r="H795" s="2">
        <v>1735.96</v>
      </c>
    </row>
    <row r="796" spans="1:8">
      <c r="A796" t="s">
        <v>40</v>
      </c>
      <c r="B796" t="s">
        <v>41</v>
      </c>
      <c r="C796" t="s">
        <v>32</v>
      </c>
      <c r="D796" t="s">
        <v>11</v>
      </c>
      <c r="E796">
        <v>2006</v>
      </c>
      <c r="F796" t="s">
        <v>21</v>
      </c>
      <c r="G796" t="s">
        <v>19</v>
      </c>
      <c r="H796" s="2">
        <v>0</v>
      </c>
    </row>
    <row r="797" spans="1:8">
      <c r="A797" t="s">
        <v>40</v>
      </c>
      <c r="B797" t="s">
        <v>41</v>
      </c>
      <c r="C797" t="s">
        <v>32</v>
      </c>
      <c r="D797" t="s">
        <v>11</v>
      </c>
      <c r="E797">
        <v>2007</v>
      </c>
      <c r="F797" t="s">
        <v>16</v>
      </c>
      <c r="G797" t="s">
        <v>15</v>
      </c>
      <c r="H797" s="2">
        <v>891678.15</v>
      </c>
    </row>
    <row r="798" spans="1:8">
      <c r="A798" t="s">
        <v>40</v>
      </c>
      <c r="B798" t="s">
        <v>41</v>
      </c>
      <c r="C798" t="s">
        <v>32</v>
      </c>
      <c r="D798" t="s">
        <v>11</v>
      </c>
      <c r="E798">
        <v>2008</v>
      </c>
      <c r="F798" t="s">
        <v>12</v>
      </c>
      <c r="G798" t="s">
        <v>15</v>
      </c>
      <c r="H798" s="2">
        <v>60936.61</v>
      </c>
    </row>
    <row r="799" spans="1:8">
      <c r="A799" t="s">
        <v>40</v>
      </c>
      <c r="B799" t="s">
        <v>41</v>
      </c>
      <c r="C799" t="s">
        <v>32</v>
      </c>
      <c r="D799" t="s">
        <v>11</v>
      </c>
      <c r="E799">
        <v>2008</v>
      </c>
      <c r="F799" t="s">
        <v>20</v>
      </c>
      <c r="G799" t="s">
        <v>19</v>
      </c>
      <c r="H799" s="2">
        <v>0</v>
      </c>
    </row>
    <row r="800" spans="1:8">
      <c r="A800" t="s">
        <v>40</v>
      </c>
      <c r="B800" t="s">
        <v>41</v>
      </c>
      <c r="C800" t="s">
        <v>32</v>
      </c>
      <c r="D800" t="s">
        <v>11</v>
      </c>
      <c r="E800">
        <v>2008</v>
      </c>
      <c r="F800" t="s">
        <v>14</v>
      </c>
      <c r="G800" t="s">
        <v>17</v>
      </c>
      <c r="H800" s="2">
        <v>16023.15</v>
      </c>
    </row>
    <row r="801" spans="1:8">
      <c r="A801" t="s">
        <v>40</v>
      </c>
      <c r="B801" t="s">
        <v>41</v>
      </c>
      <c r="C801" t="s">
        <v>32</v>
      </c>
      <c r="D801" t="s">
        <v>11</v>
      </c>
      <c r="E801">
        <v>2008</v>
      </c>
      <c r="F801" t="s">
        <v>21</v>
      </c>
      <c r="G801" t="s">
        <v>15</v>
      </c>
      <c r="H801" s="2">
        <v>8958.02</v>
      </c>
    </row>
    <row r="802" spans="1:8">
      <c r="A802" t="s">
        <v>40</v>
      </c>
      <c r="B802" t="s">
        <v>41</v>
      </c>
      <c r="C802" t="s">
        <v>32</v>
      </c>
      <c r="D802" t="s">
        <v>11</v>
      </c>
      <c r="E802">
        <v>2008</v>
      </c>
      <c r="F802" t="s">
        <v>21</v>
      </c>
      <c r="G802" t="s">
        <v>19</v>
      </c>
      <c r="H802" s="2">
        <v>0</v>
      </c>
    </row>
    <row r="803" spans="1:8">
      <c r="A803" t="s">
        <v>40</v>
      </c>
      <c r="B803" t="s">
        <v>41</v>
      </c>
      <c r="C803" t="s">
        <v>32</v>
      </c>
      <c r="D803" t="s">
        <v>11</v>
      </c>
      <c r="E803">
        <v>2008</v>
      </c>
      <c r="F803" t="s">
        <v>16</v>
      </c>
      <c r="G803" t="s">
        <v>19</v>
      </c>
      <c r="H803" s="2">
        <v>0</v>
      </c>
    </row>
    <row r="804" spans="1:8">
      <c r="A804" t="s">
        <v>40</v>
      </c>
      <c r="B804" t="s">
        <v>41</v>
      </c>
      <c r="C804" t="s">
        <v>32</v>
      </c>
      <c r="D804" t="s">
        <v>11</v>
      </c>
      <c r="E804">
        <v>2009</v>
      </c>
      <c r="F804" t="s">
        <v>18</v>
      </c>
      <c r="G804" t="s">
        <v>15</v>
      </c>
      <c r="H804" s="2">
        <v>14813.21</v>
      </c>
    </row>
    <row r="805" spans="1:8">
      <c r="A805" t="s">
        <v>40</v>
      </c>
      <c r="B805" t="s">
        <v>41</v>
      </c>
      <c r="C805" t="s">
        <v>32</v>
      </c>
      <c r="D805" t="s">
        <v>11</v>
      </c>
      <c r="E805">
        <v>2009</v>
      </c>
      <c r="F805" t="s">
        <v>20</v>
      </c>
      <c r="G805" t="s">
        <v>19</v>
      </c>
      <c r="H805" s="2">
        <v>0</v>
      </c>
    </row>
    <row r="806" spans="1:8">
      <c r="A806" t="s">
        <v>40</v>
      </c>
      <c r="B806" t="s">
        <v>41</v>
      </c>
      <c r="C806" t="s">
        <v>32</v>
      </c>
      <c r="D806" t="s">
        <v>11</v>
      </c>
      <c r="E806">
        <v>2009</v>
      </c>
      <c r="F806" t="s">
        <v>16</v>
      </c>
      <c r="G806" t="s">
        <v>17</v>
      </c>
      <c r="H806" s="2">
        <v>54743.72</v>
      </c>
    </row>
    <row r="807" spans="1:8">
      <c r="A807" t="s">
        <v>40</v>
      </c>
      <c r="B807" t="s">
        <v>41</v>
      </c>
      <c r="C807" t="s">
        <v>32</v>
      </c>
      <c r="D807" t="s">
        <v>11</v>
      </c>
      <c r="E807">
        <v>2010</v>
      </c>
      <c r="F807" t="s">
        <v>22</v>
      </c>
      <c r="G807" t="s">
        <v>15</v>
      </c>
      <c r="H807" s="2">
        <v>758170.33</v>
      </c>
    </row>
    <row r="808" spans="1:8">
      <c r="A808" t="s">
        <v>40</v>
      </c>
      <c r="B808" t="s">
        <v>41</v>
      </c>
      <c r="C808" t="s">
        <v>32</v>
      </c>
      <c r="D808" t="s">
        <v>11</v>
      </c>
      <c r="E808">
        <v>2010</v>
      </c>
      <c r="F808" t="s">
        <v>21</v>
      </c>
      <c r="G808" t="s">
        <v>15</v>
      </c>
      <c r="H808" s="2">
        <v>8997.2199999999993</v>
      </c>
    </row>
    <row r="809" spans="1:8">
      <c r="A809" t="s">
        <v>40</v>
      </c>
      <c r="B809" t="s">
        <v>41</v>
      </c>
      <c r="C809" t="s">
        <v>32</v>
      </c>
      <c r="D809" t="s">
        <v>11</v>
      </c>
      <c r="E809">
        <v>2011</v>
      </c>
      <c r="F809" t="s">
        <v>18</v>
      </c>
      <c r="G809" t="s">
        <v>17</v>
      </c>
      <c r="H809" s="2">
        <v>15800.4</v>
      </c>
    </row>
    <row r="810" spans="1:8">
      <c r="A810" t="s">
        <v>40</v>
      </c>
      <c r="B810" t="s">
        <v>41</v>
      </c>
      <c r="C810" t="s">
        <v>32</v>
      </c>
      <c r="D810" t="s">
        <v>11</v>
      </c>
      <c r="E810">
        <v>2012</v>
      </c>
      <c r="F810" t="s">
        <v>22</v>
      </c>
      <c r="G810" t="s">
        <v>19</v>
      </c>
      <c r="H810" s="2">
        <v>0</v>
      </c>
    </row>
    <row r="811" spans="1:8">
      <c r="A811" t="s">
        <v>40</v>
      </c>
      <c r="B811" t="s">
        <v>41</v>
      </c>
      <c r="C811" t="s">
        <v>32</v>
      </c>
      <c r="D811" t="s">
        <v>11</v>
      </c>
      <c r="E811">
        <v>2012</v>
      </c>
      <c r="F811" t="s">
        <v>12</v>
      </c>
      <c r="G811" t="s">
        <v>17</v>
      </c>
      <c r="H811" s="2">
        <v>22397.759999999998</v>
      </c>
    </row>
    <row r="812" spans="1:8">
      <c r="A812" t="s">
        <v>40</v>
      </c>
      <c r="B812" t="s">
        <v>41</v>
      </c>
      <c r="C812" t="s">
        <v>32</v>
      </c>
      <c r="D812" t="s">
        <v>11</v>
      </c>
      <c r="E812">
        <v>2012</v>
      </c>
      <c r="F812" t="s">
        <v>21</v>
      </c>
      <c r="G812" t="s">
        <v>19</v>
      </c>
      <c r="H812" s="2">
        <v>0</v>
      </c>
    </row>
    <row r="813" spans="1:8">
      <c r="A813" t="s">
        <v>40</v>
      </c>
      <c r="B813" t="s">
        <v>41</v>
      </c>
      <c r="C813" t="s">
        <v>32</v>
      </c>
      <c r="D813" t="s">
        <v>11</v>
      </c>
      <c r="E813">
        <v>2013</v>
      </c>
      <c r="F813" t="s">
        <v>18</v>
      </c>
      <c r="G813" t="s">
        <v>17</v>
      </c>
      <c r="H813" s="2">
        <v>17514.990000000002</v>
      </c>
    </row>
    <row r="814" spans="1:8">
      <c r="A814" t="s">
        <v>40</v>
      </c>
      <c r="B814" t="s">
        <v>41</v>
      </c>
      <c r="C814" t="s">
        <v>32</v>
      </c>
      <c r="D814" t="s">
        <v>11</v>
      </c>
      <c r="E814">
        <v>2013</v>
      </c>
      <c r="F814" t="s">
        <v>20</v>
      </c>
      <c r="G814" t="s">
        <v>19</v>
      </c>
      <c r="H814" s="2">
        <v>0</v>
      </c>
    </row>
    <row r="815" spans="1:8">
      <c r="A815" t="s">
        <v>40</v>
      </c>
      <c r="B815" t="s">
        <v>41</v>
      </c>
      <c r="C815" t="s">
        <v>32</v>
      </c>
      <c r="D815" t="s">
        <v>11</v>
      </c>
      <c r="E815">
        <v>2014</v>
      </c>
      <c r="F815" t="s">
        <v>14</v>
      </c>
      <c r="G815" t="s">
        <v>13</v>
      </c>
      <c r="H815" s="2">
        <v>670720.72</v>
      </c>
    </row>
    <row r="816" spans="1:8">
      <c r="A816" t="s">
        <v>40</v>
      </c>
      <c r="B816" t="s">
        <v>41</v>
      </c>
      <c r="C816" t="s">
        <v>32</v>
      </c>
      <c r="D816" t="s">
        <v>11</v>
      </c>
      <c r="E816">
        <v>2014</v>
      </c>
      <c r="F816" t="s">
        <v>21</v>
      </c>
      <c r="G816" t="s">
        <v>13</v>
      </c>
      <c r="H816" s="2">
        <v>389447.72</v>
      </c>
    </row>
    <row r="817" spans="1:8">
      <c r="A817" t="s">
        <v>40</v>
      </c>
      <c r="B817" t="s">
        <v>41</v>
      </c>
      <c r="C817" t="s">
        <v>32</v>
      </c>
      <c r="D817" t="s">
        <v>11</v>
      </c>
      <c r="E817">
        <v>2014</v>
      </c>
      <c r="F817" t="s">
        <v>21</v>
      </c>
      <c r="G817" t="s">
        <v>17</v>
      </c>
      <c r="H817" s="2">
        <v>4132.0200000000004</v>
      </c>
    </row>
    <row r="818" spans="1:8">
      <c r="A818" t="s">
        <v>40</v>
      </c>
      <c r="B818" t="s">
        <v>41</v>
      </c>
      <c r="C818" t="s">
        <v>32</v>
      </c>
      <c r="D818" t="s">
        <v>11</v>
      </c>
      <c r="E818">
        <v>2015</v>
      </c>
      <c r="F818" t="s">
        <v>22</v>
      </c>
      <c r="G818" t="s">
        <v>17</v>
      </c>
      <c r="H818" s="2">
        <v>215780.76</v>
      </c>
    </row>
    <row r="819" spans="1:8">
      <c r="A819" t="s">
        <v>40</v>
      </c>
      <c r="B819" t="s">
        <v>41</v>
      </c>
      <c r="C819" t="s">
        <v>32</v>
      </c>
      <c r="D819" t="s">
        <v>11</v>
      </c>
      <c r="E819">
        <v>2015</v>
      </c>
      <c r="F819" t="s">
        <v>12</v>
      </c>
      <c r="G819" t="s">
        <v>19</v>
      </c>
      <c r="H819" s="2">
        <v>0</v>
      </c>
    </row>
    <row r="820" spans="1:8">
      <c r="A820" t="s">
        <v>40</v>
      </c>
      <c r="B820" t="s">
        <v>41</v>
      </c>
      <c r="C820" t="s">
        <v>32</v>
      </c>
      <c r="D820" t="s">
        <v>11</v>
      </c>
      <c r="E820">
        <v>2015</v>
      </c>
      <c r="F820" t="s">
        <v>12</v>
      </c>
      <c r="G820" t="s">
        <v>17</v>
      </c>
      <c r="H820" s="2">
        <v>22783.7</v>
      </c>
    </row>
    <row r="821" spans="1:8">
      <c r="A821" t="s">
        <v>40</v>
      </c>
      <c r="B821" t="s">
        <v>41</v>
      </c>
      <c r="C821" t="s">
        <v>32</v>
      </c>
      <c r="D821" t="s">
        <v>11</v>
      </c>
      <c r="E821">
        <v>2015</v>
      </c>
      <c r="F821" t="s">
        <v>16</v>
      </c>
      <c r="G821" t="s">
        <v>19</v>
      </c>
      <c r="H821" s="2">
        <v>0</v>
      </c>
    </row>
    <row r="822" spans="1:8">
      <c r="A822" t="s">
        <v>40</v>
      </c>
      <c r="B822" t="s">
        <v>41</v>
      </c>
      <c r="C822" t="s">
        <v>32</v>
      </c>
      <c r="D822" t="s">
        <v>11</v>
      </c>
      <c r="E822">
        <v>2016</v>
      </c>
      <c r="F822" t="s">
        <v>18</v>
      </c>
      <c r="G822" t="s">
        <v>13</v>
      </c>
      <c r="H822" s="2">
        <v>255381.9</v>
      </c>
    </row>
    <row r="823" spans="1:8">
      <c r="A823" t="s">
        <v>40</v>
      </c>
      <c r="B823" t="s">
        <v>41</v>
      </c>
      <c r="C823" t="s">
        <v>32</v>
      </c>
      <c r="D823" t="s">
        <v>11</v>
      </c>
      <c r="E823">
        <v>2016</v>
      </c>
      <c r="F823" t="s">
        <v>14</v>
      </c>
      <c r="G823" t="s">
        <v>15</v>
      </c>
      <c r="H823" s="2">
        <v>20785.810000000001</v>
      </c>
    </row>
    <row r="824" spans="1:8">
      <c r="A824" t="s">
        <v>40</v>
      </c>
      <c r="B824" t="s">
        <v>41</v>
      </c>
      <c r="C824" t="s">
        <v>32</v>
      </c>
      <c r="D824" t="s">
        <v>11</v>
      </c>
      <c r="E824">
        <v>2016</v>
      </c>
      <c r="F824" t="s">
        <v>21</v>
      </c>
      <c r="G824" t="s">
        <v>19</v>
      </c>
      <c r="H824" s="2">
        <v>0</v>
      </c>
    </row>
    <row r="825" spans="1:8">
      <c r="A825" t="s">
        <v>40</v>
      </c>
      <c r="B825" t="s">
        <v>41</v>
      </c>
      <c r="C825" t="s">
        <v>32</v>
      </c>
      <c r="D825" t="s">
        <v>11</v>
      </c>
      <c r="E825">
        <v>2017</v>
      </c>
      <c r="F825" t="s">
        <v>22</v>
      </c>
      <c r="G825" t="s">
        <v>13</v>
      </c>
      <c r="H825" s="2">
        <v>100446.95</v>
      </c>
    </row>
    <row r="826" spans="1:8">
      <c r="A826" t="s">
        <v>40</v>
      </c>
      <c r="B826" t="s">
        <v>41</v>
      </c>
      <c r="C826" t="s">
        <v>32</v>
      </c>
      <c r="D826" t="s">
        <v>11</v>
      </c>
      <c r="E826">
        <v>2017</v>
      </c>
      <c r="F826" t="s">
        <v>22</v>
      </c>
      <c r="G826" t="s">
        <v>17</v>
      </c>
      <c r="H826" s="2">
        <v>204657.86</v>
      </c>
    </row>
    <row r="827" spans="1:8">
      <c r="A827" t="s">
        <v>40</v>
      </c>
      <c r="B827" t="s">
        <v>41</v>
      </c>
      <c r="C827" t="s">
        <v>32</v>
      </c>
      <c r="D827" t="s">
        <v>11</v>
      </c>
      <c r="E827">
        <v>2018</v>
      </c>
      <c r="F827" t="s">
        <v>22</v>
      </c>
      <c r="G827" t="s">
        <v>13</v>
      </c>
      <c r="H827" s="2">
        <v>114483.87</v>
      </c>
    </row>
    <row r="828" spans="1:8">
      <c r="A828" t="s">
        <v>40</v>
      </c>
      <c r="B828" t="s">
        <v>41</v>
      </c>
      <c r="C828" t="s">
        <v>32</v>
      </c>
      <c r="D828" t="s">
        <v>11</v>
      </c>
      <c r="E828">
        <v>2018</v>
      </c>
      <c r="F828" t="s">
        <v>22</v>
      </c>
      <c r="G828" t="s">
        <v>19</v>
      </c>
      <c r="H828" s="2">
        <v>0</v>
      </c>
    </row>
    <row r="829" spans="1:8">
      <c r="A829" t="s">
        <v>40</v>
      </c>
      <c r="B829" t="s">
        <v>41</v>
      </c>
      <c r="C829" t="s">
        <v>32</v>
      </c>
      <c r="D829" t="s">
        <v>11</v>
      </c>
      <c r="E829">
        <v>2018</v>
      </c>
      <c r="F829" t="s">
        <v>12</v>
      </c>
      <c r="G829" t="s">
        <v>15</v>
      </c>
      <c r="H829" s="2">
        <v>56176.51</v>
      </c>
    </row>
    <row r="830" spans="1:8">
      <c r="A830" t="s">
        <v>40</v>
      </c>
      <c r="B830" t="s">
        <v>41</v>
      </c>
      <c r="C830" t="s">
        <v>32</v>
      </c>
      <c r="D830" t="s">
        <v>11</v>
      </c>
      <c r="E830">
        <v>2018</v>
      </c>
      <c r="F830" t="s">
        <v>12</v>
      </c>
      <c r="G830" t="s">
        <v>19</v>
      </c>
      <c r="H830" s="2">
        <v>0</v>
      </c>
    </row>
    <row r="831" spans="1:8">
      <c r="A831" t="s">
        <v>40</v>
      </c>
      <c r="B831" t="s">
        <v>41</v>
      </c>
      <c r="C831" t="s">
        <v>32</v>
      </c>
      <c r="D831" t="s">
        <v>11</v>
      </c>
      <c r="E831">
        <v>2018</v>
      </c>
      <c r="F831" t="s">
        <v>12</v>
      </c>
      <c r="G831" t="s">
        <v>17</v>
      </c>
      <c r="H831" s="2">
        <v>23469.27</v>
      </c>
    </row>
    <row r="832" spans="1:8">
      <c r="A832" t="s">
        <v>40</v>
      </c>
      <c r="B832" t="s">
        <v>41</v>
      </c>
      <c r="C832" t="s">
        <v>32</v>
      </c>
      <c r="D832" t="s">
        <v>11</v>
      </c>
      <c r="E832">
        <v>2018</v>
      </c>
      <c r="F832" t="s">
        <v>21</v>
      </c>
      <c r="G832" t="s">
        <v>15</v>
      </c>
      <c r="H832" s="2">
        <v>8978.33</v>
      </c>
    </row>
    <row r="833" spans="1:8">
      <c r="A833" t="s">
        <v>40</v>
      </c>
      <c r="B833" t="s">
        <v>41</v>
      </c>
      <c r="C833" t="s">
        <v>32</v>
      </c>
      <c r="D833" t="s">
        <v>11</v>
      </c>
      <c r="E833">
        <v>2019</v>
      </c>
      <c r="F833" t="s">
        <v>20</v>
      </c>
      <c r="G833" t="s">
        <v>15</v>
      </c>
      <c r="H833" s="2">
        <v>1726.24</v>
      </c>
    </row>
    <row r="834" spans="1:8">
      <c r="A834" t="s">
        <v>40</v>
      </c>
      <c r="B834" t="s">
        <v>41</v>
      </c>
      <c r="C834" t="s">
        <v>32</v>
      </c>
      <c r="D834" t="s">
        <v>11</v>
      </c>
      <c r="E834">
        <v>2019</v>
      </c>
      <c r="F834" t="s">
        <v>16</v>
      </c>
      <c r="G834" t="s">
        <v>17</v>
      </c>
      <c r="H834" s="2">
        <v>56531.69</v>
      </c>
    </row>
    <row r="835" spans="1:8">
      <c r="A835" t="s">
        <v>40</v>
      </c>
      <c r="B835" t="s">
        <v>41</v>
      </c>
      <c r="C835" t="s">
        <v>32</v>
      </c>
      <c r="D835" t="s">
        <v>11</v>
      </c>
      <c r="E835">
        <v>2020</v>
      </c>
      <c r="F835" t="s">
        <v>12</v>
      </c>
      <c r="G835" t="s">
        <v>19</v>
      </c>
      <c r="H835" s="2">
        <v>0</v>
      </c>
    </row>
    <row r="836" spans="1:8">
      <c r="A836" t="s">
        <v>40</v>
      </c>
      <c r="B836" t="s">
        <v>41</v>
      </c>
      <c r="C836" t="s">
        <v>32</v>
      </c>
      <c r="D836" t="s">
        <v>11</v>
      </c>
      <c r="E836">
        <v>2020</v>
      </c>
      <c r="F836" t="s">
        <v>20</v>
      </c>
      <c r="G836" t="s">
        <v>13</v>
      </c>
      <c r="H836" s="2">
        <v>172010.93</v>
      </c>
    </row>
    <row r="837" spans="1:8">
      <c r="A837" t="s">
        <v>40</v>
      </c>
      <c r="B837" t="s">
        <v>41</v>
      </c>
      <c r="C837" t="s">
        <v>32</v>
      </c>
      <c r="D837" t="s">
        <v>11</v>
      </c>
      <c r="E837">
        <v>2020</v>
      </c>
      <c r="F837" t="s">
        <v>14</v>
      </c>
      <c r="G837" t="s">
        <v>15</v>
      </c>
      <c r="H837" s="2">
        <v>22427.14</v>
      </c>
    </row>
    <row r="838" spans="1:8">
      <c r="A838" t="s">
        <v>40</v>
      </c>
      <c r="B838" t="s">
        <v>41</v>
      </c>
      <c r="C838" t="s">
        <v>32</v>
      </c>
      <c r="D838" t="s">
        <v>11</v>
      </c>
      <c r="E838">
        <v>2020</v>
      </c>
      <c r="F838" t="s">
        <v>14</v>
      </c>
      <c r="G838" t="s">
        <v>19</v>
      </c>
      <c r="H838" s="2">
        <v>0</v>
      </c>
    </row>
    <row r="839" spans="1:8">
      <c r="A839" t="s">
        <v>40</v>
      </c>
      <c r="B839" t="s">
        <v>41</v>
      </c>
      <c r="C839" t="s">
        <v>32</v>
      </c>
      <c r="D839" t="s">
        <v>11</v>
      </c>
      <c r="E839">
        <v>2021</v>
      </c>
      <c r="F839" t="s">
        <v>18</v>
      </c>
      <c r="G839" t="s">
        <v>17</v>
      </c>
      <c r="H839" s="2">
        <v>15594.23</v>
      </c>
    </row>
    <row r="840" spans="1:8">
      <c r="A840" t="s">
        <v>40</v>
      </c>
      <c r="B840" t="s">
        <v>41</v>
      </c>
      <c r="C840" t="s">
        <v>32</v>
      </c>
      <c r="D840" t="s">
        <v>11</v>
      </c>
      <c r="E840">
        <v>2021</v>
      </c>
      <c r="F840" t="s">
        <v>20</v>
      </c>
      <c r="G840" t="s">
        <v>13</v>
      </c>
      <c r="H840" s="2">
        <v>201369.73</v>
      </c>
    </row>
    <row r="841" spans="1:8">
      <c r="A841" t="s">
        <v>40</v>
      </c>
      <c r="B841" t="s">
        <v>41</v>
      </c>
      <c r="C841" t="s">
        <v>32</v>
      </c>
      <c r="D841" t="s">
        <v>11</v>
      </c>
      <c r="E841">
        <v>2021</v>
      </c>
      <c r="F841" t="s">
        <v>16</v>
      </c>
      <c r="G841" t="s">
        <v>17</v>
      </c>
      <c r="H841" s="2">
        <v>59197.279999999999</v>
      </c>
    </row>
    <row r="842" spans="1:8">
      <c r="A842" t="s">
        <v>40</v>
      </c>
      <c r="B842" t="s">
        <v>41</v>
      </c>
      <c r="C842" t="s">
        <v>32</v>
      </c>
      <c r="D842" t="s">
        <v>11</v>
      </c>
      <c r="E842">
        <v>2022</v>
      </c>
      <c r="F842" t="s">
        <v>22</v>
      </c>
      <c r="G842" t="s">
        <v>15</v>
      </c>
      <c r="H842" s="2">
        <v>748912.89</v>
      </c>
    </row>
    <row r="843" spans="1:8">
      <c r="A843" t="s">
        <v>40</v>
      </c>
      <c r="B843" t="s">
        <v>41</v>
      </c>
      <c r="C843" t="s">
        <v>32</v>
      </c>
      <c r="D843" t="s">
        <v>11</v>
      </c>
      <c r="E843">
        <v>2023</v>
      </c>
      <c r="F843" t="s">
        <v>22</v>
      </c>
      <c r="G843" t="s">
        <v>17</v>
      </c>
      <c r="H843" s="2">
        <v>213542.9</v>
      </c>
    </row>
    <row r="844" spans="1:8">
      <c r="A844" t="s">
        <v>40</v>
      </c>
      <c r="B844" t="s">
        <v>41</v>
      </c>
      <c r="C844" t="s">
        <v>32</v>
      </c>
      <c r="D844" t="s">
        <v>11</v>
      </c>
      <c r="E844">
        <v>2024</v>
      </c>
      <c r="F844" t="s">
        <v>18</v>
      </c>
      <c r="G844" t="s">
        <v>19</v>
      </c>
      <c r="H844" s="2">
        <v>17344.8</v>
      </c>
    </row>
    <row r="845" spans="1:8">
      <c r="A845" t="s">
        <v>40</v>
      </c>
      <c r="B845" t="s">
        <v>41</v>
      </c>
      <c r="C845" t="s">
        <v>32</v>
      </c>
      <c r="D845" t="s">
        <v>11</v>
      </c>
      <c r="E845">
        <v>2024</v>
      </c>
      <c r="F845" t="s">
        <v>16</v>
      </c>
      <c r="G845" t="s">
        <v>15</v>
      </c>
      <c r="H845" s="2">
        <v>938280.36</v>
      </c>
    </row>
    <row r="846" spans="1:8">
      <c r="A846" t="s">
        <v>42</v>
      </c>
      <c r="B846" t="s">
        <v>43</v>
      </c>
      <c r="C846" t="s">
        <v>25</v>
      </c>
      <c r="D846" t="s">
        <v>11</v>
      </c>
      <c r="E846">
        <v>1990</v>
      </c>
      <c r="F846" t="s">
        <v>20</v>
      </c>
      <c r="G846" t="s">
        <v>19</v>
      </c>
      <c r="H846" s="2">
        <v>0</v>
      </c>
    </row>
    <row r="847" spans="1:8">
      <c r="A847" t="s">
        <v>42</v>
      </c>
      <c r="B847" t="s">
        <v>43</v>
      </c>
      <c r="C847" t="s">
        <v>25</v>
      </c>
      <c r="D847" t="s">
        <v>11</v>
      </c>
      <c r="E847">
        <v>1991</v>
      </c>
      <c r="F847" t="s">
        <v>22</v>
      </c>
      <c r="G847" t="s">
        <v>15</v>
      </c>
      <c r="H847" s="2">
        <v>8305.61</v>
      </c>
    </row>
    <row r="848" spans="1:8">
      <c r="A848" t="s">
        <v>42</v>
      </c>
      <c r="B848" t="s">
        <v>43</v>
      </c>
      <c r="C848" t="s">
        <v>25</v>
      </c>
      <c r="D848" t="s">
        <v>11</v>
      </c>
      <c r="E848">
        <v>1991</v>
      </c>
      <c r="F848" t="s">
        <v>12</v>
      </c>
      <c r="G848" t="s">
        <v>13</v>
      </c>
      <c r="H848" s="2">
        <v>6397.69</v>
      </c>
    </row>
    <row r="849" spans="1:8">
      <c r="A849" t="s">
        <v>42</v>
      </c>
      <c r="B849" t="s">
        <v>43</v>
      </c>
      <c r="C849" t="s">
        <v>25</v>
      </c>
      <c r="D849" t="s">
        <v>11</v>
      </c>
      <c r="E849">
        <v>1991</v>
      </c>
      <c r="F849" t="s">
        <v>14</v>
      </c>
      <c r="G849" t="s">
        <v>15</v>
      </c>
      <c r="H849" s="2">
        <v>795.74</v>
      </c>
    </row>
    <row r="850" spans="1:8">
      <c r="A850" t="s">
        <v>42</v>
      </c>
      <c r="B850" t="s">
        <v>43</v>
      </c>
      <c r="C850" t="s">
        <v>25</v>
      </c>
      <c r="D850" t="s">
        <v>11</v>
      </c>
      <c r="E850">
        <v>1991</v>
      </c>
      <c r="F850" t="s">
        <v>16</v>
      </c>
      <c r="G850" t="s">
        <v>19</v>
      </c>
      <c r="H850" s="2">
        <v>0</v>
      </c>
    </row>
    <row r="851" spans="1:8">
      <c r="A851" t="s">
        <v>42</v>
      </c>
      <c r="B851" t="s">
        <v>43</v>
      </c>
      <c r="C851" t="s">
        <v>25</v>
      </c>
      <c r="D851" t="s">
        <v>11</v>
      </c>
      <c r="E851">
        <v>1992</v>
      </c>
      <c r="F851" t="s">
        <v>20</v>
      </c>
      <c r="G851" t="s">
        <v>15</v>
      </c>
      <c r="H851" s="2">
        <v>-69.83</v>
      </c>
    </row>
    <row r="852" spans="1:8">
      <c r="A852" t="s">
        <v>42</v>
      </c>
      <c r="B852" t="s">
        <v>43</v>
      </c>
      <c r="C852" t="s">
        <v>25</v>
      </c>
      <c r="D852" t="s">
        <v>11</v>
      </c>
      <c r="E852">
        <v>1992</v>
      </c>
      <c r="F852" t="s">
        <v>20</v>
      </c>
      <c r="G852" t="s">
        <v>13</v>
      </c>
      <c r="H852" s="2">
        <v>-7298.42</v>
      </c>
    </row>
    <row r="853" spans="1:8">
      <c r="A853" t="s">
        <v>42</v>
      </c>
      <c r="B853" t="s">
        <v>43</v>
      </c>
      <c r="C853" t="s">
        <v>25</v>
      </c>
      <c r="D853" t="s">
        <v>11</v>
      </c>
      <c r="E853">
        <v>1992</v>
      </c>
      <c r="F853" t="s">
        <v>20</v>
      </c>
      <c r="G853" t="s">
        <v>17</v>
      </c>
      <c r="H853" s="2">
        <v>-65.069999999999993</v>
      </c>
    </row>
    <row r="854" spans="1:8">
      <c r="A854" t="s">
        <v>42</v>
      </c>
      <c r="B854" t="s">
        <v>43</v>
      </c>
      <c r="C854" t="s">
        <v>25</v>
      </c>
      <c r="D854" t="s">
        <v>11</v>
      </c>
      <c r="E854">
        <v>1993</v>
      </c>
      <c r="F854" t="s">
        <v>20</v>
      </c>
      <c r="G854" t="s">
        <v>17</v>
      </c>
      <c r="H854" s="2">
        <v>-74.89</v>
      </c>
    </row>
    <row r="855" spans="1:8">
      <c r="A855" t="s">
        <v>42</v>
      </c>
      <c r="B855" t="s">
        <v>43</v>
      </c>
      <c r="C855" t="s">
        <v>25</v>
      </c>
      <c r="D855" t="s">
        <v>11</v>
      </c>
      <c r="E855">
        <v>1994</v>
      </c>
      <c r="F855" t="s">
        <v>12</v>
      </c>
      <c r="G855" t="s">
        <v>17</v>
      </c>
      <c r="H855" s="2">
        <v>203.65</v>
      </c>
    </row>
    <row r="856" spans="1:8">
      <c r="A856" t="s">
        <v>42</v>
      </c>
      <c r="B856" t="s">
        <v>43</v>
      </c>
      <c r="C856" t="s">
        <v>25</v>
      </c>
      <c r="D856" t="s">
        <v>11</v>
      </c>
      <c r="E856">
        <v>1994</v>
      </c>
      <c r="F856" t="s">
        <v>18</v>
      </c>
      <c r="G856" t="s">
        <v>17</v>
      </c>
      <c r="H856" s="2">
        <v>487.09</v>
      </c>
    </row>
    <row r="857" spans="1:8">
      <c r="A857" t="s">
        <v>42</v>
      </c>
      <c r="B857" t="s">
        <v>43</v>
      </c>
      <c r="C857" t="s">
        <v>25</v>
      </c>
      <c r="D857" t="s">
        <v>11</v>
      </c>
      <c r="E857">
        <v>1994</v>
      </c>
      <c r="F857" t="s">
        <v>16</v>
      </c>
      <c r="G857" t="s">
        <v>13</v>
      </c>
      <c r="H857" s="2">
        <v>183.42</v>
      </c>
    </row>
    <row r="858" spans="1:8">
      <c r="A858" t="s">
        <v>42</v>
      </c>
      <c r="B858" t="s">
        <v>43</v>
      </c>
      <c r="C858" t="s">
        <v>25</v>
      </c>
      <c r="D858" t="s">
        <v>11</v>
      </c>
      <c r="E858">
        <v>1995</v>
      </c>
      <c r="F858" t="s">
        <v>22</v>
      </c>
      <c r="G858" t="s">
        <v>19</v>
      </c>
      <c r="H858" s="2">
        <v>0</v>
      </c>
    </row>
    <row r="859" spans="1:8">
      <c r="A859" t="s">
        <v>42</v>
      </c>
      <c r="B859" t="s">
        <v>43</v>
      </c>
      <c r="C859" t="s">
        <v>25</v>
      </c>
      <c r="D859" t="s">
        <v>11</v>
      </c>
      <c r="E859">
        <v>1996</v>
      </c>
      <c r="F859" t="s">
        <v>22</v>
      </c>
      <c r="G859" t="s">
        <v>15</v>
      </c>
      <c r="H859" s="2">
        <v>8563.35</v>
      </c>
    </row>
    <row r="860" spans="1:8">
      <c r="A860" t="s">
        <v>42</v>
      </c>
      <c r="B860" t="s">
        <v>43</v>
      </c>
      <c r="C860" t="s">
        <v>25</v>
      </c>
      <c r="D860" t="s">
        <v>11</v>
      </c>
      <c r="E860">
        <v>1996</v>
      </c>
      <c r="F860" t="s">
        <v>20</v>
      </c>
      <c r="G860" t="s">
        <v>15</v>
      </c>
      <c r="H860" s="2">
        <v>-75.099999999999994</v>
      </c>
    </row>
    <row r="861" spans="1:8">
      <c r="A861" t="s">
        <v>42</v>
      </c>
      <c r="B861" t="s">
        <v>43</v>
      </c>
      <c r="C861" t="s">
        <v>25</v>
      </c>
      <c r="D861" t="s">
        <v>11</v>
      </c>
      <c r="E861">
        <v>1996</v>
      </c>
      <c r="F861" t="s">
        <v>20</v>
      </c>
      <c r="G861" t="s">
        <v>13</v>
      </c>
      <c r="H861" s="2">
        <v>-6847.4</v>
      </c>
    </row>
    <row r="862" spans="1:8">
      <c r="A862" t="s">
        <v>42</v>
      </c>
      <c r="B862" t="s">
        <v>43</v>
      </c>
      <c r="C862" t="s">
        <v>25</v>
      </c>
      <c r="D862" t="s">
        <v>11</v>
      </c>
      <c r="E862">
        <v>1996</v>
      </c>
      <c r="F862" t="s">
        <v>14</v>
      </c>
      <c r="G862" t="s">
        <v>19</v>
      </c>
      <c r="H862" s="2">
        <v>0</v>
      </c>
    </row>
    <row r="863" spans="1:8">
      <c r="A863" t="s">
        <v>42</v>
      </c>
      <c r="B863" t="s">
        <v>43</v>
      </c>
      <c r="C863" t="s">
        <v>25</v>
      </c>
      <c r="D863" t="s">
        <v>11</v>
      </c>
      <c r="E863">
        <v>1996</v>
      </c>
      <c r="F863" t="s">
        <v>14</v>
      </c>
      <c r="G863" t="s">
        <v>17</v>
      </c>
      <c r="H863" s="2">
        <v>599.4</v>
      </c>
    </row>
    <row r="864" spans="1:8">
      <c r="A864" t="s">
        <v>42</v>
      </c>
      <c r="B864" t="s">
        <v>43</v>
      </c>
      <c r="C864" t="s">
        <v>25</v>
      </c>
      <c r="D864" t="s">
        <v>11</v>
      </c>
      <c r="E864">
        <v>1996</v>
      </c>
      <c r="F864" t="s">
        <v>16</v>
      </c>
      <c r="G864" t="s">
        <v>17</v>
      </c>
      <c r="H864" s="2">
        <v>76.260000000000005</v>
      </c>
    </row>
    <row r="865" spans="1:8">
      <c r="A865" t="s">
        <v>42</v>
      </c>
      <c r="B865" t="s">
        <v>43</v>
      </c>
      <c r="C865" t="s">
        <v>25</v>
      </c>
      <c r="D865" t="s">
        <v>11</v>
      </c>
      <c r="E865">
        <v>1997</v>
      </c>
      <c r="F865" t="s">
        <v>22</v>
      </c>
      <c r="G865" t="s">
        <v>19</v>
      </c>
      <c r="H865" s="2">
        <v>0</v>
      </c>
    </row>
    <row r="866" spans="1:8">
      <c r="A866" t="s">
        <v>42</v>
      </c>
      <c r="B866" t="s">
        <v>43</v>
      </c>
      <c r="C866" t="s">
        <v>25</v>
      </c>
      <c r="D866" t="s">
        <v>11</v>
      </c>
      <c r="E866">
        <v>1997</v>
      </c>
      <c r="F866" t="s">
        <v>20</v>
      </c>
      <c r="G866" t="s">
        <v>15</v>
      </c>
      <c r="H866" s="2">
        <v>-72.959999999999994</v>
      </c>
    </row>
    <row r="867" spans="1:8">
      <c r="A867" t="s">
        <v>42</v>
      </c>
      <c r="B867" t="s">
        <v>43</v>
      </c>
      <c r="C867" t="s">
        <v>25</v>
      </c>
      <c r="D867" t="s">
        <v>11</v>
      </c>
      <c r="E867">
        <v>1997</v>
      </c>
      <c r="F867" t="s">
        <v>14</v>
      </c>
      <c r="G867" t="s">
        <v>19</v>
      </c>
      <c r="H867" s="2">
        <v>0</v>
      </c>
    </row>
    <row r="868" spans="1:8">
      <c r="A868" t="s">
        <v>42</v>
      </c>
      <c r="B868" t="s">
        <v>43</v>
      </c>
      <c r="C868" t="s">
        <v>25</v>
      </c>
      <c r="D868" t="s">
        <v>11</v>
      </c>
      <c r="E868">
        <v>1997</v>
      </c>
      <c r="F868" t="s">
        <v>14</v>
      </c>
      <c r="G868" t="s">
        <v>17</v>
      </c>
      <c r="H868" s="2">
        <v>583.9</v>
      </c>
    </row>
    <row r="869" spans="1:8">
      <c r="A869" t="s">
        <v>42</v>
      </c>
      <c r="B869" t="s">
        <v>43</v>
      </c>
      <c r="C869" t="s">
        <v>25</v>
      </c>
      <c r="D869" t="s">
        <v>11</v>
      </c>
      <c r="E869">
        <v>1998</v>
      </c>
      <c r="F869" t="s">
        <v>22</v>
      </c>
      <c r="G869" t="s">
        <v>19</v>
      </c>
      <c r="H869" s="2">
        <v>0</v>
      </c>
    </row>
    <row r="870" spans="1:8">
      <c r="A870" t="s">
        <v>42</v>
      </c>
      <c r="B870" t="s">
        <v>43</v>
      </c>
      <c r="C870" t="s">
        <v>25</v>
      </c>
      <c r="D870" t="s">
        <v>11</v>
      </c>
      <c r="E870">
        <v>1998</v>
      </c>
      <c r="F870" t="s">
        <v>14</v>
      </c>
      <c r="G870" t="s">
        <v>13</v>
      </c>
      <c r="H870" s="2">
        <v>30080.43</v>
      </c>
    </row>
    <row r="871" spans="1:8">
      <c r="A871" t="s">
        <v>42</v>
      </c>
      <c r="B871" t="s">
        <v>43</v>
      </c>
      <c r="C871" t="s">
        <v>25</v>
      </c>
      <c r="D871" t="s">
        <v>11</v>
      </c>
      <c r="E871">
        <v>1998</v>
      </c>
      <c r="F871" t="s">
        <v>21</v>
      </c>
      <c r="G871" t="s">
        <v>13</v>
      </c>
      <c r="H871" s="2">
        <v>16417.48</v>
      </c>
    </row>
    <row r="872" spans="1:8">
      <c r="A872" t="s">
        <v>42</v>
      </c>
      <c r="B872" t="s">
        <v>43</v>
      </c>
      <c r="C872" t="s">
        <v>25</v>
      </c>
      <c r="D872" t="s">
        <v>11</v>
      </c>
      <c r="E872">
        <v>1998</v>
      </c>
      <c r="F872" t="s">
        <v>16</v>
      </c>
      <c r="G872" t="s">
        <v>19</v>
      </c>
      <c r="H872" s="2">
        <v>0</v>
      </c>
    </row>
    <row r="873" spans="1:8">
      <c r="A873" t="s">
        <v>42</v>
      </c>
      <c r="B873" t="s">
        <v>43</v>
      </c>
      <c r="C873" t="s">
        <v>25</v>
      </c>
      <c r="D873" t="s">
        <v>11</v>
      </c>
      <c r="E873">
        <v>1998</v>
      </c>
      <c r="F873" t="s">
        <v>16</v>
      </c>
      <c r="G873" t="s">
        <v>17</v>
      </c>
      <c r="H873" s="2">
        <v>83.93</v>
      </c>
    </row>
    <row r="874" spans="1:8">
      <c r="A874" t="s">
        <v>42</v>
      </c>
      <c r="B874" t="s">
        <v>43</v>
      </c>
      <c r="C874" t="s">
        <v>25</v>
      </c>
      <c r="D874" t="s">
        <v>11</v>
      </c>
      <c r="E874">
        <v>1999</v>
      </c>
      <c r="F874" t="s">
        <v>22</v>
      </c>
      <c r="G874" t="s">
        <v>15</v>
      </c>
      <c r="H874" s="2">
        <v>9574.81</v>
      </c>
    </row>
    <row r="875" spans="1:8">
      <c r="A875" t="s">
        <v>42</v>
      </c>
      <c r="B875" t="s">
        <v>43</v>
      </c>
      <c r="C875" t="s">
        <v>25</v>
      </c>
      <c r="D875" t="s">
        <v>11</v>
      </c>
      <c r="E875">
        <v>1999</v>
      </c>
      <c r="F875" t="s">
        <v>12</v>
      </c>
      <c r="G875" t="s">
        <v>19</v>
      </c>
      <c r="H875" s="2">
        <v>0</v>
      </c>
    </row>
    <row r="876" spans="1:8">
      <c r="A876" t="s">
        <v>42</v>
      </c>
      <c r="B876" t="s">
        <v>43</v>
      </c>
      <c r="C876" t="s">
        <v>25</v>
      </c>
      <c r="D876" t="s">
        <v>11</v>
      </c>
      <c r="E876">
        <v>1999</v>
      </c>
      <c r="F876" t="s">
        <v>20</v>
      </c>
      <c r="G876" t="s">
        <v>17</v>
      </c>
      <c r="H876" s="2">
        <v>-75.7</v>
      </c>
    </row>
    <row r="877" spans="1:8">
      <c r="A877" t="s">
        <v>42</v>
      </c>
      <c r="B877" t="s">
        <v>43</v>
      </c>
      <c r="C877" t="s">
        <v>25</v>
      </c>
      <c r="D877" t="s">
        <v>11</v>
      </c>
      <c r="E877">
        <v>1999</v>
      </c>
      <c r="F877" t="s">
        <v>21</v>
      </c>
      <c r="G877" t="s">
        <v>19</v>
      </c>
      <c r="H877" s="2">
        <v>0</v>
      </c>
    </row>
    <row r="878" spans="1:8">
      <c r="A878" t="s">
        <v>42</v>
      </c>
      <c r="B878" t="s">
        <v>43</v>
      </c>
      <c r="C878" t="s">
        <v>25</v>
      </c>
      <c r="D878" t="s">
        <v>11</v>
      </c>
      <c r="E878">
        <v>1999</v>
      </c>
      <c r="F878" t="s">
        <v>16</v>
      </c>
      <c r="G878" t="s">
        <v>15</v>
      </c>
      <c r="H878" s="2">
        <v>1349.65</v>
      </c>
    </row>
    <row r="879" spans="1:8">
      <c r="A879" t="s">
        <v>42</v>
      </c>
      <c r="B879" t="s">
        <v>43</v>
      </c>
      <c r="C879" t="s">
        <v>25</v>
      </c>
      <c r="D879" t="s">
        <v>11</v>
      </c>
      <c r="E879">
        <v>2000</v>
      </c>
      <c r="F879" t="s">
        <v>22</v>
      </c>
      <c r="G879" t="s">
        <v>19</v>
      </c>
      <c r="H879" s="2">
        <v>0</v>
      </c>
    </row>
    <row r="880" spans="1:8">
      <c r="A880" t="s">
        <v>42</v>
      </c>
      <c r="B880" t="s">
        <v>43</v>
      </c>
      <c r="C880" t="s">
        <v>25</v>
      </c>
      <c r="D880" t="s">
        <v>11</v>
      </c>
      <c r="E880">
        <v>2000</v>
      </c>
      <c r="F880" t="s">
        <v>12</v>
      </c>
      <c r="G880" t="s">
        <v>13</v>
      </c>
      <c r="H880" s="2">
        <v>7939.8</v>
      </c>
    </row>
    <row r="881" spans="1:8">
      <c r="A881" t="s">
        <v>42</v>
      </c>
      <c r="B881" t="s">
        <v>43</v>
      </c>
      <c r="C881" t="s">
        <v>25</v>
      </c>
      <c r="D881" t="s">
        <v>11</v>
      </c>
      <c r="E881">
        <v>2000</v>
      </c>
      <c r="F881" t="s">
        <v>20</v>
      </c>
      <c r="G881" t="s">
        <v>15</v>
      </c>
      <c r="H881" s="2">
        <v>-92.23</v>
      </c>
    </row>
    <row r="882" spans="1:8">
      <c r="A882" t="s">
        <v>42</v>
      </c>
      <c r="B882" t="s">
        <v>43</v>
      </c>
      <c r="C882" t="s">
        <v>25</v>
      </c>
      <c r="D882" t="s">
        <v>11</v>
      </c>
      <c r="E882">
        <v>2001</v>
      </c>
      <c r="F882" t="s">
        <v>18</v>
      </c>
      <c r="G882" t="s">
        <v>13</v>
      </c>
      <c r="H882" s="2">
        <v>9956.4500000000007</v>
      </c>
    </row>
    <row r="883" spans="1:8">
      <c r="A883" t="s">
        <v>42</v>
      </c>
      <c r="B883" t="s">
        <v>43</v>
      </c>
      <c r="C883" t="s">
        <v>25</v>
      </c>
      <c r="D883" t="s">
        <v>11</v>
      </c>
      <c r="E883">
        <v>2002</v>
      </c>
      <c r="F883" t="s">
        <v>14</v>
      </c>
      <c r="G883" t="s">
        <v>13</v>
      </c>
      <c r="H883" s="2">
        <v>35216.46</v>
      </c>
    </row>
    <row r="884" spans="1:8">
      <c r="A884" t="s">
        <v>42</v>
      </c>
      <c r="B884" t="s">
        <v>43</v>
      </c>
      <c r="C884" t="s">
        <v>25</v>
      </c>
      <c r="D884" t="s">
        <v>11</v>
      </c>
      <c r="E884">
        <v>2003</v>
      </c>
      <c r="F884" t="s">
        <v>22</v>
      </c>
      <c r="G884" t="s">
        <v>19</v>
      </c>
      <c r="H884" s="2">
        <v>0</v>
      </c>
    </row>
    <row r="885" spans="1:8">
      <c r="A885" t="s">
        <v>42</v>
      </c>
      <c r="B885" t="s">
        <v>43</v>
      </c>
      <c r="C885" t="s">
        <v>25</v>
      </c>
      <c r="D885" t="s">
        <v>11</v>
      </c>
      <c r="E885">
        <v>2003</v>
      </c>
      <c r="F885" t="s">
        <v>12</v>
      </c>
      <c r="G885" t="s">
        <v>15</v>
      </c>
      <c r="H885" s="2">
        <v>647.29</v>
      </c>
    </row>
    <row r="886" spans="1:8">
      <c r="A886" t="s">
        <v>42</v>
      </c>
      <c r="B886" t="s">
        <v>43</v>
      </c>
      <c r="C886" t="s">
        <v>25</v>
      </c>
      <c r="D886" t="s">
        <v>11</v>
      </c>
      <c r="E886">
        <v>2003</v>
      </c>
      <c r="F886" t="s">
        <v>21</v>
      </c>
      <c r="G886" t="s">
        <v>15</v>
      </c>
      <c r="H886" s="2">
        <v>390.01</v>
      </c>
    </row>
    <row r="887" spans="1:8">
      <c r="A887" t="s">
        <v>42</v>
      </c>
      <c r="B887" t="s">
        <v>43</v>
      </c>
      <c r="C887" t="s">
        <v>25</v>
      </c>
      <c r="D887" t="s">
        <v>11</v>
      </c>
      <c r="E887">
        <v>2003</v>
      </c>
      <c r="F887" t="s">
        <v>16</v>
      </c>
      <c r="G887" t="s">
        <v>19</v>
      </c>
      <c r="H887" s="2">
        <v>0</v>
      </c>
    </row>
    <row r="888" spans="1:8">
      <c r="A888" t="s">
        <v>42</v>
      </c>
      <c r="B888" t="s">
        <v>43</v>
      </c>
      <c r="C888" t="s">
        <v>25</v>
      </c>
      <c r="D888" t="s">
        <v>11</v>
      </c>
      <c r="E888">
        <v>2004</v>
      </c>
      <c r="F888" t="s">
        <v>22</v>
      </c>
      <c r="G888" t="s">
        <v>19</v>
      </c>
      <c r="H888" s="2">
        <v>0</v>
      </c>
    </row>
    <row r="889" spans="1:8">
      <c r="A889" t="s">
        <v>42</v>
      </c>
      <c r="B889" t="s">
        <v>43</v>
      </c>
      <c r="C889" t="s">
        <v>25</v>
      </c>
      <c r="D889" t="s">
        <v>11</v>
      </c>
      <c r="E889">
        <v>2004</v>
      </c>
      <c r="F889" t="s">
        <v>22</v>
      </c>
      <c r="G889" t="s">
        <v>17</v>
      </c>
      <c r="H889" s="2">
        <v>3759.18</v>
      </c>
    </row>
    <row r="890" spans="1:8">
      <c r="A890" t="s">
        <v>42</v>
      </c>
      <c r="B890" t="s">
        <v>43</v>
      </c>
      <c r="C890" t="s">
        <v>25</v>
      </c>
      <c r="D890" t="s">
        <v>11</v>
      </c>
      <c r="E890">
        <v>2004</v>
      </c>
      <c r="F890" t="s">
        <v>18</v>
      </c>
      <c r="G890" t="s">
        <v>17</v>
      </c>
      <c r="H890" s="2">
        <v>709.69</v>
      </c>
    </row>
    <row r="891" spans="1:8">
      <c r="A891" t="s">
        <v>42</v>
      </c>
      <c r="B891" t="s">
        <v>43</v>
      </c>
      <c r="C891" t="s">
        <v>25</v>
      </c>
      <c r="D891" t="s">
        <v>11</v>
      </c>
      <c r="E891">
        <v>2004</v>
      </c>
      <c r="F891" t="s">
        <v>14</v>
      </c>
      <c r="G891" t="s">
        <v>15</v>
      </c>
      <c r="H891" s="2">
        <v>1060.68</v>
      </c>
    </row>
    <row r="892" spans="1:8">
      <c r="A892" t="s">
        <v>42</v>
      </c>
      <c r="B892" t="s">
        <v>43</v>
      </c>
      <c r="C892" t="s">
        <v>25</v>
      </c>
      <c r="D892" t="s">
        <v>11</v>
      </c>
      <c r="E892">
        <v>2004</v>
      </c>
      <c r="F892" t="s">
        <v>16</v>
      </c>
      <c r="G892" t="s">
        <v>19</v>
      </c>
      <c r="H892" s="2">
        <v>0</v>
      </c>
    </row>
    <row r="893" spans="1:8">
      <c r="A893" t="s">
        <v>42</v>
      </c>
      <c r="B893" t="s">
        <v>43</v>
      </c>
      <c r="C893" t="s">
        <v>25</v>
      </c>
      <c r="D893" t="s">
        <v>11</v>
      </c>
      <c r="E893">
        <v>2005</v>
      </c>
      <c r="F893" t="s">
        <v>12</v>
      </c>
      <c r="G893" t="s">
        <v>13</v>
      </c>
      <c r="H893" s="2">
        <v>8995.19</v>
      </c>
    </row>
    <row r="894" spans="1:8">
      <c r="A894" t="s">
        <v>42</v>
      </c>
      <c r="B894" t="s">
        <v>43</v>
      </c>
      <c r="C894" t="s">
        <v>25</v>
      </c>
      <c r="D894" t="s">
        <v>11</v>
      </c>
      <c r="E894">
        <v>2005</v>
      </c>
      <c r="F894" t="s">
        <v>18</v>
      </c>
      <c r="G894" t="s">
        <v>19</v>
      </c>
      <c r="H894" s="2">
        <v>619.33000000000004</v>
      </c>
    </row>
    <row r="895" spans="1:8">
      <c r="A895" t="s">
        <v>42</v>
      </c>
      <c r="B895" t="s">
        <v>43</v>
      </c>
      <c r="C895" t="s">
        <v>25</v>
      </c>
      <c r="D895" t="s">
        <v>11</v>
      </c>
      <c r="E895">
        <v>2005</v>
      </c>
      <c r="F895" t="s">
        <v>20</v>
      </c>
      <c r="G895" t="s">
        <v>15</v>
      </c>
      <c r="H895" s="2">
        <v>-88.58</v>
      </c>
    </row>
    <row r="896" spans="1:8">
      <c r="A896" t="s">
        <v>42</v>
      </c>
      <c r="B896" t="s">
        <v>43</v>
      </c>
      <c r="C896" t="s">
        <v>25</v>
      </c>
      <c r="D896" t="s">
        <v>11</v>
      </c>
      <c r="E896">
        <v>2006</v>
      </c>
      <c r="F896" t="s">
        <v>16</v>
      </c>
      <c r="G896" t="s">
        <v>19</v>
      </c>
      <c r="H896" s="2">
        <v>0</v>
      </c>
    </row>
    <row r="897" spans="1:8">
      <c r="A897" t="s">
        <v>42</v>
      </c>
      <c r="B897" t="s">
        <v>43</v>
      </c>
      <c r="C897" t="s">
        <v>25</v>
      </c>
      <c r="D897" t="s">
        <v>11</v>
      </c>
      <c r="E897">
        <v>2007</v>
      </c>
      <c r="F897" t="s">
        <v>20</v>
      </c>
      <c r="G897" t="s">
        <v>13</v>
      </c>
      <c r="H897" s="2">
        <v>-9461.41</v>
      </c>
    </row>
    <row r="898" spans="1:8">
      <c r="A898" t="s">
        <v>42</v>
      </c>
      <c r="B898" t="s">
        <v>43</v>
      </c>
      <c r="C898" t="s">
        <v>25</v>
      </c>
      <c r="D898" t="s">
        <v>11</v>
      </c>
      <c r="E898">
        <v>2008</v>
      </c>
      <c r="F898" t="s">
        <v>18</v>
      </c>
      <c r="G898" t="s">
        <v>13</v>
      </c>
      <c r="H898" s="2">
        <v>11960.14</v>
      </c>
    </row>
    <row r="899" spans="1:8">
      <c r="A899" t="s">
        <v>42</v>
      </c>
      <c r="B899" t="s">
        <v>43</v>
      </c>
      <c r="C899" t="s">
        <v>25</v>
      </c>
      <c r="D899" t="s">
        <v>11</v>
      </c>
      <c r="E899">
        <v>2008</v>
      </c>
      <c r="F899" t="s">
        <v>18</v>
      </c>
      <c r="G899" t="s">
        <v>17</v>
      </c>
      <c r="H899" s="2">
        <v>746.58</v>
      </c>
    </row>
    <row r="900" spans="1:8">
      <c r="A900" t="s">
        <v>42</v>
      </c>
      <c r="B900" t="s">
        <v>43</v>
      </c>
      <c r="C900" t="s">
        <v>25</v>
      </c>
      <c r="D900" t="s">
        <v>11</v>
      </c>
      <c r="E900">
        <v>2008</v>
      </c>
      <c r="F900" t="s">
        <v>21</v>
      </c>
      <c r="G900" t="s">
        <v>19</v>
      </c>
      <c r="H900" s="2">
        <v>0</v>
      </c>
    </row>
    <row r="901" spans="1:8">
      <c r="A901" t="s">
        <v>42</v>
      </c>
      <c r="B901" t="s">
        <v>43</v>
      </c>
      <c r="C901" t="s">
        <v>25</v>
      </c>
      <c r="D901" t="s">
        <v>11</v>
      </c>
      <c r="E901">
        <v>2008</v>
      </c>
      <c r="F901" t="s">
        <v>21</v>
      </c>
      <c r="G901" t="s">
        <v>17</v>
      </c>
      <c r="H901" s="2">
        <v>190.9</v>
      </c>
    </row>
    <row r="902" spans="1:8">
      <c r="A902" t="s">
        <v>42</v>
      </c>
      <c r="B902" t="s">
        <v>43</v>
      </c>
      <c r="C902" t="s">
        <v>25</v>
      </c>
      <c r="D902" t="s">
        <v>11</v>
      </c>
      <c r="E902">
        <v>2008</v>
      </c>
      <c r="F902" t="s">
        <v>16</v>
      </c>
      <c r="G902" t="s">
        <v>13</v>
      </c>
      <c r="H902" s="2">
        <v>300.11</v>
      </c>
    </row>
    <row r="903" spans="1:8">
      <c r="A903" t="s">
        <v>42</v>
      </c>
      <c r="B903" t="s">
        <v>43</v>
      </c>
      <c r="C903" t="s">
        <v>25</v>
      </c>
      <c r="D903" t="s">
        <v>11</v>
      </c>
      <c r="E903">
        <v>2009</v>
      </c>
      <c r="F903" t="s">
        <v>18</v>
      </c>
      <c r="G903" t="s">
        <v>13</v>
      </c>
      <c r="H903" s="2">
        <v>14436.88</v>
      </c>
    </row>
    <row r="904" spans="1:8">
      <c r="A904" t="s">
        <v>42</v>
      </c>
      <c r="B904" t="s">
        <v>43</v>
      </c>
      <c r="C904" t="s">
        <v>25</v>
      </c>
      <c r="D904" t="s">
        <v>11</v>
      </c>
      <c r="E904">
        <v>2009</v>
      </c>
      <c r="F904" t="s">
        <v>14</v>
      </c>
      <c r="G904" t="s">
        <v>15</v>
      </c>
      <c r="H904" s="2">
        <v>1216.3900000000001</v>
      </c>
    </row>
    <row r="905" spans="1:8">
      <c r="A905" t="s">
        <v>42</v>
      </c>
      <c r="B905" t="s">
        <v>43</v>
      </c>
      <c r="C905" t="s">
        <v>25</v>
      </c>
      <c r="D905" t="s">
        <v>11</v>
      </c>
      <c r="E905">
        <v>2009</v>
      </c>
      <c r="F905" t="s">
        <v>14</v>
      </c>
      <c r="G905" t="s">
        <v>19</v>
      </c>
      <c r="H905" s="2">
        <v>0</v>
      </c>
    </row>
    <row r="906" spans="1:8">
      <c r="A906" t="s">
        <v>42</v>
      </c>
      <c r="B906" t="s">
        <v>43</v>
      </c>
      <c r="C906" t="s">
        <v>25</v>
      </c>
      <c r="D906" t="s">
        <v>11</v>
      </c>
      <c r="E906">
        <v>2009</v>
      </c>
      <c r="F906" t="s">
        <v>16</v>
      </c>
      <c r="G906" t="s">
        <v>17</v>
      </c>
      <c r="H906" s="2">
        <v>113.03</v>
      </c>
    </row>
    <row r="907" spans="1:8">
      <c r="A907" t="s">
        <v>42</v>
      </c>
      <c r="B907" t="s">
        <v>43</v>
      </c>
      <c r="C907" t="s">
        <v>25</v>
      </c>
      <c r="D907" t="s">
        <v>11</v>
      </c>
      <c r="E907">
        <v>2010</v>
      </c>
      <c r="F907" t="s">
        <v>12</v>
      </c>
      <c r="G907" t="s">
        <v>15</v>
      </c>
      <c r="H907" s="2">
        <v>921.87</v>
      </c>
    </row>
    <row r="908" spans="1:8">
      <c r="A908" t="s">
        <v>42</v>
      </c>
      <c r="B908" t="s">
        <v>43</v>
      </c>
      <c r="C908" t="s">
        <v>25</v>
      </c>
      <c r="D908" t="s">
        <v>11</v>
      </c>
      <c r="E908">
        <v>2010</v>
      </c>
      <c r="F908" t="s">
        <v>18</v>
      </c>
      <c r="G908" t="s">
        <v>13</v>
      </c>
      <c r="H908" s="2">
        <v>15017.1</v>
      </c>
    </row>
    <row r="909" spans="1:8">
      <c r="A909" t="s">
        <v>42</v>
      </c>
      <c r="B909" t="s">
        <v>43</v>
      </c>
      <c r="C909" t="s">
        <v>25</v>
      </c>
      <c r="D909" t="s">
        <v>11</v>
      </c>
      <c r="E909">
        <v>2010</v>
      </c>
      <c r="F909" t="s">
        <v>14</v>
      </c>
      <c r="G909" t="s">
        <v>17</v>
      </c>
      <c r="H909" s="2">
        <v>890.75</v>
      </c>
    </row>
    <row r="910" spans="1:8">
      <c r="A910" t="s">
        <v>42</v>
      </c>
      <c r="B910" t="s">
        <v>43</v>
      </c>
      <c r="C910" t="s">
        <v>25</v>
      </c>
      <c r="D910" t="s">
        <v>11</v>
      </c>
      <c r="E910">
        <v>2010</v>
      </c>
      <c r="F910" t="s">
        <v>21</v>
      </c>
      <c r="G910" t="s">
        <v>19</v>
      </c>
      <c r="H910" s="2">
        <v>0</v>
      </c>
    </row>
    <row r="911" spans="1:8">
      <c r="A911" t="s">
        <v>42</v>
      </c>
      <c r="B911" t="s">
        <v>43</v>
      </c>
      <c r="C911" t="s">
        <v>25</v>
      </c>
      <c r="D911" t="s">
        <v>11</v>
      </c>
      <c r="E911">
        <v>2011</v>
      </c>
      <c r="F911" t="s">
        <v>20</v>
      </c>
      <c r="G911" t="s">
        <v>15</v>
      </c>
      <c r="H911" s="2">
        <v>-124.79</v>
      </c>
    </row>
    <row r="912" spans="1:8">
      <c r="A912" t="s">
        <v>42</v>
      </c>
      <c r="B912" t="s">
        <v>43</v>
      </c>
      <c r="C912" t="s">
        <v>25</v>
      </c>
      <c r="D912" t="s">
        <v>11</v>
      </c>
      <c r="E912">
        <v>2011</v>
      </c>
      <c r="F912" t="s">
        <v>21</v>
      </c>
      <c r="G912" t="s">
        <v>19</v>
      </c>
      <c r="H912" s="2">
        <v>0</v>
      </c>
    </row>
    <row r="913" spans="1:8">
      <c r="A913" t="s">
        <v>42</v>
      </c>
      <c r="B913" t="s">
        <v>43</v>
      </c>
      <c r="C913" t="s">
        <v>25</v>
      </c>
      <c r="D913" t="s">
        <v>11</v>
      </c>
      <c r="E913">
        <v>2012</v>
      </c>
      <c r="F913" t="s">
        <v>12</v>
      </c>
      <c r="G913" t="s">
        <v>13</v>
      </c>
      <c r="H913" s="2">
        <v>10682.9</v>
      </c>
    </row>
    <row r="914" spans="1:8">
      <c r="A914" t="s">
        <v>42</v>
      </c>
      <c r="B914" t="s">
        <v>43</v>
      </c>
      <c r="C914" t="s">
        <v>25</v>
      </c>
      <c r="D914" t="s">
        <v>11</v>
      </c>
      <c r="E914">
        <v>2012</v>
      </c>
      <c r="F914" t="s">
        <v>18</v>
      </c>
      <c r="G914" t="s">
        <v>15</v>
      </c>
      <c r="H914" s="2">
        <v>833.88</v>
      </c>
    </row>
    <row r="915" spans="1:8">
      <c r="A915" t="s">
        <v>42</v>
      </c>
      <c r="B915" t="s">
        <v>43</v>
      </c>
      <c r="C915" t="s">
        <v>25</v>
      </c>
      <c r="D915" t="s">
        <v>11</v>
      </c>
      <c r="E915">
        <v>2012</v>
      </c>
      <c r="F915" t="s">
        <v>18</v>
      </c>
      <c r="G915" t="s">
        <v>19</v>
      </c>
      <c r="H915" s="2">
        <v>839.11</v>
      </c>
    </row>
    <row r="916" spans="1:8">
      <c r="A916" t="s">
        <v>42</v>
      </c>
      <c r="B916" t="s">
        <v>43</v>
      </c>
      <c r="C916" t="s">
        <v>25</v>
      </c>
      <c r="D916" t="s">
        <v>11</v>
      </c>
      <c r="E916">
        <v>2012</v>
      </c>
      <c r="F916" t="s">
        <v>20</v>
      </c>
      <c r="G916" t="s">
        <v>15</v>
      </c>
      <c r="H916" s="2">
        <v>-110.45</v>
      </c>
    </row>
    <row r="917" spans="1:8">
      <c r="A917" t="s">
        <v>42</v>
      </c>
      <c r="B917" t="s">
        <v>43</v>
      </c>
      <c r="C917" t="s">
        <v>25</v>
      </c>
      <c r="D917" t="s">
        <v>11</v>
      </c>
      <c r="E917">
        <v>2012</v>
      </c>
      <c r="F917" t="s">
        <v>20</v>
      </c>
      <c r="G917" t="s">
        <v>13</v>
      </c>
      <c r="H917" s="2">
        <v>-10578.75</v>
      </c>
    </row>
    <row r="918" spans="1:8">
      <c r="A918" t="s">
        <v>42</v>
      </c>
      <c r="B918" t="s">
        <v>43</v>
      </c>
      <c r="C918" t="s">
        <v>25</v>
      </c>
      <c r="D918" t="s">
        <v>11</v>
      </c>
      <c r="E918">
        <v>2012</v>
      </c>
      <c r="F918" t="s">
        <v>21</v>
      </c>
      <c r="G918" t="s">
        <v>13</v>
      </c>
      <c r="H918" s="2">
        <v>23023.51</v>
      </c>
    </row>
    <row r="919" spans="1:8">
      <c r="A919" t="s">
        <v>42</v>
      </c>
      <c r="B919" t="s">
        <v>43</v>
      </c>
      <c r="C919" t="s">
        <v>25</v>
      </c>
      <c r="D919" t="s">
        <v>11</v>
      </c>
      <c r="E919">
        <v>2013</v>
      </c>
      <c r="F919" t="s">
        <v>14</v>
      </c>
      <c r="G919" t="s">
        <v>19</v>
      </c>
      <c r="H919" s="2">
        <v>0</v>
      </c>
    </row>
    <row r="920" spans="1:8">
      <c r="A920" t="s">
        <v>42</v>
      </c>
      <c r="B920" t="s">
        <v>43</v>
      </c>
      <c r="C920" t="s">
        <v>25</v>
      </c>
      <c r="D920" t="s">
        <v>11</v>
      </c>
      <c r="E920">
        <v>2013</v>
      </c>
      <c r="F920" t="s">
        <v>21</v>
      </c>
      <c r="G920" t="s">
        <v>15</v>
      </c>
      <c r="H920" s="2">
        <v>486.79</v>
      </c>
    </row>
    <row r="921" spans="1:8">
      <c r="A921" t="s">
        <v>42</v>
      </c>
      <c r="B921" t="s">
        <v>43</v>
      </c>
      <c r="C921" t="s">
        <v>25</v>
      </c>
      <c r="D921" t="s">
        <v>11</v>
      </c>
      <c r="E921">
        <v>2013</v>
      </c>
      <c r="F921" t="s">
        <v>16</v>
      </c>
      <c r="G921" t="s">
        <v>17</v>
      </c>
      <c r="H921" s="2">
        <v>111.49</v>
      </c>
    </row>
    <row r="922" spans="1:8">
      <c r="A922" t="s">
        <v>42</v>
      </c>
      <c r="B922" t="s">
        <v>43</v>
      </c>
      <c r="C922" t="s">
        <v>25</v>
      </c>
      <c r="D922" t="s">
        <v>11</v>
      </c>
      <c r="E922">
        <v>2014</v>
      </c>
      <c r="F922" t="s">
        <v>12</v>
      </c>
      <c r="G922" t="s">
        <v>17</v>
      </c>
      <c r="H922" s="2">
        <v>342.37</v>
      </c>
    </row>
    <row r="923" spans="1:8">
      <c r="A923" t="s">
        <v>42</v>
      </c>
      <c r="B923" t="s">
        <v>43</v>
      </c>
      <c r="C923" t="s">
        <v>25</v>
      </c>
      <c r="D923" t="s">
        <v>11</v>
      </c>
      <c r="E923">
        <v>2014</v>
      </c>
      <c r="F923" t="s">
        <v>14</v>
      </c>
      <c r="G923" t="s">
        <v>15</v>
      </c>
      <c r="H923" s="2">
        <v>1165.3</v>
      </c>
    </row>
    <row r="924" spans="1:8">
      <c r="A924" t="s">
        <v>42</v>
      </c>
      <c r="B924" t="s">
        <v>43</v>
      </c>
      <c r="C924" t="s">
        <v>25</v>
      </c>
      <c r="D924" t="s">
        <v>11</v>
      </c>
      <c r="E924">
        <v>2015</v>
      </c>
      <c r="F924" t="s">
        <v>18</v>
      </c>
      <c r="G924" t="s">
        <v>15</v>
      </c>
      <c r="H924" s="2">
        <v>769.16</v>
      </c>
    </row>
    <row r="925" spans="1:8">
      <c r="A925" t="s">
        <v>42</v>
      </c>
      <c r="B925" t="s">
        <v>43</v>
      </c>
      <c r="C925" t="s">
        <v>25</v>
      </c>
      <c r="D925" t="s">
        <v>11</v>
      </c>
      <c r="E925">
        <v>2015</v>
      </c>
      <c r="F925" t="s">
        <v>16</v>
      </c>
      <c r="G925" t="s">
        <v>15</v>
      </c>
      <c r="H925" s="2">
        <v>1761.53</v>
      </c>
    </row>
    <row r="926" spans="1:8">
      <c r="A926" t="s">
        <v>42</v>
      </c>
      <c r="B926" t="s">
        <v>43</v>
      </c>
      <c r="C926" t="s">
        <v>25</v>
      </c>
      <c r="D926" t="s">
        <v>11</v>
      </c>
      <c r="E926">
        <v>2016</v>
      </c>
      <c r="F926" t="s">
        <v>22</v>
      </c>
      <c r="G926" t="s">
        <v>15</v>
      </c>
      <c r="H926" s="2">
        <v>12293.28</v>
      </c>
    </row>
    <row r="927" spans="1:8">
      <c r="A927" t="s">
        <v>42</v>
      </c>
      <c r="B927" t="s">
        <v>43</v>
      </c>
      <c r="C927" t="s">
        <v>25</v>
      </c>
      <c r="D927" t="s">
        <v>11</v>
      </c>
      <c r="E927">
        <v>2016</v>
      </c>
      <c r="F927" t="s">
        <v>12</v>
      </c>
      <c r="G927" t="s">
        <v>19</v>
      </c>
      <c r="H927" s="2">
        <v>0</v>
      </c>
    </row>
    <row r="928" spans="1:8">
      <c r="A928" t="s">
        <v>42</v>
      </c>
      <c r="B928" t="s">
        <v>43</v>
      </c>
      <c r="C928" t="s">
        <v>25</v>
      </c>
      <c r="D928" t="s">
        <v>11</v>
      </c>
      <c r="E928">
        <v>2016</v>
      </c>
      <c r="F928" t="s">
        <v>14</v>
      </c>
      <c r="G928" t="s">
        <v>17</v>
      </c>
      <c r="H928" s="2">
        <v>745.42</v>
      </c>
    </row>
    <row r="929" spans="1:8">
      <c r="A929" t="s">
        <v>42</v>
      </c>
      <c r="B929" t="s">
        <v>43</v>
      </c>
      <c r="C929" t="s">
        <v>25</v>
      </c>
      <c r="D929" t="s">
        <v>11</v>
      </c>
      <c r="E929">
        <v>2016</v>
      </c>
      <c r="F929" t="s">
        <v>21</v>
      </c>
      <c r="G929" t="s">
        <v>17</v>
      </c>
      <c r="H929" s="2">
        <v>246.83</v>
      </c>
    </row>
    <row r="930" spans="1:8">
      <c r="A930" t="s">
        <v>42</v>
      </c>
      <c r="B930" t="s">
        <v>43</v>
      </c>
      <c r="C930" t="s">
        <v>25</v>
      </c>
      <c r="D930" t="s">
        <v>11</v>
      </c>
      <c r="E930">
        <v>2017</v>
      </c>
      <c r="F930" t="s">
        <v>12</v>
      </c>
      <c r="G930" t="s">
        <v>17</v>
      </c>
      <c r="H930" s="2">
        <v>354.54</v>
      </c>
    </row>
    <row r="931" spans="1:8">
      <c r="A931" t="s">
        <v>42</v>
      </c>
      <c r="B931" t="s">
        <v>43</v>
      </c>
      <c r="C931" t="s">
        <v>25</v>
      </c>
      <c r="D931" t="s">
        <v>11</v>
      </c>
      <c r="E931">
        <v>2017</v>
      </c>
      <c r="F931" t="s">
        <v>18</v>
      </c>
      <c r="G931" t="s">
        <v>15</v>
      </c>
      <c r="H931" s="2">
        <v>828.55</v>
      </c>
    </row>
    <row r="932" spans="1:8">
      <c r="A932" t="s">
        <v>42</v>
      </c>
      <c r="B932" t="s">
        <v>43</v>
      </c>
      <c r="C932" t="s">
        <v>25</v>
      </c>
      <c r="D932" t="s">
        <v>11</v>
      </c>
      <c r="E932">
        <v>2017</v>
      </c>
      <c r="F932" t="s">
        <v>20</v>
      </c>
      <c r="G932" t="s">
        <v>19</v>
      </c>
      <c r="H932" s="2">
        <v>0</v>
      </c>
    </row>
    <row r="933" spans="1:8">
      <c r="A933" t="s">
        <v>42</v>
      </c>
      <c r="B933" t="s">
        <v>43</v>
      </c>
      <c r="C933" t="s">
        <v>25</v>
      </c>
      <c r="D933" t="s">
        <v>11</v>
      </c>
      <c r="E933">
        <v>2017</v>
      </c>
      <c r="F933" t="s">
        <v>14</v>
      </c>
      <c r="G933" t="s">
        <v>19</v>
      </c>
      <c r="H933" s="2">
        <v>0</v>
      </c>
    </row>
    <row r="934" spans="1:8">
      <c r="A934" t="s">
        <v>42</v>
      </c>
      <c r="B934" t="s">
        <v>43</v>
      </c>
      <c r="C934" t="s">
        <v>25</v>
      </c>
      <c r="D934" t="s">
        <v>11</v>
      </c>
      <c r="E934">
        <v>2017</v>
      </c>
      <c r="F934" t="s">
        <v>21</v>
      </c>
      <c r="G934" t="s">
        <v>17</v>
      </c>
      <c r="H934" s="2">
        <v>244.34</v>
      </c>
    </row>
    <row r="935" spans="1:8">
      <c r="A935" t="s">
        <v>42</v>
      </c>
      <c r="B935" t="s">
        <v>43</v>
      </c>
      <c r="C935" t="s">
        <v>25</v>
      </c>
      <c r="D935" t="s">
        <v>11</v>
      </c>
      <c r="E935">
        <v>2018</v>
      </c>
      <c r="F935" t="s">
        <v>18</v>
      </c>
      <c r="G935" t="s">
        <v>19</v>
      </c>
      <c r="H935" s="2">
        <v>815.13</v>
      </c>
    </row>
    <row r="936" spans="1:8">
      <c r="A936" t="s">
        <v>42</v>
      </c>
      <c r="B936" t="s">
        <v>43</v>
      </c>
      <c r="C936" t="s">
        <v>25</v>
      </c>
      <c r="D936" t="s">
        <v>11</v>
      </c>
      <c r="E936">
        <v>2019</v>
      </c>
      <c r="F936" t="s">
        <v>12</v>
      </c>
      <c r="G936" t="s">
        <v>15</v>
      </c>
      <c r="H936" s="2">
        <v>790.92</v>
      </c>
    </row>
    <row r="937" spans="1:8">
      <c r="A937" t="s">
        <v>42</v>
      </c>
      <c r="B937" t="s">
        <v>43</v>
      </c>
      <c r="C937" t="s">
        <v>25</v>
      </c>
      <c r="D937" t="s">
        <v>11</v>
      </c>
      <c r="E937">
        <v>2019</v>
      </c>
      <c r="F937" t="s">
        <v>12</v>
      </c>
      <c r="G937" t="s">
        <v>13</v>
      </c>
      <c r="H937" s="2">
        <v>10330.6</v>
      </c>
    </row>
    <row r="938" spans="1:8">
      <c r="A938" t="s">
        <v>42</v>
      </c>
      <c r="B938" t="s">
        <v>43</v>
      </c>
      <c r="C938" t="s">
        <v>25</v>
      </c>
      <c r="D938" t="s">
        <v>11</v>
      </c>
      <c r="E938">
        <v>2019</v>
      </c>
      <c r="F938" t="s">
        <v>18</v>
      </c>
      <c r="G938" t="s">
        <v>13</v>
      </c>
      <c r="H938" s="2">
        <v>13242.25</v>
      </c>
    </row>
    <row r="939" spans="1:8">
      <c r="A939" t="s">
        <v>42</v>
      </c>
      <c r="B939" t="s">
        <v>43</v>
      </c>
      <c r="C939" t="s">
        <v>25</v>
      </c>
      <c r="D939" t="s">
        <v>11</v>
      </c>
      <c r="E939">
        <v>2019</v>
      </c>
      <c r="F939" t="s">
        <v>20</v>
      </c>
      <c r="G939" t="s">
        <v>15</v>
      </c>
      <c r="H939" s="2">
        <v>-123.14</v>
      </c>
    </row>
    <row r="940" spans="1:8">
      <c r="A940" t="s">
        <v>42</v>
      </c>
      <c r="B940" t="s">
        <v>43</v>
      </c>
      <c r="C940" t="s">
        <v>25</v>
      </c>
      <c r="D940" t="s">
        <v>11</v>
      </c>
      <c r="E940">
        <v>2019</v>
      </c>
      <c r="F940" t="s">
        <v>16</v>
      </c>
      <c r="G940" t="s">
        <v>17</v>
      </c>
      <c r="H940" s="2">
        <v>124.18</v>
      </c>
    </row>
    <row r="941" spans="1:8">
      <c r="A941" t="s">
        <v>42</v>
      </c>
      <c r="B941" t="s">
        <v>43</v>
      </c>
      <c r="C941" t="s">
        <v>25</v>
      </c>
      <c r="D941" t="s">
        <v>11</v>
      </c>
      <c r="E941">
        <v>2020</v>
      </c>
      <c r="F941" t="s">
        <v>22</v>
      </c>
      <c r="G941" t="s">
        <v>13</v>
      </c>
      <c r="H941" s="2">
        <v>1942.18</v>
      </c>
    </row>
    <row r="942" spans="1:8">
      <c r="A942" t="s">
        <v>42</v>
      </c>
      <c r="B942" t="s">
        <v>43</v>
      </c>
      <c r="C942" t="s">
        <v>25</v>
      </c>
      <c r="D942" t="s">
        <v>11</v>
      </c>
      <c r="E942">
        <v>2020</v>
      </c>
      <c r="F942" t="s">
        <v>12</v>
      </c>
      <c r="G942" t="s">
        <v>13</v>
      </c>
      <c r="H942" s="2">
        <v>10920.58</v>
      </c>
    </row>
    <row r="943" spans="1:8">
      <c r="A943" t="s">
        <v>42</v>
      </c>
      <c r="B943" t="s">
        <v>43</v>
      </c>
      <c r="C943" t="s">
        <v>25</v>
      </c>
      <c r="D943" t="s">
        <v>11</v>
      </c>
      <c r="E943">
        <v>2020</v>
      </c>
      <c r="F943" t="s">
        <v>21</v>
      </c>
      <c r="G943" t="s">
        <v>13</v>
      </c>
      <c r="H943" s="2">
        <v>21365.119999999999</v>
      </c>
    </row>
    <row r="944" spans="1:8">
      <c r="A944" t="s">
        <v>42</v>
      </c>
      <c r="B944" t="s">
        <v>43</v>
      </c>
      <c r="C944" t="s">
        <v>25</v>
      </c>
      <c r="D944" t="s">
        <v>11</v>
      </c>
      <c r="E944">
        <v>2021</v>
      </c>
      <c r="F944" t="s">
        <v>14</v>
      </c>
      <c r="G944" t="s">
        <v>15</v>
      </c>
      <c r="H944" s="2">
        <v>1278.06</v>
      </c>
    </row>
    <row r="945" spans="1:8">
      <c r="A945" t="s">
        <v>42</v>
      </c>
      <c r="B945" t="s">
        <v>43</v>
      </c>
      <c r="C945" t="s">
        <v>25</v>
      </c>
      <c r="D945" t="s">
        <v>11</v>
      </c>
      <c r="E945">
        <v>2023</v>
      </c>
      <c r="F945" t="s">
        <v>12</v>
      </c>
      <c r="G945" t="s">
        <v>17</v>
      </c>
      <c r="H945" s="2">
        <v>318.93</v>
      </c>
    </row>
    <row r="946" spans="1:8">
      <c r="A946" t="s">
        <v>42</v>
      </c>
      <c r="B946" t="s">
        <v>43</v>
      </c>
      <c r="C946" t="s">
        <v>25</v>
      </c>
      <c r="D946" t="s">
        <v>11</v>
      </c>
      <c r="E946">
        <v>2023</v>
      </c>
      <c r="F946" t="s">
        <v>20</v>
      </c>
      <c r="G946" t="s">
        <v>17</v>
      </c>
      <c r="H946" s="2">
        <v>-120.34</v>
      </c>
    </row>
    <row r="947" spans="1:8">
      <c r="A947" t="s">
        <v>42</v>
      </c>
      <c r="B947" t="s">
        <v>43</v>
      </c>
      <c r="C947" t="s">
        <v>25</v>
      </c>
      <c r="D947" t="s">
        <v>11</v>
      </c>
      <c r="E947">
        <v>2023</v>
      </c>
      <c r="F947" t="s">
        <v>21</v>
      </c>
      <c r="G947" t="s">
        <v>19</v>
      </c>
      <c r="H947" s="2">
        <v>0</v>
      </c>
    </row>
    <row r="948" spans="1:8">
      <c r="A948" t="s">
        <v>42</v>
      </c>
      <c r="B948" t="s">
        <v>43</v>
      </c>
      <c r="C948" t="s">
        <v>25</v>
      </c>
      <c r="D948" t="s">
        <v>11</v>
      </c>
      <c r="E948">
        <v>2024</v>
      </c>
      <c r="F948" t="s">
        <v>12</v>
      </c>
      <c r="G948" t="s">
        <v>17</v>
      </c>
      <c r="H948" s="2">
        <v>321.77</v>
      </c>
    </row>
    <row r="949" spans="1:8">
      <c r="A949" t="s">
        <v>42</v>
      </c>
      <c r="B949" t="s">
        <v>43</v>
      </c>
      <c r="C949" t="s">
        <v>25</v>
      </c>
      <c r="D949" t="s">
        <v>11</v>
      </c>
      <c r="E949">
        <v>2024</v>
      </c>
      <c r="F949" t="s">
        <v>18</v>
      </c>
      <c r="G949" t="s">
        <v>19</v>
      </c>
      <c r="H949" s="2">
        <v>722.72</v>
      </c>
    </row>
    <row r="950" spans="1:8">
      <c r="A950" t="s">
        <v>42</v>
      </c>
      <c r="B950" t="s">
        <v>43</v>
      </c>
      <c r="C950" t="s">
        <v>25</v>
      </c>
      <c r="D950" t="s">
        <v>11</v>
      </c>
      <c r="E950">
        <v>2024</v>
      </c>
      <c r="F950" t="s">
        <v>16</v>
      </c>
      <c r="G950" t="s">
        <v>13</v>
      </c>
      <c r="H950" s="2">
        <v>322.81</v>
      </c>
    </row>
    <row r="951" spans="1:8">
      <c r="A951" t="s">
        <v>44</v>
      </c>
      <c r="B951" t="s">
        <v>45</v>
      </c>
      <c r="C951" t="s">
        <v>10</v>
      </c>
      <c r="D951" t="s">
        <v>33</v>
      </c>
      <c r="E951">
        <v>1990</v>
      </c>
      <c r="F951" t="s">
        <v>22</v>
      </c>
      <c r="G951" t="s">
        <v>19</v>
      </c>
      <c r="H951" s="2">
        <v>0</v>
      </c>
    </row>
    <row r="952" spans="1:8">
      <c r="A952" t="s">
        <v>44</v>
      </c>
      <c r="B952" t="s">
        <v>45</v>
      </c>
      <c r="C952" t="s">
        <v>10</v>
      </c>
      <c r="D952" t="s">
        <v>33</v>
      </c>
      <c r="E952">
        <v>1990</v>
      </c>
      <c r="F952" t="s">
        <v>20</v>
      </c>
      <c r="G952" t="s">
        <v>17</v>
      </c>
      <c r="H952" s="2">
        <v>274</v>
      </c>
    </row>
    <row r="953" spans="1:8">
      <c r="A953" t="s">
        <v>44</v>
      </c>
      <c r="B953" t="s">
        <v>45</v>
      </c>
      <c r="C953" t="s">
        <v>10</v>
      </c>
      <c r="D953" t="s">
        <v>33</v>
      </c>
      <c r="E953">
        <v>1990</v>
      </c>
      <c r="F953" t="s">
        <v>14</v>
      </c>
      <c r="G953" t="s">
        <v>15</v>
      </c>
      <c r="H953" s="2">
        <v>1070.79</v>
      </c>
    </row>
    <row r="954" spans="1:8">
      <c r="A954" t="s">
        <v>44</v>
      </c>
      <c r="B954" t="s">
        <v>45</v>
      </c>
      <c r="C954" t="s">
        <v>10</v>
      </c>
      <c r="D954" t="s">
        <v>33</v>
      </c>
      <c r="E954">
        <v>1990</v>
      </c>
      <c r="F954" t="s">
        <v>21</v>
      </c>
      <c r="G954" t="s">
        <v>13</v>
      </c>
      <c r="H954" s="2">
        <v>102742.78</v>
      </c>
    </row>
    <row r="955" spans="1:8">
      <c r="A955" t="s">
        <v>44</v>
      </c>
      <c r="B955" t="s">
        <v>45</v>
      </c>
      <c r="C955" t="s">
        <v>10</v>
      </c>
      <c r="D955" t="s">
        <v>33</v>
      </c>
      <c r="E955">
        <v>1991</v>
      </c>
      <c r="F955" t="s">
        <v>22</v>
      </c>
      <c r="G955" t="s">
        <v>17</v>
      </c>
      <c r="H955" s="2">
        <v>4165.0200000000004</v>
      </c>
    </row>
    <row r="956" spans="1:8">
      <c r="A956" t="s">
        <v>44</v>
      </c>
      <c r="B956" t="s">
        <v>45</v>
      </c>
      <c r="C956" t="s">
        <v>10</v>
      </c>
      <c r="D956" t="s">
        <v>33</v>
      </c>
      <c r="E956">
        <v>1991</v>
      </c>
      <c r="F956" t="s">
        <v>20</v>
      </c>
      <c r="G956" t="s">
        <v>13</v>
      </c>
      <c r="H956" s="2">
        <v>24863.48</v>
      </c>
    </row>
    <row r="957" spans="1:8">
      <c r="A957" t="s">
        <v>44</v>
      </c>
      <c r="B957" t="s">
        <v>45</v>
      </c>
      <c r="C957" t="s">
        <v>10</v>
      </c>
      <c r="D957" t="s">
        <v>33</v>
      </c>
      <c r="E957">
        <v>1991</v>
      </c>
      <c r="F957" t="s">
        <v>14</v>
      </c>
      <c r="G957" t="s">
        <v>15</v>
      </c>
      <c r="H957" s="2">
        <v>970.92</v>
      </c>
    </row>
    <row r="958" spans="1:8">
      <c r="A958" t="s">
        <v>44</v>
      </c>
      <c r="B958" t="s">
        <v>45</v>
      </c>
      <c r="C958" t="s">
        <v>10</v>
      </c>
      <c r="D958" t="s">
        <v>33</v>
      </c>
      <c r="E958">
        <v>1991</v>
      </c>
      <c r="F958" t="s">
        <v>16</v>
      </c>
      <c r="G958" t="s">
        <v>19</v>
      </c>
      <c r="H958" s="2">
        <v>0</v>
      </c>
    </row>
    <row r="959" spans="1:8">
      <c r="A959" t="s">
        <v>44</v>
      </c>
      <c r="B959" t="s">
        <v>45</v>
      </c>
      <c r="C959" t="s">
        <v>10</v>
      </c>
      <c r="D959" t="s">
        <v>33</v>
      </c>
      <c r="E959">
        <v>1992</v>
      </c>
      <c r="F959" t="s">
        <v>20</v>
      </c>
      <c r="G959" t="s">
        <v>15</v>
      </c>
      <c r="H959" s="2">
        <v>317.08999999999997</v>
      </c>
    </row>
    <row r="960" spans="1:8">
      <c r="A960" t="s">
        <v>44</v>
      </c>
      <c r="B960" t="s">
        <v>45</v>
      </c>
      <c r="C960" t="s">
        <v>10</v>
      </c>
      <c r="D960" t="s">
        <v>33</v>
      </c>
      <c r="E960">
        <v>1992</v>
      </c>
      <c r="F960" t="s">
        <v>16</v>
      </c>
      <c r="G960" t="s">
        <v>15</v>
      </c>
      <c r="H960" s="2">
        <v>25635.71</v>
      </c>
    </row>
    <row r="961" spans="1:8">
      <c r="A961" t="s">
        <v>44</v>
      </c>
      <c r="B961" t="s">
        <v>45</v>
      </c>
      <c r="C961" t="s">
        <v>10</v>
      </c>
      <c r="D961" t="s">
        <v>33</v>
      </c>
      <c r="E961">
        <v>1993</v>
      </c>
      <c r="F961" t="s">
        <v>22</v>
      </c>
      <c r="G961" t="s">
        <v>13</v>
      </c>
      <c r="H961" s="2">
        <v>2207.31</v>
      </c>
    </row>
    <row r="962" spans="1:8">
      <c r="A962" t="s">
        <v>44</v>
      </c>
      <c r="B962" t="s">
        <v>45</v>
      </c>
      <c r="C962" t="s">
        <v>10</v>
      </c>
      <c r="D962" t="s">
        <v>33</v>
      </c>
      <c r="E962">
        <v>1994</v>
      </c>
      <c r="F962" t="s">
        <v>12</v>
      </c>
      <c r="G962" t="s">
        <v>15</v>
      </c>
      <c r="H962" s="2">
        <v>2109.44</v>
      </c>
    </row>
    <row r="963" spans="1:8">
      <c r="A963" t="s">
        <v>44</v>
      </c>
      <c r="B963" t="s">
        <v>45</v>
      </c>
      <c r="C963" t="s">
        <v>10</v>
      </c>
      <c r="D963" t="s">
        <v>33</v>
      </c>
      <c r="E963">
        <v>1994</v>
      </c>
      <c r="F963" t="s">
        <v>18</v>
      </c>
      <c r="G963" t="s">
        <v>17</v>
      </c>
      <c r="H963" s="2">
        <v>4773.99</v>
      </c>
    </row>
    <row r="964" spans="1:8">
      <c r="A964" t="s">
        <v>44</v>
      </c>
      <c r="B964" t="s">
        <v>45</v>
      </c>
      <c r="C964" t="s">
        <v>10</v>
      </c>
      <c r="D964" t="s">
        <v>33</v>
      </c>
      <c r="E964">
        <v>1994</v>
      </c>
      <c r="F964" t="s">
        <v>20</v>
      </c>
      <c r="G964" t="s">
        <v>13</v>
      </c>
      <c r="H964" s="2">
        <v>28661.37</v>
      </c>
    </row>
    <row r="965" spans="1:8">
      <c r="A965" t="s">
        <v>44</v>
      </c>
      <c r="B965" t="s">
        <v>45</v>
      </c>
      <c r="C965" t="s">
        <v>10</v>
      </c>
      <c r="D965" t="s">
        <v>33</v>
      </c>
      <c r="E965">
        <v>1994</v>
      </c>
      <c r="F965" t="s">
        <v>14</v>
      </c>
      <c r="G965" t="s">
        <v>19</v>
      </c>
      <c r="H965" s="2">
        <v>0</v>
      </c>
    </row>
    <row r="966" spans="1:8">
      <c r="A966" t="s">
        <v>44</v>
      </c>
      <c r="B966" t="s">
        <v>45</v>
      </c>
      <c r="C966" t="s">
        <v>10</v>
      </c>
      <c r="D966" t="s">
        <v>33</v>
      </c>
      <c r="E966">
        <v>1994</v>
      </c>
      <c r="F966" t="s">
        <v>21</v>
      </c>
      <c r="G966" t="s">
        <v>19</v>
      </c>
      <c r="H966" s="2">
        <v>0</v>
      </c>
    </row>
    <row r="967" spans="1:8">
      <c r="A967" t="s">
        <v>44</v>
      </c>
      <c r="B967" t="s">
        <v>45</v>
      </c>
      <c r="C967" t="s">
        <v>10</v>
      </c>
      <c r="D967" t="s">
        <v>33</v>
      </c>
      <c r="E967">
        <v>1994</v>
      </c>
      <c r="F967" t="s">
        <v>16</v>
      </c>
      <c r="G967" t="s">
        <v>13</v>
      </c>
      <c r="H967" s="2">
        <v>5187.22</v>
      </c>
    </row>
    <row r="968" spans="1:8">
      <c r="A968" t="s">
        <v>44</v>
      </c>
      <c r="B968" t="s">
        <v>45</v>
      </c>
      <c r="C968" t="s">
        <v>10</v>
      </c>
      <c r="D968" t="s">
        <v>33</v>
      </c>
      <c r="E968">
        <v>1995</v>
      </c>
      <c r="F968" t="s">
        <v>12</v>
      </c>
      <c r="G968" t="s">
        <v>15</v>
      </c>
      <c r="H968" s="2">
        <v>1880.06</v>
      </c>
    </row>
    <row r="969" spans="1:8">
      <c r="A969" t="s">
        <v>44</v>
      </c>
      <c r="B969" t="s">
        <v>45</v>
      </c>
      <c r="C969" t="s">
        <v>10</v>
      </c>
      <c r="D969" t="s">
        <v>33</v>
      </c>
      <c r="E969">
        <v>1995</v>
      </c>
      <c r="F969" t="s">
        <v>12</v>
      </c>
      <c r="G969" t="s">
        <v>17</v>
      </c>
      <c r="H969" s="2">
        <v>773.71</v>
      </c>
    </row>
    <row r="970" spans="1:8">
      <c r="A970" t="s">
        <v>44</v>
      </c>
      <c r="B970" t="s">
        <v>45</v>
      </c>
      <c r="C970" t="s">
        <v>10</v>
      </c>
      <c r="D970" t="s">
        <v>33</v>
      </c>
      <c r="E970">
        <v>1996</v>
      </c>
      <c r="F970" t="s">
        <v>22</v>
      </c>
      <c r="G970" t="s">
        <v>19</v>
      </c>
      <c r="H970" s="2">
        <v>0</v>
      </c>
    </row>
    <row r="971" spans="1:8">
      <c r="A971" t="s">
        <v>44</v>
      </c>
      <c r="B971" t="s">
        <v>45</v>
      </c>
      <c r="C971" t="s">
        <v>10</v>
      </c>
      <c r="D971" t="s">
        <v>33</v>
      </c>
      <c r="E971">
        <v>1996</v>
      </c>
      <c r="F971" t="s">
        <v>22</v>
      </c>
      <c r="G971" t="s">
        <v>17</v>
      </c>
      <c r="H971" s="2">
        <v>4942.09</v>
      </c>
    </row>
    <row r="972" spans="1:8">
      <c r="A972" t="s">
        <v>44</v>
      </c>
      <c r="B972" t="s">
        <v>45</v>
      </c>
      <c r="C972" t="s">
        <v>10</v>
      </c>
      <c r="D972" t="s">
        <v>33</v>
      </c>
      <c r="E972">
        <v>1996</v>
      </c>
      <c r="F972" t="s">
        <v>12</v>
      </c>
      <c r="G972" t="s">
        <v>17</v>
      </c>
      <c r="H972" s="2">
        <v>886.07</v>
      </c>
    </row>
    <row r="973" spans="1:8">
      <c r="A973" t="s">
        <v>44</v>
      </c>
      <c r="B973" t="s">
        <v>45</v>
      </c>
      <c r="C973" t="s">
        <v>10</v>
      </c>
      <c r="D973" t="s">
        <v>33</v>
      </c>
      <c r="E973">
        <v>1996</v>
      </c>
      <c r="F973" t="s">
        <v>16</v>
      </c>
      <c r="G973" t="s">
        <v>17</v>
      </c>
      <c r="H973" s="2">
        <v>1716.52</v>
      </c>
    </row>
    <row r="974" spans="1:8">
      <c r="A974" t="s">
        <v>44</v>
      </c>
      <c r="B974" t="s">
        <v>45</v>
      </c>
      <c r="C974" t="s">
        <v>10</v>
      </c>
      <c r="D974" t="s">
        <v>33</v>
      </c>
      <c r="E974">
        <v>1997</v>
      </c>
      <c r="F974" t="s">
        <v>18</v>
      </c>
      <c r="G974" t="s">
        <v>17</v>
      </c>
      <c r="H974" s="2">
        <v>4892.9799999999996</v>
      </c>
    </row>
    <row r="975" spans="1:8">
      <c r="A975" t="s">
        <v>44</v>
      </c>
      <c r="B975" t="s">
        <v>45</v>
      </c>
      <c r="C975" t="s">
        <v>10</v>
      </c>
      <c r="D975" t="s">
        <v>33</v>
      </c>
      <c r="E975">
        <v>1997</v>
      </c>
      <c r="F975" t="s">
        <v>20</v>
      </c>
      <c r="G975" t="s">
        <v>15</v>
      </c>
      <c r="H975" s="2">
        <v>333.8</v>
      </c>
    </row>
    <row r="976" spans="1:8">
      <c r="A976" t="s">
        <v>44</v>
      </c>
      <c r="B976" t="s">
        <v>45</v>
      </c>
      <c r="C976" t="s">
        <v>10</v>
      </c>
      <c r="D976" t="s">
        <v>33</v>
      </c>
      <c r="E976">
        <v>1997</v>
      </c>
      <c r="F976" t="s">
        <v>20</v>
      </c>
      <c r="G976" t="s">
        <v>17</v>
      </c>
      <c r="H976" s="2">
        <v>365.05</v>
      </c>
    </row>
    <row r="977" spans="1:8">
      <c r="A977" t="s">
        <v>44</v>
      </c>
      <c r="B977" t="s">
        <v>45</v>
      </c>
      <c r="C977" t="s">
        <v>10</v>
      </c>
      <c r="D977" t="s">
        <v>33</v>
      </c>
      <c r="E977">
        <v>1997</v>
      </c>
      <c r="F977" t="s">
        <v>21</v>
      </c>
      <c r="G977" t="s">
        <v>15</v>
      </c>
      <c r="H977" s="2">
        <v>2496.63</v>
      </c>
    </row>
    <row r="978" spans="1:8">
      <c r="A978" t="s">
        <v>44</v>
      </c>
      <c r="B978" t="s">
        <v>45</v>
      </c>
      <c r="C978" t="s">
        <v>10</v>
      </c>
      <c r="D978" t="s">
        <v>33</v>
      </c>
      <c r="E978">
        <v>1998</v>
      </c>
      <c r="F978" t="s">
        <v>20</v>
      </c>
      <c r="G978" t="s">
        <v>15</v>
      </c>
      <c r="H978" s="2">
        <v>383.18</v>
      </c>
    </row>
    <row r="979" spans="1:8">
      <c r="A979" t="s">
        <v>44</v>
      </c>
      <c r="B979" t="s">
        <v>45</v>
      </c>
      <c r="C979" t="s">
        <v>10</v>
      </c>
      <c r="D979" t="s">
        <v>33</v>
      </c>
      <c r="E979">
        <v>1998</v>
      </c>
      <c r="F979" t="s">
        <v>20</v>
      </c>
      <c r="G979" t="s">
        <v>13</v>
      </c>
      <c r="H979" s="2">
        <v>34697.75</v>
      </c>
    </row>
    <row r="980" spans="1:8">
      <c r="A980" t="s">
        <v>44</v>
      </c>
      <c r="B980" t="s">
        <v>45</v>
      </c>
      <c r="C980" t="s">
        <v>10</v>
      </c>
      <c r="D980" t="s">
        <v>33</v>
      </c>
      <c r="E980">
        <v>1998</v>
      </c>
      <c r="F980" t="s">
        <v>20</v>
      </c>
      <c r="G980" t="s">
        <v>17</v>
      </c>
      <c r="H980" s="2">
        <v>369.25</v>
      </c>
    </row>
    <row r="981" spans="1:8">
      <c r="A981" t="s">
        <v>44</v>
      </c>
      <c r="B981" t="s">
        <v>45</v>
      </c>
      <c r="C981" t="s">
        <v>10</v>
      </c>
      <c r="D981" t="s">
        <v>33</v>
      </c>
      <c r="E981">
        <v>1999</v>
      </c>
      <c r="F981" t="s">
        <v>12</v>
      </c>
      <c r="G981" t="s">
        <v>17</v>
      </c>
      <c r="H981" s="2">
        <v>1000.03</v>
      </c>
    </row>
    <row r="982" spans="1:8">
      <c r="A982" t="s">
        <v>44</v>
      </c>
      <c r="B982" t="s">
        <v>45</v>
      </c>
      <c r="C982" t="s">
        <v>10</v>
      </c>
      <c r="D982" t="s">
        <v>33</v>
      </c>
      <c r="E982">
        <v>1999</v>
      </c>
      <c r="F982" t="s">
        <v>18</v>
      </c>
      <c r="G982" t="s">
        <v>15</v>
      </c>
      <c r="H982" s="2">
        <v>5707.47</v>
      </c>
    </row>
    <row r="983" spans="1:8">
      <c r="A983" t="s">
        <v>44</v>
      </c>
      <c r="B983" t="s">
        <v>45</v>
      </c>
      <c r="C983" t="s">
        <v>10</v>
      </c>
      <c r="D983" t="s">
        <v>33</v>
      </c>
      <c r="E983">
        <v>1999</v>
      </c>
      <c r="F983" t="s">
        <v>18</v>
      </c>
      <c r="G983" t="s">
        <v>19</v>
      </c>
      <c r="H983" s="2">
        <v>5345.91</v>
      </c>
    </row>
    <row r="984" spans="1:8">
      <c r="A984" t="s">
        <v>44</v>
      </c>
      <c r="B984" t="s">
        <v>45</v>
      </c>
      <c r="C984" t="s">
        <v>10</v>
      </c>
      <c r="D984" t="s">
        <v>33</v>
      </c>
      <c r="E984">
        <v>1999</v>
      </c>
      <c r="F984" t="s">
        <v>20</v>
      </c>
      <c r="G984" t="s">
        <v>19</v>
      </c>
      <c r="H984" s="2">
        <v>0</v>
      </c>
    </row>
    <row r="985" spans="1:8">
      <c r="A985" t="s">
        <v>44</v>
      </c>
      <c r="B985" t="s">
        <v>45</v>
      </c>
      <c r="C985" t="s">
        <v>10</v>
      </c>
      <c r="D985" t="s">
        <v>33</v>
      </c>
      <c r="E985">
        <v>1999</v>
      </c>
      <c r="F985" t="s">
        <v>14</v>
      </c>
      <c r="G985" t="s">
        <v>19</v>
      </c>
      <c r="H985" s="2">
        <v>0</v>
      </c>
    </row>
    <row r="986" spans="1:8">
      <c r="A986" t="s">
        <v>44</v>
      </c>
      <c r="B986" t="s">
        <v>45</v>
      </c>
      <c r="C986" t="s">
        <v>10</v>
      </c>
      <c r="D986" t="s">
        <v>33</v>
      </c>
      <c r="E986">
        <v>1999</v>
      </c>
      <c r="F986" t="s">
        <v>21</v>
      </c>
      <c r="G986" t="s">
        <v>19</v>
      </c>
      <c r="H986" s="2">
        <v>0</v>
      </c>
    </row>
    <row r="987" spans="1:8">
      <c r="A987" t="s">
        <v>44</v>
      </c>
      <c r="B987" t="s">
        <v>45</v>
      </c>
      <c r="C987" t="s">
        <v>10</v>
      </c>
      <c r="D987" t="s">
        <v>33</v>
      </c>
      <c r="E987">
        <v>1999</v>
      </c>
      <c r="F987" t="s">
        <v>16</v>
      </c>
      <c r="G987" t="s">
        <v>13</v>
      </c>
      <c r="H987" s="2">
        <v>5399.9</v>
      </c>
    </row>
    <row r="988" spans="1:8">
      <c r="A988" t="s">
        <v>44</v>
      </c>
      <c r="B988" t="s">
        <v>45</v>
      </c>
      <c r="C988" t="s">
        <v>10</v>
      </c>
      <c r="D988" t="s">
        <v>33</v>
      </c>
      <c r="E988">
        <v>2000</v>
      </c>
      <c r="F988" t="s">
        <v>22</v>
      </c>
      <c r="G988" t="s">
        <v>19</v>
      </c>
      <c r="H988" s="2">
        <v>0</v>
      </c>
    </row>
    <row r="989" spans="1:8">
      <c r="A989" t="s">
        <v>44</v>
      </c>
      <c r="B989" t="s">
        <v>45</v>
      </c>
      <c r="C989" t="s">
        <v>10</v>
      </c>
      <c r="D989" t="s">
        <v>33</v>
      </c>
      <c r="E989">
        <v>2000</v>
      </c>
      <c r="F989" t="s">
        <v>16</v>
      </c>
      <c r="G989" t="s">
        <v>19</v>
      </c>
      <c r="H989" s="2">
        <v>0</v>
      </c>
    </row>
    <row r="990" spans="1:8">
      <c r="A990" t="s">
        <v>44</v>
      </c>
      <c r="B990" t="s">
        <v>45</v>
      </c>
      <c r="C990" t="s">
        <v>10</v>
      </c>
      <c r="D990" t="s">
        <v>33</v>
      </c>
      <c r="E990">
        <v>2001</v>
      </c>
      <c r="F990" t="s">
        <v>12</v>
      </c>
      <c r="G990" t="s">
        <v>17</v>
      </c>
      <c r="H990" s="2">
        <v>1012.13</v>
      </c>
    </row>
    <row r="991" spans="1:8">
      <c r="A991" t="s">
        <v>44</v>
      </c>
      <c r="B991" t="s">
        <v>45</v>
      </c>
      <c r="C991" t="s">
        <v>10</v>
      </c>
      <c r="D991" t="s">
        <v>33</v>
      </c>
      <c r="E991">
        <v>2001</v>
      </c>
      <c r="F991" t="s">
        <v>20</v>
      </c>
      <c r="G991" t="s">
        <v>13</v>
      </c>
      <c r="H991" s="2">
        <v>36333.760000000002</v>
      </c>
    </row>
    <row r="992" spans="1:8">
      <c r="A992" t="s">
        <v>44</v>
      </c>
      <c r="B992" t="s">
        <v>45</v>
      </c>
      <c r="C992" t="s">
        <v>10</v>
      </c>
      <c r="D992" t="s">
        <v>33</v>
      </c>
      <c r="E992">
        <v>2002</v>
      </c>
      <c r="F992" t="s">
        <v>12</v>
      </c>
      <c r="G992" t="s">
        <v>15</v>
      </c>
      <c r="H992" s="2">
        <v>2637</v>
      </c>
    </row>
    <row r="993" spans="1:8">
      <c r="A993" t="s">
        <v>44</v>
      </c>
      <c r="B993" t="s">
        <v>45</v>
      </c>
      <c r="C993" t="s">
        <v>10</v>
      </c>
      <c r="D993" t="s">
        <v>33</v>
      </c>
      <c r="E993">
        <v>2002</v>
      </c>
      <c r="F993" t="s">
        <v>20</v>
      </c>
      <c r="G993" t="s">
        <v>13</v>
      </c>
      <c r="H993" s="2">
        <v>42776.57</v>
      </c>
    </row>
    <row r="994" spans="1:8">
      <c r="A994" t="s">
        <v>44</v>
      </c>
      <c r="B994" t="s">
        <v>45</v>
      </c>
      <c r="C994" t="s">
        <v>10</v>
      </c>
      <c r="D994" t="s">
        <v>33</v>
      </c>
      <c r="E994">
        <v>2002</v>
      </c>
      <c r="F994" t="s">
        <v>16</v>
      </c>
      <c r="G994" t="s">
        <v>17</v>
      </c>
      <c r="H994" s="2">
        <v>2012.85</v>
      </c>
    </row>
    <row r="995" spans="1:8">
      <c r="A995" t="s">
        <v>44</v>
      </c>
      <c r="B995" t="s">
        <v>45</v>
      </c>
      <c r="C995" t="s">
        <v>10</v>
      </c>
      <c r="D995" t="s">
        <v>33</v>
      </c>
      <c r="E995">
        <v>2003</v>
      </c>
      <c r="F995" t="s">
        <v>12</v>
      </c>
      <c r="G995" t="s">
        <v>17</v>
      </c>
      <c r="H995" s="2">
        <v>1212.3800000000001</v>
      </c>
    </row>
    <row r="996" spans="1:8">
      <c r="A996" t="s">
        <v>44</v>
      </c>
      <c r="B996" t="s">
        <v>45</v>
      </c>
      <c r="C996" t="s">
        <v>10</v>
      </c>
      <c r="D996" t="s">
        <v>33</v>
      </c>
      <c r="E996">
        <v>2003</v>
      </c>
      <c r="F996" t="s">
        <v>14</v>
      </c>
      <c r="G996" t="s">
        <v>19</v>
      </c>
      <c r="H996" s="2">
        <v>0</v>
      </c>
    </row>
    <row r="997" spans="1:8">
      <c r="A997" t="s">
        <v>44</v>
      </c>
      <c r="B997" t="s">
        <v>45</v>
      </c>
      <c r="C997" t="s">
        <v>10</v>
      </c>
      <c r="D997" t="s">
        <v>33</v>
      </c>
      <c r="E997">
        <v>2003</v>
      </c>
      <c r="F997" t="s">
        <v>16</v>
      </c>
      <c r="G997" t="s">
        <v>15</v>
      </c>
      <c r="H997" s="2">
        <v>33376.769999999997</v>
      </c>
    </row>
    <row r="998" spans="1:8">
      <c r="A998" t="s">
        <v>44</v>
      </c>
      <c r="B998" t="s">
        <v>45</v>
      </c>
      <c r="C998" t="s">
        <v>10</v>
      </c>
      <c r="D998" t="s">
        <v>33</v>
      </c>
      <c r="E998">
        <v>2003</v>
      </c>
      <c r="F998" t="s">
        <v>16</v>
      </c>
      <c r="G998" t="s">
        <v>19</v>
      </c>
      <c r="H998" s="2">
        <v>0</v>
      </c>
    </row>
    <row r="999" spans="1:8">
      <c r="A999" t="s">
        <v>44</v>
      </c>
      <c r="B999" t="s">
        <v>45</v>
      </c>
      <c r="C999" t="s">
        <v>10</v>
      </c>
      <c r="D999" t="s">
        <v>33</v>
      </c>
      <c r="E999">
        <v>2004</v>
      </c>
      <c r="F999" t="s">
        <v>12</v>
      </c>
      <c r="G999" t="s">
        <v>15</v>
      </c>
      <c r="H999" s="2">
        <v>3018.26</v>
      </c>
    </row>
    <row r="1000" spans="1:8">
      <c r="A1000" t="s">
        <v>44</v>
      </c>
      <c r="B1000" t="s">
        <v>45</v>
      </c>
      <c r="C1000" t="s">
        <v>10</v>
      </c>
      <c r="D1000" t="s">
        <v>33</v>
      </c>
      <c r="E1000">
        <v>2004</v>
      </c>
      <c r="F1000" t="s">
        <v>12</v>
      </c>
      <c r="G1000" t="s">
        <v>13</v>
      </c>
      <c r="H1000" s="2">
        <v>35909.18</v>
      </c>
    </row>
    <row r="1001" spans="1:8">
      <c r="A1001" t="s">
        <v>44</v>
      </c>
      <c r="B1001" t="s">
        <v>45</v>
      </c>
      <c r="C1001" t="s">
        <v>10</v>
      </c>
      <c r="D1001" t="s">
        <v>33</v>
      </c>
      <c r="E1001">
        <v>2004</v>
      </c>
      <c r="F1001" t="s">
        <v>18</v>
      </c>
      <c r="G1001" t="s">
        <v>19</v>
      </c>
      <c r="H1001" s="2">
        <v>5867.91</v>
      </c>
    </row>
    <row r="1002" spans="1:8">
      <c r="A1002" t="s">
        <v>44</v>
      </c>
      <c r="B1002" t="s">
        <v>45</v>
      </c>
      <c r="C1002" t="s">
        <v>10</v>
      </c>
      <c r="D1002" t="s">
        <v>33</v>
      </c>
      <c r="E1002">
        <v>2004</v>
      </c>
      <c r="F1002" t="s">
        <v>20</v>
      </c>
      <c r="G1002" t="s">
        <v>13</v>
      </c>
      <c r="H1002" s="2">
        <v>48130.23</v>
      </c>
    </row>
    <row r="1003" spans="1:8">
      <c r="A1003" t="s">
        <v>44</v>
      </c>
      <c r="B1003" t="s">
        <v>45</v>
      </c>
      <c r="C1003" t="s">
        <v>10</v>
      </c>
      <c r="D1003" t="s">
        <v>33</v>
      </c>
      <c r="E1003">
        <v>2005</v>
      </c>
      <c r="F1003" t="s">
        <v>12</v>
      </c>
      <c r="G1003" t="s">
        <v>17</v>
      </c>
      <c r="H1003" s="2">
        <v>1103.3699999999999</v>
      </c>
    </row>
    <row r="1004" spans="1:8">
      <c r="A1004" t="s">
        <v>44</v>
      </c>
      <c r="B1004" t="s">
        <v>45</v>
      </c>
      <c r="C1004" t="s">
        <v>10</v>
      </c>
      <c r="D1004" t="s">
        <v>33</v>
      </c>
      <c r="E1004">
        <v>2005</v>
      </c>
      <c r="F1004" t="s">
        <v>14</v>
      </c>
      <c r="G1004" t="s">
        <v>15</v>
      </c>
      <c r="H1004" s="2">
        <v>1356.74</v>
      </c>
    </row>
    <row r="1005" spans="1:8">
      <c r="A1005" t="s">
        <v>44</v>
      </c>
      <c r="B1005" t="s">
        <v>45</v>
      </c>
      <c r="C1005" t="s">
        <v>10</v>
      </c>
      <c r="D1005" t="s">
        <v>33</v>
      </c>
      <c r="E1005">
        <v>2005</v>
      </c>
      <c r="F1005" t="s">
        <v>21</v>
      </c>
      <c r="G1005" t="s">
        <v>19</v>
      </c>
      <c r="H1005" s="2">
        <v>0</v>
      </c>
    </row>
    <row r="1006" spans="1:8">
      <c r="A1006" t="s">
        <v>44</v>
      </c>
      <c r="B1006" t="s">
        <v>45</v>
      </c>
      <c r="C1006" t="s">
        <v>10</v>
      </c>
      <c r="D1006" t="s">
        <v>33</v>
      </c>
      <c r="E1006">
        <v>2005</v>
      </c>
      <c r="F1006" t="s">
        <v>16</v>
      </c>
      <c r="G1006" t="s">
        <v>13</v>
      </c>
      <c r="H1006" s="2">
        <v>6354.97</v>
      </c>
    </row>
    <row r="1007" spans="1:8">
      <c r="A1007" t="s">
        <v>44</v>
      </c>
      <c r="B1007" t="s">
        <v>45</v>
      </c>
      <c r="C1007" t="s">
        <v>10</v>
      </c>
      <c r="D1007" t="s">
        <v>33</v>
      </c>
      <c r="E1007">
        <v>2005</v>
      </c>
      <c r="F1007" t="s">
        <v>16</v>
      </c>
      <c r="G1007" t="s">
        <v>19</v>
      </c>
      <c r="H1007" s="2">
        <v>0</v>
      </c>
    </row>
    <row r="1008" spans="1:8">
      <c r="A1008" t="s">
        <v>44</v>
      </c>
      <c r="B1008" t="s">
        <v>45</v>
      </c>
      <c r="C1008" t="s">
        <v>10</v>
      </c>
      <c r="D1008" t="s">
        <v>33</v>
      </c>
      <c r="E1008">
        <v>2006</v>
      </c>
      <c r="F1008" t="s">
        <v>12</v>
      </c>
      <c r="G1008" t="s">
        <v>13</v>
      </c>
      <c r="H1008" s="2">
        <v>35825.660000000003</v>
      </c>
    </row>
    <row r="1009" spans="1:8">
      <c r="A1009" t="s">
        <v>44</v>
      </c>
      <c r="B1009" t="s">
        <v>45</v>
      </c>
      <c r="C1009" t="s">
        <v>10</v>
      </c>
      <c r="D1009" t="s">
        <v>33</v>
      </c>
      <c r="E1009">
        <v>2006</v>
      </c>
      <c r="F1009" t="s">
        <v>20</v>
      </c>
      <c r="G1009" t="s">
        <v>15</v>
      </c>
      <c r="H1009" s="2">
        <v>415.41</v>
      </c>
    </row>
    <row r="1010" spans="1:8">
      <c r="A1010" t="s">
        <v>44</v>
      </c>
      <c r="B1010" t="s">
        <v>45</v>
      </c>
      <c r="C1010" t="s">
        <v>10</v>
      </c>
      <c r="D1010" t="s">
        <v>33</v>
      </c>
      <c r="E1010">
        <v>2007</v>
      </c>
      <c r="F1010" t="s">
        <v>22</v>
      </c>
      <c r="G1010" t="s">
        <v>15</v>
      </c>
      <c r="H1010" s="2">
        <v>25001.26</v>
      </c>
    </row>
    <row r="1011" spans="1:8">
      <c r="A1011" t="s">
        <v>44</v>
      </c>
      <c r="B1011" t="s">
        <v>45</v>
      </c>
      <c r="C1011" t="s">
        <v>10</v>
      </c>
      <c r="D1011" t="s">
        <v>33</v>
      </c>
      <c r="E1011">
        <v>2007</v>
      </c>
      <c r="F1011" t="s">
        <v>22</v>
      </c>
      <c r="G1011" t="s">
        <v>13</v>
      </c>
      <c r="H1011" s="2">
        <v>3558.17</v>
      </c>
    </row>
    <row r="1012" spans="1:8">
      <c r="A1012" t="s">
        <v>44</v>
      </c>
      <c r="B1012" t="s">
        <v>45</v>
      </c>
      <c r="C1012" t="s">
        <v>10</v>
      </c>
      <c r="D1012" t="s">
        <v>33</v>
      </c>
      <c r="E1012">
        <v>2007</v>
      </c>
      <c r="F1012" t="s">
        <v>12</v>
      </c>
      <c r="G1012" t="s">
        <v>13</v>
      </c>
      <c r="H1012" s="2">
        <v>44094.09</v>
      </c>
    </row>
    <row r="1013" spans="1:8">
      <c r="A1013" t="s">
        <v>44</v>
      </c>
      <c r="B1013" t="s">
        <v>45</v>
      </c>
      <c r="C1013" t="s">
        <v>10</v>
      </c>
      <c r="D1013" t="s">
        <v>33</v>
      </c>
      <c r="E1013">
        <v>2008</v>
      </c>
      <c r="F1013" t="s">
        <v>22</v>
      </c>
      <c r="G1013" t="s">
        <v>15</v>
      </c>
      <c r="H1013" s="2">
        <v>23988.21</v>
      </c>
    </row>
    <row r="1014" spans="1:8">
      <c r="A1014" t="s">
        <v>44</v>
      </c>
      <c r="B1014" t="s">
        <v>45</v>
      </c>
      <c r="C1014" t="s">
        <v>10</v>
      </c>
      <c r="D1014" t="s">
        <v>33</v>
      </c>
      <c r="E1014">
        <v>2008</v>
      </c>
      <c r="F1014" t="s">
        <v>18</v>
      </c>
      <c r="G1014" t="s">
        <v>15</v>
      </c>
      <c r="H1014" s="2">
        <v>6607.84</v>
      </c>
    </row>
    <row r="1015" spans="1:8">
      <c r="A1015" t="s">
        <v>44</v>
      </c>
      <c r="B1015" t="s">
        <v>45</v>
      </c>
      <c r="C1015" t="s">
        <v>10</v>
      </c>
      <c r="D1015" t="s">
        <v>33</v>
      </c>
      <c r="E1015">
        <v>2009</v>
      </c>
      <c r="F1015" t="s">
        <v>12</v>
      </c>
      <c r="G1015" t="s">
        <v>19</v>
      </c>
      <c r="H1015" s="2">
        <v>0</v>
      </c>
    </row>
    <row r="1016" spans="1:8">
      <c r="A1016" t="s">
        <v>44</v>
      </c>
      <c r="B1016" t="s">
        <v>45</v>
      </c>
      <c r="C1016" t="s">
        <v>10</v>
      </c>
      <c r="D1016" t="s">
        <v>33</v>
      </c>
      <c r="E1016">
        <v>2009</v>
      </c>
      <c r="F1016" t="s">
        <v>14</v>
      </c>
      <c r="G1016" t="s">
        <v>15</v>
      </c>
      <c r="H1016" s="2">
        <v>2107.9</v>
      </c>
    </row>
    <row r="1017" spans="1:8">
      <c r="A1017" t="s">
        <v>44</v>
      </c>
      <c r="B1017" t="s">
        <v>45</v>
      </c>
      <c r="C1017" t="s">
        <v>10</v>
      </c>
      <c r="D1017" t="s">
        <v>33</v>
      </c>
      <c r="E1017">
        <v>2009</v>
      </c>
      <c r="F1017" t="s">
        <v>21</v>
      </c>
      <c r="G1017" t="s">
        <v>17</v>
      </c>
      <c r="H1017" s="2">
        <v>1997.38</v>
      </c>
    </row>
    <row r="1018" spans="1:8">
      <c r="A1018" t="s">
        <v>44</v>
      </c>
      <c r="B1018" t="s">
        <v>45</v>
      </c>
      <c r="C1018" t="s">
        <v>10</v>
      </c>
      <c r="D1018" t="s">
        <v>33</v>
      </c>
      <c r="E1018">
        <v>2010</v>
      </c>
      <c r="F1018" t="s">
        <v>18</v>
      </c>
      <c r="G1018" t="s">
        <v>19</v>
      </c>
      <c r="H1018" s="2">
        <v>6975.4</v>
      </c>
    </row>
    <row r="1019" spans="1:8">
      <c r="A1019" t="s">
        <v>44</v>
      </c>
      <c r="B1019" t="s">
        <v>45</v>
      </c>
      <c r="C1019" t="s">
        <v>10</v>
      </c>
      <c r="D1019" t="s">
        <v>33</v>
      </c>
      <c r="E1019">
        <v>2010</v>
      </c>
      <c r="F1019" t="s">
        <v>20</v>
      </c>
      <c r="G1019" t="s">
        <v>15</v>
      </c>
      <c r="H1019" s="2">
        <v>453.95</v>
      </c>
    </row>
    <row r="1020" spans="1:8">
      <c r="A1020" t="s">
        <v>44</v>
      </c>
      <c r="B1020" t="s">
        <v>45</v>
      </c>
      <c r="C1020" t="s">
        <v>10</v>
      </c>
      <c r="D1020" t="s">
        <v>33</v>
      </c>
      <c r="E1020">
        <v>2010</v>
      </c>
      <c r="F1020" t="s">
        <v>21</v>
      </c>
      <c r="G1020" t="s">
        <v>13</v>
      </c>
      <c r="H1020" s="2">
        <v>175418.84</v>
      </c>
    </row>
    <row r="1021" spans="1:8">
      <c r="A1021" t="s">
        <v>44</v>
      </c>
      <c r="B1021" t="s">
        <v>45</v>
      </c>
      <c r="C1021" t="s">
        <v>10</v>
      </c>
      <c r="D1021" t="s">
        <v>33</v>
      </c>
      <c r="E1021">
        <v>2011</v>
      </c>
      <c r="F1021" t="s">
        <v>18</v>
      </c>
      <c r="G1021" t="s">
        <v>19</v>
      </c>
      <c r="H1021" s="2">
        <v>6851.17</v>
      </c>
    </row>
    <row r="1022" spans="1:8">
      <c r="A1022" t="s">
        <v>44</v>
      </c>
      <c r="B1022" t="s">
        <v>45</v>
      </c>
      <c r="C1022" t="s">
        <v>10</v>
      </c>
      <c r="D1022" t="s">
        <v>33</v>
      </c>
      <c r="E1022">
        <v>2011</v>
      </c>
      <c r="F1022" t="s">
        <v>14</v>
      </c>
      <c r="G1022" t="s">
        <v>13</v>
      </c>
      <c r="H1022" s="2">
        <v>52147.48</v>
      </c>
    </row>
    <row r="1023" spans="1:8">
      <c r="A1023" t="s">
        <v>44</v>
      </c>
      <c r="B1023" t="s">
        <v>45</v>
      </c>
      <c r="C1023" t="s">
        <v>10</v>
      </c>
      <c r="D1023" t="s">
        <v>33</v>
      </c>
      <c r="E1023">
        <v>2011</v>
      </c>
      <c r="F1023" t="s">
        <v>14</v>
      </c>
      <c r="G1023" t="s">
        <v>17</v>
      </c>
      <c r="H1023" s="2">
        <v>1264.8599999999999</v>
      </c>
    </row>
    <row r="1024" spans="1:8">
      <c r="A1024" t="s">
        <v>44</v>
      </c>
      <c r="B1024" t="s">
        <v>45</v>
      </c>
      <c r="C1024" t="s">
        <v>10</v>
      </c>
      <c r="D1024" t="s">
        <v>33</v>
      </c>
      <c r="E1024">
        <v>2011</v>
      </c>
      <c r="F1024" t="s">
        <v>16</v>
      </c>
      <c r="G1024" t="s">
        <v>15</v>
      </c>
      <c r="H1024" s="2">
        <v>41141.300000000003</v>
      </c>
    </row>
    <row r="1025" spans="1:8">
      <c r="A1025" t="s">
        <v>44</v>
      </c>
      <c r="B1025" t="s">
        <v>45</v>
      </c>
      <c r="C1025" t="s">
        <v>10</v>
      </c>
      <c r="D1025" t="s">
        <v>33</v>
      </c>
      <c r="E1025">
        <v>2012</v>
      </c>
      <c r="F1025" t="s">
        <v>12</v>
      </c>
      <c r="G1025" t="s">
        <v>13</v>
      </c>
      <c r="H1025" s="2">
        <v>38302.879999999997</v>
      </c>
    </row>
    <row r="1026" spans="1:8">
      <c r="A1026" t="s">
        <v>44</v>
      </c>
      <c r="B1026" t="s">
        <v>45</v>
      </c>
      <c r="C1026" t="s">
        <v>10</v>
      </c>
      <c r="D1026" t="s">
        <v>33</v>
      </c>
      <c r="E1026">
        <v>2012</v>
      </c>
      <c r="F1026" t="s">
        <v>18</v>
      </c>
      <c r="G1026" t="s">
        <v>17</v>
      </c>
      <c r="H1026" s="2">
        <v>6552.83</v>
      </c>
    </row>
    <row r="1027" spans="1:8">
      <c r="A1027" t="s">
        <v>44</v>
      </c>
      <c r="B1027" t="s">
        <v>45</v>
      </c>
      <c r="C1027" t="s">
        <v>10</v>
      </c>
      <c r="D1027" t="s">
        <v>33</v>
      </c>
      <c r="E1027">
        <v>2012</v>
      </c>
      <c r="F1027" t="s">
        <v>21</v>
      </c>
      <c r="G1027" t="s">
        <v>13</v>
      </c>
      <c r="H1027" s="2">
        <v>172396.65</v>
      </c>
    </row>
    <row r="1028" spans="1:8">
      <c r="A1028" t="s">
        <v>44</v>
      </c>
      <c r="B1028" t="s">
        <v>45</v>
      </c>
      <c r="C1028" t="s">
        <v>10</v>
      </c>
      <c r="D1028" t="s">
        <v>33</v>
      </c>
      <c r="E1028">
        <v>2013</v>
      </c>
      <c r="F1028" t="s">
        <v>12</v>
      </c>
      <c r="G1028" t="s">
        <v>19</v>
      </c>
      <c r="H1028" s="2">
        <v>0</v>
      </c>
    </row>
    <row r="1029" spans="1:8">
      <c r="A1029" t="s">
        <v>44</v>
      </c>
      <c r="B1029" t="s">
        <v>45</v>
      </c>
      <c r="C1029" t="s">
        <v>10</v>
      </c>
      <c r="D1029" t="s">
        <v>33</v>
      </c>
      <c r="E1029">
        <v>2013</v>
      </c>
      <c r="F1029" t="s">
        <v>21</v>
      </c>
      <c r="G1029" t="s">
        <v>17</v>
      </c>
      <c r="H1029" s="2">
        <v>1826.71</v>
      </c>
    </row>
    <row r="1030" spans="1:8">
      <c r="A1030" t="s">
        <v>44</v>
      </c>
      <c r="B1030" t="s">
        <v>45</v>
      </c>
      <c r="C1030" t="s">
        <v>10</v>
      </c>
      <c r="D1030" t="s">
        <v>33</v>
      </c>
      <c r="E1030">
        <v>2014</v>
      </c>
      <c r="F1030" t="s">
        <v>12</v>
      </c>
      <c r="G1030" t="s">
        <v>13</v>
      </c>
      <c r="H1030" s="2">
        <v>42260.97</v>
      </c>
    </row>
    <row r="1031" spans="1:8">
      <c r="A1031" t="s">
        <v>44</v>
      </c>
      <c r="B1031" t="s">
        <v>45</v>
      </c>
      <c r="C1031" t="s">
        <v>10</v>
      </c>
      <c r="D1031" t="s">
        <v>33</v>
      </c>
      <c r="E1031">
        <v>2014</v>
      </c>
      <c r="F1031" t="s">
        <v>12</v>
      </c>
      <c r="G1031" t="s">
        <v>17</v>
      </c>
      <c r="H1031" s="2">
        <v>1594.66</v>
      </c>
    </row>
    <row r="1032" spans="1:8">
      <c r="A1032" t="s">
        <v>44</v>
      </c>
      <c r="B1032" t="s">
        <v>45</v>
      </c>
      <c r="C1032" t="s">
        <v>10</v>
      </c>
      <c r="D1032" t="s">
        <v>33</v>
      </c>
      <c r="E1032">
        <v>2014</v>
      </c>
      <c r="F1032" t="s">
        <v>20</v>
      </c>
      <c r="G1032" t="s">
        <v>19</v>
      </c>
      <c r="H1032" s="2">
        <v>0</v>
      </c>
    </row>
    <row r="1033" spans="1:8">
      <c r="A1033" t="s">
        <v>44</v>
      </c>
      <c r="B1033" t="s">
        <v>45</v>
      </c>
      <c r="C1033" t="s">
        <v>10</v>
      </c>
      <c r="D1033" t="s">
        <v>33</v>
      </c>
      <c r="E1033">
        <v>2014</v>
      </c>
      <c r="F1033" t="s">
        <v>20</v>
      </c>
      <c r="G1033" t="s">
        <v>17</v>
      </c>
      <c r="H1033" s="2">
        <v>609.28</v>
      </c>
    </row>
    <row r="1034" spans="1:8">
      <c r="A1034" t="s">
        <v>44</v>
      </c>
      <c r="B1034" t="s">
        <v>45</v>
      </c>
      <c r="C1034" t="s">
        <v>10</v>
      </c>
      <c r="D1034" t="s">
        <v>33</v>
      </c>
      <c r="E1034">
        <v>2014</v>
      </c>
      <c r="F1034" t="s">
        <v>16</v>
      </c>
      <c r="G1034" t="s">
        <v>17</v>
      </c>
      <c r="H1034" s="2">
        <v>2705.01</v>
      </c>
    </row>
    <row r="1035" spans="1:8">
      <c r="A1035" t="s">
        <v>44</v>
      </c>
      <c r="B1035" t="s">
        <v>45</v>
      </c>
      <c r="C1035" t="s">
        <v>10</v>
      </c>
      <c r="D1035" t="s">
        <v>33</v>
      </c>
      <c r="E1035">
        <v>2015</v>
      </c>
      <c r="F1035" t="s">
        <v>22</v>
      </c>
      <c r="G1035" t="s">
        <v>19</v>
      </c>
      <c r="H1035" s="2">
        <v>0</v>
      </c>
    </row>
    <row r="1036" spans="1:8">
      <c r="A1036" t="s">
        <v>44</v>
      </c>
      <c r="B1036" t="s">
        <v>45</v>
      </c>
      <c r="C1036" t="s">
        <v>10</v>
      </c>
      <c r="D1036" t="s">
        <v>33</v>
      </c>
      <c r="E1036">
        <v>2015</v>
      </c>
      <c r="F1036" t="s">
        <v>18</v>
      </c>
      <c r="G1036" t="s">
        <v>13</v>
      </c>
      <c r="H1036" s="2">
        <v>110468.18</v>
      </c>
    </row>
    <row r="1037" spans="1:8">
      <c r="A1037" t="s">
        <v>44</v>
      </c>
      <c r="B1037" t="s">
        <v>45</v>
      </c>
      <c r="C1037" t="s">
        <v>10</v>
      </c>
      <c r="D1037" t="s">
        <v>33</v>
      </c>
      <c r="E1037">
        <v>2016</v>
      </c>
      <c r="F1037" t="s">
        <v>12</v>
      </c>
      <c r="G1037" t="s">
        <v>17</v>
      </c>
      <c r="H1037" s="2">
        <v>1462.95</v>
      </c>
    </row>
    <row r="1038" spans="1:8">
      <c r="A1038" t="s">
        <v>44</v>
      </c>
      <c r="B1038" t="s">
        <v>45</v>
      </c>
      <c r="C1038" t="s">
        <v>10</v>
      </c>
      <c r="D1038" t="s">
        <v>33</v>
      </c>
      <c r="E1038">
        <v>2016</v>
      </c>
      <c r="F1038" t="s">
        <v>14</v>
      </c>
      <c r="G1038" t="s">
        <v>19</v>
      </c>
      <c r="H1038" s="2">
        <v>0</v>
      </c>
    </row>
    <row r="1039" spans="1:8">
      <c r="A1039" t="s">
        <v>44</v>
      </c>
      <c r="B1039" t="s">
        <v>45</v>
      </c>
      <c r="C1039" t="s">
        <v>10</v>
      </c>
      <c r="D1039" t="s">
        <v>33</v>
      </c>
      <c r="E1039">
        <v>2016</v>
      </c>
      <c r="F1039" t="s">
        <v>21</v>
      </c>
      <c r="G1039" t="s">
        <v>13</v>
      </c>
      <c r="H1039" s="2">
        <v>217067.33</v>
      </c>
    </row>
    <row r="1040" spans="1:8">
      <c r="A1040" t="s">
        <v>44</v>
      </c>
      <c r="B1040" t="s">
        <v>45</v>
      </c>
      <c r="C1040" t="s">
        <v>10</v>
      </c>
      <c r="D1040" t="s">
        <v>33</v>
      </c>
      <c r="E1040">
        <v>2016</v>
      </c>
      <c r="F1040" t="s">
        <v>21</v>
      </c>
      <c r="G1040" t="s">
        <v>17</v>
      </c>
      <c r="H1040" s="2">
        <v>1995.13</v>
      </c>
    </row>
    <row r="1041" spans="1:8">
      <c r="A1041" t="s">
        <v>44</v>
      </c>
      <c r="B1041" t="s">
        <v>45</v>
      </c>
      <c r="C1041" t="s">
        <v>10</v>
      </c>
      <c r="D1041" t="s">
        <v>33</v>
      </c>
      <c r="E1041">
        <v>2017</v>
      </c>
      <c r="F1041" t="s">
        <v>20</v>
      </c>
      <c r="G1041" t="s">
        <v>19</v>
      </c>
      <c r="H1041" s="2">
        <v>0</v>
      </c>
    </row>
    <row r="1042" spans="1:8">
      <c r="A1042" t="s">
        <v>44</v>
      </c>
      <c r="B1042" t="s">
        <v>45</v>
      </c>
      <c r="C1042" t="s">
        <v>10</v>
      </c>
      <c r="D1042" t="s">
        <v>33</v>
      </c>
      <c r="E1042">
        <v>2017</v>
      </c>
      <c r="F1042" t="s">
        <v>14</v>
      </c>
      <c r="G1042" t="s">
        <v>13</v>
      </c>
      <c r="H1042" s="2">
        <v>65420.2</v>
      </c>
    </row>
    <row r="1043" spans="1:8">
      <c r="A1043" t="s">
        <v>44</v>
      </c>
      <c r="B1043" t="s">
        <v>45</v>
      </c>
      <c r="C1043" t="s">
        <v>10</v>
      </c>
      <c r="D1043" t="s">
        <v>33</v>
      </c>
      <c r="E1043">
        <v>2018</v>
      </c>
      <c r="F1043" t="s">
        <v>22</v>
      </c>
      <c r="G1043" t="s">
        <v>15</v>
      </c>
      <c r="H1043" s="2">
        <v>31319.06</v>
      </c>
    </row>
    <row r="1044" spans="1:8">
      <c r="A1044" t="s">
        <v>44</v>
      </c>
      <c r="B1044" t="s">
        <v>45</v>
      </c>
      <c r="C1044" t="s">
        <v>10</v>
      </c>
      <c r="D1044" t="s">
        <v>33</v>
      </c>
      <c r="E1044">
        <v>2018</v>
      </c>
      <c r="F1044" t="s">
        <v>12</v>
      </c>
      <c r="G1044" t="s">
        <v>19</v>
      </c>
      <c r="H1044" s="2">
        <v>0</v>
      </c>
    </row>
    <row r="1045" spans="1:8">
      <c r="A1045" t="s">
        <v>44</v>
      </c>
      <c r="B1045" t="s">
        <v>45</v>
      </c>
      <c r="C1045" t="s">
        <v>10</v>
      </c>
      <c r="D1045" t="s">
        <v>33</v>
      </c>
      <c r="E1045">
        <v>2018</v>
      </c>
      <c r="F1045" t="s">
        <v>20</v>
      </c>
      <c r="G1045" t="s">
        <v>17</v>
      </c>
      <c r="H1045" s="2">
        <v>575.28</v>
      </c>
    </row>
    <row r="1046" spans="1:8">
      <c r="A1046" t="s">
        <v>44</v>
      </c>
      <c r="B1046" t="s">
        <v>45</v>
      </c>
      <c r="C1046" t="s">
        <v>10</v>
      </c>
      <c r="D1046" t="s">
        <v>33</v>
      </c>
      <c r="E1046">
        <v>2018</v>
      </c>
      <c r="F1046" t="s">
        <v>16</v>
      </c>
      <c r="G1046" t="s">
        <v>15</v>
      </c>
      <c r="H1046" s="2">
        <v>45697.55</v>
      </c>
    </row>
    <row r="1047" spans="1:8">
      <c r="A1047" t="s">
        <v>44</v>
      </c>
      <c r="B1047" t="s">
        <v>45</v>
      </c>
      <c r="C1047" t="s">
        <v>10</v>
      </c>
      <c r="D1047" t="s">
        <v>33</v>
      </c>
      <c r="E1047">
        <v>2018</v>
      </c>
      <c r="F1047" t="s">
        <v>16</v>
      </c>
      <c r="G1047" t="s">
        <v>17</v>
      </c>
      <c r="H1047" s="2">
        <v>2769.37</v>
      </c>
    </row>
    <row r="1048" spans="1:8">
      <c r="A1048" t="s">
        <v>44</v>
      </c>
      <c r="B1048" t="s">
        <v>45</v>
      </c>
      <c r="C1048" t="s">
        <v>10</v>
      </c>
      <c r="D1048" t="s">
        <v>33</v>
      </c>
      <c r="E1048">
        <v>2019</v>
      </c>
      <c r="F1048" t="s">
        <v>18</v>
      </c>
      <c r="G1048" t="s">
        <v>19</v>
      </c>
      <c r="H1048" s="2">
        <v>7228.6</v>
      </c>
    </row>
    <row r="1049" spans="1:8">
      <c r="A1049" t="s">
        <v>44</v>
      </c>
      <c r="B1049" t="s">
        <v>45</v>
      </c>
      <c r="C1049" t="s">
        <v>10</v>
      </c>
      <c r="D1049" t="s">
        <v>33</v>
      </c>
      <c r="E1049">
        <v>2019</v>
      </c>
      <c r="F1049" t="s">
        <v>18</v>
      </c>
      <c r="G1049" t="s">
        <v>17</v>
      </c>
      <c r="H1049" s="2">
        <v>8211.5400000000009</v>
      </c>
    </row>
    <row r="1050" spans="1:8">
      <c r="A1050" t="s">
        <v>44</v>
      </c>
      <c r="B1050" t="s">
        <v>45</v>
      </c>
      <c r="C1050" t="s">
        <v>10</v>
      </c>
      <c r="D1050" t="s">
        <v>33</v>
      </c>
      <c r="E1050">
        <v>2020</v>
      </c>
      <c r="F1050" t="s">
        <v>18</v>
      </c>
      <c r="G1050" t="s">
        <v>19</v>
      </c>
      <c r="H1050" s="2">
        <v>8314.23</v>
      </c>
    </row>
    <row r="1051" spans="1:8">
      <c r="A1051" t="s">
        <v>44</v>
      </c>
      <c r="B1051" t="s">
        <v>45</v>
      </c>
      <c r="C1051" t="s">
        <v>10</v>
      </c>
      <c r="D1051" t="s">
        <v>33</v>
      </c>
      <c r="E1051">
        <v>2020</v>
      </c>
      <c r="F1051" t="s">
        <v>21</v>
      </c>
      <c r="G1051" t="s">
        <v>13</v>
      </c>
      <c r="H1051" s="2">
        <v>201453.24</v>
      </c>
    </row>
    <row r="1052" spans="1:8">
      <c r="A1052" t="s">
        <v>44</v>
      </c>
      <c r="B1052" t="s">
        <v>45</v>
      </c>
      <c r="C1052" t="s">
        <v>10</v>
      </c>
      <c r="D1052" t="s">
        <v>33</v>
      </c>
      <c r="E1052">
        <v>2020</v>
      </c>
      <c r="F1052" t="s">
        <v>16</v>
      </c>
      <c r="G1052" t="s">
        <v>19</v>
      </c>
      <c r="H1052" s="2">
        <v>0</v>
      </c>
    </row>
    <row r="1053" spans="1:8">
      <c r="A1053" t="s">
        <v>44</v>
      </c>
      <c r="B1053" t="s">
        <v>45</v>
      </c>
      <c r="C1053" t="s">
        <v>10</v>
      </c>
      <c r="D1053" t="s">
        <v>33</v>
      </c>
      <c r="E1053">
        <v>2021</v>
      </c>
      <c r="F1053" t="s">
        <v>18</v>
      </c>
      <c r="G1053" t="s">
        <v>13</v>
      </c>
      <c r="H1053" s="2">
        <v>154770.01999999999</v>
      </c>
    </row>
    <row r="1054" spans="1:8">
      <c r="A1054" t="s">
        <v>44</v>
      </c>
      <c r="B1054" t="s">
        <v>45</v>
      </c>
      <c r="C1054" t="s">
        <v>10</v>
      </c>
      <c r="D1054" t="s">
        <v>33</v>
      </c>
      <c r="E1054">
        <v>2021</v>
      </c>
      <c r="F1054" t="s">
        <v>20</v>
      </c>
      <c r="G1054" t="s">
        <v>17</v>
      </c>
      <c r="H1054" s="2">
        <v>569.41999999999996</v>
      </c>
    </row>
    <row r="1055" spans="1:8">
      <c r="A1055" t="s">
        <v>44</v>
      </c>
      <c r="B1055" t="s">
        <v>45</v>
      </c>
      <c r="C1055" t="s">
        <v>10</v>
      </c>
      <c r="D1055" t="s">
        <v>33</v>
      </c>
      <c r="E1055">
        <v>2021</v>
      </c>
      <c r="F1055" t="s">
        <v>14</v>
      </c>
      <c r="G1055" t="s">
        <v>17</v>
      </c>
      <c r="H1055" s="2">
        <v>1406.08</v>
      </c>
    </row>
    <row r="1056" spans="1:8">
      <c r="A1056" t="s">
        <v>44</v>
      </c>
      <c r="B1056" t="s">
        <v>45</v>
      </c>
      <c r="C1056" t="s">
        <v>10</v>
      </c>
      <c r="D1056" t="s">
        <v>33</v>
      </c>
      <c r="E1056">
        <v>2022</v>
      </c>
      <c r="F1056" t="s">
        <v>18</v>
      </c>
      <c r="G1056" t="s">
        <v>13</v>
      </c>
      <c r="H1056" s="2">
        <v>138128.82999999999</v>
      </c>
    </row>
    <row r="1057" spans="1:8">
      <c r="A1057" t="s">
        <v>44</v>
      </c>
      <c r="B1057" t="s">
        <v>45</v>
      </c>
      <c r="C1057" t="s">
        <v>10</v>
      </c>
      <c r="D1057" t="s">
        <v>33</v>
      </c>
      <c r="E1057">
        <v>2022</v>
      </c>
      <c r="F1057" t="s">
        <v>14</v>
      </c>
      <c r="G1057" t="s">
        <v>15</v>
      </c>
      <c r="H1057" s="2">
        <v>2096.91</v>
      </c>
    </row>
    <row r="1058" spans="1:8">
      <c r="A1058" t="s">
        <v>44</v>
      </c>
      <c r="B1058" t="s">
        <v>45</v>
      </c>
      <c r="C1058" t="s">
        <v>10</v>
      </c>
      <c r="D1058" t="s">
        <v>33</v>
      </c>
      <c r="E1058">
        <v>2022</v>
      </c>
      <c r="F1058" t="s">
        <v>21</v>
      </c>
      <c r="G1058" t="s">
        <v>15</v>
      </c>
      <c r="H1058" s="2">
        <v>4262.26</v>
      </c>
    </row>
    <row r="1059" spans="1:8">
      <c r="A1059" t="s">
        <v>44</v>
      </c>
      <c r="B1059" t="s">
        <v>45</v>
      </c>
      <c r="C1059" t="s">
        <v>10</v>
      </c>
      <c r="D1059" t="s">
        <v>33</v>
      </c>
      <c r="E1059">
        <v>2023</v>
      </c>
      <c r="F1059" t="s">
        <v>12</v>
      </c>
      <c r="G1059" t="s">
        <v>15</v>
      </c>
      <c r="H1059" s="2">
        <v>3822.38</v>
      </c>
    </row>
    <row r="1060" spans="1:8">
      <c r="A1060" t="s">
        <v>44</v>
      </c>
      <c r="B1060" t="s">
        <v>45</v>
      </c>
      <c r="C1060" t="s">
        <v>10</v>
      </c>
      <c r="D1060" t="s">
        <v>33</v>
      </c>
      <c r="E1060">
        <v>2023</v>
      </c>
      <c r="F1060" t="s">
        <v>18</v>
      </c>
      <c r="G1060" t="s">
        <v>17</v>
      </c>
      <c r="H1060" s="2">
        <v>8344.2999999999993</v>
      </c>
    </row>
    <row r="1061" spans="1:8">
      <c r="A1061" t="s">
        <v>44</v>
      </c>
      <c r="B1061" t="s">
        <v>45</v>
      </c>
      <c r="C1061" t="s">
        <v>10</v>
      </c>
      <c r="D1061" t="s">
        <v>33</v>
      </c>
      <c r="E1061">
        <v>2023</v>
      </c>
      <c r="F1061" t="s">
        <v>20</v>
      </c>
      <c r="G1061" t="s">
        <v>15</v>
      </c>
      <c r="H1061" s="2">
        <v>643.1</v>
      </c>
    </row>
    <row r="1062" spans="1:8">
      <c r="A1062" t="s">
        <v>44</v>
      </c>
      <c r="B1062" t="s">
        <v>45</v>
      </c>
      <c r="C1062" t="s">
        <v>10</v>
      </c>
      <c r="D1062" t="s">
        <v>33</v>
      </c>
      <c r="E1062">
        <v>2023</v>
      </c>
      <c r="F1062" t="s">
        <v>16</v>
      </c>
      <c r="G1062" t="s">
        <v>19</v>
      </c>
      <c r="H1062" s="2">
        <v>0</v>
      </c>
    </row>
    <row r="1063" spans="1:8">
      <c r="A1063" t="s">
        <v>44</v>
      </c>
      <c r="B1063" t="s">
        <v>45</v>
      </c>
      <c r="C1063" t="s">
        <v>10</v>
      </c>
      <c r="D1063" t="s">
        <v>33</v>
      </c>
      <c r="E1063">
        <v>2024</v>
      </c>
      <c r="F1063" t="s">
        <v>14</v>
      </c>
      <c r="G1063" t="s">
        <v>17</v>
      </c>
      <c r="H1063" s="2">
        <v>1374.11</v>
      </c>
    </row>
    <row r="1064" spans="1:8">
      <c r="A1064" t="s">
        <v>46</v>
      </c>
      <c r="B1064" t="s">
        <v>47</v>
      </c>
      <c r="C1064" t="s">
        <v>10</v>
      </c>
      <c r="D1064" t="s">
        <v>48</v>
      </c>
      <c r="E1064">
        <v>1990</v>
      </c>
      <c r="F1064" t="s">
        <v>20</v>
      </c>
      <c r="G1064" t="s">
        <v>15</v>
      </c>
      <c r="H1064" s="2">
        <v>104.84</v>
      </c>
    </row>
    <row r="1065" spans="1:8">
      <c r="A1065" t="s">
        <v>46</v>
      </c>
      <c r="B1065" t="s">
        <v>47</v>
      </c>
      <c r="C1065" t="s">
        <v>10</v>
      </c>
      <c r="D1065" t="s">
        <v>48</v>
      </c>
      <c r="E1065">
        <v>1990</v>
      </c>
      <c r="F1065" t="s">
        <v>21</v>
      </c>
      <c r="G1065" t="s">
        <v>19</v>
      </c>
      <c r="H1065" s="2">
        <v>0</v>
      </c>
    </row>
    <row r="1066" spans="1:8">
      <c r="A1066" t="s">
        <v>46</v>
      </c>
      <c r="B1066" t="s">
        <v>47</v>
      </c>
      <c r="C1066" t="s">
        <v>10</v>
      </c>
      <c r="D1066" t="s">
        <v>48</v>
      </c>
      <c r="E1066">
        <v>1991</v>
      </c>
      <c r="F1066" t="s">
        <v>22</v>
      </c>
      <c r="G1066" t="s">
        <v>19</v>
      </c>
      <c r="H1066" s="2">
        <v>0</v>
      </c>
    </row>
    <row r="1067" spans="1:8">
      <c r="A1067" t="s">
        <v>46</v>
      </c>
      <c r="B1067" t="s">
        <v>47</v>
      </c>
      <c r="C1067" t="s">
        <v>10</v>
      </c>
      <c r="D1067" t="s">
        <v>48</v>
      </c>
      <c r="E1067">
        <v>1991</v>
      </c>
      <c r="F1067" t="s">
        <v>14</v>
      </c>
      <c r="G1067" t="s">
        <v>19</v>
      </c>
      <c r="H1067" s="2">
        <v>0</v>
      </c>
    </row>
    <row r="1068" spans="1:8">
      <c r="A1068" t="s">
        <v>46</v>
      </c>
      <c r="B1068" t="s">
        <v>47</v>
      </c>
      <c r="C1068" t="s">
        <v>10</v>
      </c>
      <c r="D1068" t="s">
        <v>48</v>
      </c>
      <c r="E1068">
        <v>1992</v>
      </c>
      <c r="F1068" t="s">
        <v>22</v>
      </c>
      <c r="G1068" t="s">
        <v>15</v>
      </c>
      <c r="H1068" s="2">
        <v>28118.2</v>
      </c>
    </row>
    <row r="1069" spans="1:8">
      <c r="A1069" t="s">
        <v>46</v>
      </c>
      <c r="B1069" t="s">
        <v>47</v>
      </c>
      <c r="C1069" t="s">
        <v>10</v>
      </c>
      <c r="D1069" t="s">
        <v>48</v>
      </c>
      <c r="E1069">
        <v>1992</v>
      </c>
      <c r="F1069" t="s">
        <v>12</v>
      </c>
      <c r="G1069" t="s">
        <v>15</v>
      </c>
      <c r="H1069" s="2">
        <v>1144.01</v>
      </c>
    </row>
    <row r="1070" spans="1:8">
      <c r="A1070" t="s">
        <v>46</v>
      </c>
      <c r="B1070" t="s">
        <v>47</v>
      </c>
      <c r="C1070" t="s">
        <v>10</v>
      </c>
      <c r="D1070" t="s">
        <v>48</v>
      </c>
      <c r="E1070">
        <v>1992</v>
      </c>
      <c r="F1070" t="s">
        <v>18</v>
      </c>
      <c r="G1070" t="s">
        <v>15</v>
      </c>
      <c r="H1070" s="2">
        <v>582.22</v>
      </c>
    </row>
    <row r="1071" spans="1:8">
      <c r="A1071" t="s">
        <v>46</v>
      </c>
      <c r="B1071" t="s">
        <v>47</v>
      </c>
      <c r="C1071" t="s">
        <v>10</v>
      </c>
      <c r="D1071" t="s">
        <v>48</v>
      </c>
      <c r="E1071">
        <v>1993</v>
      </c>
      <c r="F1071" t="s">
        <v>14</v>
      </c>
      <c r="G1071" t="s">
        <v>15</v>
      </c>
      <c r="H1071" s="2">
        <v>1321.62</v>
      </c>
    </row>
    <row r="1072" spans="1:8">
      <c r="A1072" t="s">
        <v>46</v>
      </c>
      <c r="B1072" t="s">
        <v>47</v>
      </c>
      <c r="C1072" t="s">
        <v>10</v>
      </c>
      <c r="D1072" t="s">
        <v>48</v>
      </c>
      <c r="E1072">
        <v>1994</v>
      </c>
      <c r="F1072" t="s">
        <v>12</v>
      </c>
      <c r="G1072" t="s">
        <v>15</v>
      </c>
      <c r="H1072" s="2">
        <v>1097.56</v>
      </c>
    </row>
    <row r="1073" spans="1:8">
      <c r="A1073" t="s">
        <v>46</v>
      </c>
      <c r="B1073" t="s">
        <v>47</v>
      </c>
      <c r="C1073" t="s">
        <v>10</v>
      </c>
      <c r="D1073" t="s">
        <v>48</v>
      </c>
      <c r="E1073">
        <v>1994</v>
      </c>
      <c r="F1073" t="s">
        <v>12</v>
      </c>
      <c r="G1073" t="s">
        <v>19</v>
      </c>
      <c r="H1073" s="2">
        <v>0</v>
      </c>
    </row>
    <row r="1074" spans="1:8">
      <c r="A1074" t="s">
        <v>46</v>
      </c>
      <c r="B1074" t="s">
        <v>47</v>
      </c>
      <c r="C1074" t="s">
        <v>10</v>
      </c>
      <c r="D1074" t="s">
        <v>48</v>
      </c>
      <c r="E1074">
        <v>1994</v>
      </c>
      <c r="F1074" t="s">
        <v>14</v>
      </c>
      <c r="G1074" t="s">
        <v>17</v>
      </c>
      <c r="H1074" s="2">
        <v>976.91</v>
      </c>
    </row>
    <row r="1075" spans="1:8">
      <c r="A1075" t="s">
        <v>46</v>
      </c>
      <c r="B1075" t="s">
        <v>47</v>
      </c>
      <c r="C1075" t="s">
        <v>10</v>
      </c>
      <c r="D1075" t="s">
        <v>48</v>
      </c>
      <c r="E1075">
        <v>1994</v>
      </c>
      <c r="F1075" t="s">
        <v>21</v>
      </c>
      <c r="G1075" t="s">
        <v>17</v>
      </c>
      <c r="H1075" s="2">
        <v>315.14</v>
      </c>
    </row>
    <row r="1076" spans="1:8">
      <c r="A1076" t="s">
        <v>46</v>
      </c>
      <c r="B1076" t="s">
        <v>47</v>
      </c>
      <c r="C1076" t="s">
        <v>10</v>
      </c>
      <c r="D1076" t="s">
        <v>48</v>
      </c>
      <c r="E1076">
        <v>1995</v>
      </c>
      <c r="F1076" t="s">
        <v>20</v>
      </c>
      <c r="G1076" t="s">
        <v>19</v>
      </c>
      <c r="H1076" s="2">
        <v>0</v>
      </c>
    </row>
    <row r="1077" spans="1:8">
      <c r="A1077" t="s">
        <v>46</v>
      </c>
      <c r="B1077" t="s">
        <v>47</v>
      </c>
      <c r="C1077" t="s">
        <v>10</v>
      </c>
      <c r="D1077" t="s">
        <v>48</v>
      </c>
      <c r="E1077">
        <v>1995</v>
      </c>
      <c r="F1077" t="s">
        <v>16</v>
      </c>
      <c r="G1077" t="s">
        <v>15</v>
      </c>
      <c r="H1077" s="2">
        <v>13170.59</v>
      </c>
    </row>
    <row r="1078" spans="1:8">
      <c r="A1078" t="s">
        <v>46</v>
      </c>
      <c r="B1078" t="s">
        <v>47</v>
      </c>
      <c r="C1078" t="s">
        <v>10</v>
      </c>
      <c r="D1078" t="s">
        <v>48</v>
      </c>
      <c r="E1078">
        <v>1995</v>
      </c>
      <c r="F1078" t="s">
        <v>16</v>
      </c>
      <c r="G1078" t="s">
        <v>17</v>
      </c>
      <c r="H1078" s="2">
        <v>798.67</v>
      </c>
    </row>
    <row r="1079" spans="1:8">
      <c r="A1079" t="s">
        <v>46</v>
      </c>
      <c r="B1079" t="s">
        <v>47</v>
      </c>
      <c r="C1079" t="s">
        <v>10</v>
      </c>
      <c r="D1079" t="s">
        <v>48</v>
      </c>
      <c r="E1079">
        <v>1996</v>
      </c>
      <c r="F1079" t="s">
        <v>12</v>
      </c>
      <c r="G1079" t="s">
        <v>13</v>
      </c>
      <c r="H1079" s="2">
        <v>14486.81</v>
      </c>
    </row>
    <row r="1080" spans="1:8">
      <c r="A1080" t="s">
        <v>46</v>
      </c>
      <c r="B1080" t="s">
        <v>47</v>
      </c>
      <c r="C1080" t="s">
        <v>10</v>
      </c>
      <c r="D1080" t="s">
        <v>48</v>
      </c>
      <c r="E1080">
        <v>1996</v>
      </c>
      <c r="F1080" t="s">
        <v>18</v>
      </c>
      <c r="G1080" t="s">
        <v>13</v>
      </c>
      <c r="H1080" s="2">
        <v>10562.14</v>
      </c>
    </row>
    <row r="1081" spans="1:8">
      <c r="A1081" t="s">
        <v>46</v>
      </c>
      <c r="B1081" t="s">
        <v>47</v>
      </c>
      <c r="C1081" t="s">
        <v>10</v>
      </c>
      <c r="D1081" t="s">
        <v>48</v>
      </c>
      <c r="E1081">
        <v>1996</v>
      </c>
      <c r="F1081" t="s">
        <v>20</v>
      </c>
      <c r="G1081" t="s">
        <v>13</v>
      </c>
      <c r="H1081" s="2">
        <v>15027.92</v>
      </c>
    </row>
    <row r="1082" spans="1:8">
      <c r="A1082" t="s">
        <v>46</v>
      </c>
      <c r="B1082" t="s">
        <v>47</v>
      </c>
      <c r="C1082" t="s">
        <v>10</v>
      </c>
      <c r="D1082" t="s">
        <v>48</v>
      </c>
      <c r="E1082">
        <v>1997</v>
      </c>
      <c r="F1082" t="s">
        <v>18</v>
      </c>
      <c r="G1082" t="s">
        <v>13</v>
      </c>
      <c r="H1082" s="2">
        <v>10729.93</v>
      </c>
    </row>
    <row r="1083" spans="1:8">
      <c r="A1083" t="s">
        <v>46</v>
      </c>
      <c r="B1083" t="s">
        <v>47</v>
      </c>
      <c r="C1083" t="s">
        <v>10</v>
      </c>
      <c r="D1083" t="s">
        <v>48</v>
      </c>
      <c r="E1083">
        <v>1997</v>
      </c>
      <c r="F1083" t="s">
        <v>20</v>
      </c>
      <c r="G1083" t="s">
        <v>19</v>
      </c>
      <c r="H1083" s="2">
        <v>0</v>
      </c>
    </row>
    <row r="1084" spans="1:8">
      <c r="A1084" t="s">
        <v>46</v>
      </c>
      <c r="B1084" t="s">
        <v>47</v>
      </c>
      <c r="C1084" t="s">
        <v>10</v>
      </c>
      <c r="D1084" t="s">
        <v>48</v>
      </c>
      <c r="E1084">
        <v>1997</v>
      </c>
      <c r="F1084" t="s">
        <v>14</v>
      </c>
      <c r="G1084" t="s">
        <v>17</v>
      </c>
      <c r="H1084" s="2">
        <v>997.93</v>
      </c>
    </row>
    <row r="1085" spans="1:8">
      <c r="A1085" t="s">
        <v>46</v>
      </c>
      <c r="B1085" t="s">
        <v>47</v>
      </c>
      <c r="C1085" t="s">
        <v>10</v>
      </c>
      <c r="D1085" t="s">
        <v>48</v>
      </c>
      <c r="E1085">
        <v>1997</v>
      </c>
      <c r="F1085" t="s">
        <v>16</v>
      </c>
      <c r="G1085" t="s">
        <v>15</v>
      </c>
      <c r="H1085" s="2">
        <v>11492.03</v>
      </c>
    </row>
    <row r="1086" spans="1:8">
      <c r="A1086" t="s">
        <v>46</v>
      </c>
      <c r="B1086" t="s">
        <v>47</v>
      </c>
      <c r="C1086" t="s">
        <v>10</v>
      </c>
      <c r="D1086" t="s">
        <v>48</v>
      </c>
      <c r="E1086">
        <v>1998</v>
      </c>
      <c r="F1086" t="s">
        <v>12</v>
      </c>
      <c r="G1086" t="s">
        <v>15</v>
      </c>
      <c r="H1086" s="2">
        <v>1153.4000000000001</v>
      </c>
    </row>
    <row r="1087" spans="1:8">
      <c r="A1087" t="s">
        <v>46</v>
      </c>
      <c r="B1087" t="s">
        <v>47</v>
      </c>
      <c r="C1087" t="s">
        <v>10</v>
      </c>
      <c r="D1087" t="s">
        <v>48</v>
      </c>
      <c r="E1087">
        <v>1998</v>
      </c>
      <c r="F1087" t="s">
        <v>14</v>
      </c>
      <c r="G1087" t="s">
        <v>15</v>
      </c>
      <c r="H1087" s="2">
        <v>1542.11</v>
      </c>
    </row>
    <row r="1088" spans="1:8">
      <c r="A1088" t="s">
        <v>46</v>
      </c>
      <c r="B1088" t="s">
        <v>47</v>
      </c>
      <c r="C1088" t="s">
        <v>10</v>
      </c>
      <c r="D1088" t="s">
        <v>48</v>
      </c>
      <c r="E1088">
        <v>1998</v>
      </c>
      <c r="F1088" t="s">
        <v>14</v>
      </c>
      <c r="G1088" t="s">
        <v>19</v>
      </c>
      <c r="H1088" s="2">
        <v>0</v>
      </c>
    </row>
    <row r="1089" spans="1:8">
      <c r="A1089" t="s">
        <v>46</v>
      </c>
      <c r="B1089" t="s">
        <v>47</v>
      </c>
      <c r="C1089" t="s">
        <v>10</v>
      </c>
      <c r="D1089" t="s">
        <v>48</v>
      </c>
      <c r="E1089">
        <v>1999</v>
      </c>
      <c r="F1089" t="s">
        <v>22</v>
      </c>
      <c r="G1089" t="s">
        <v>15</v>
      </c>
      <c r="H1089" s="2">
        <v>33096.49</v>
      </c>
    </row>
    <row r="1090" spans="1:8">
      <c r="A1090" t="s">
        <v>46</v>
      </c>
      <c r="B1090" t="s">
        <v>47</v>
      </c>
      <c r="C1090" t="s">
        <v>10</v>
      </c>
      <c r="D1090" t="s">
        <v>48</v>
      </c>
      <c r="E1090">
        <v>1999</v>
      </c>
      <c r="F1090" t="s">
        <v>22</v>
      </c>
      <c r="G1090" t="s">
        <v>19</v>
      </c>
      <c r="H1090" s="2">
        <v>0</v>
      </c>
    </row>
    <row r="1091" spans="1:8">
      <c r="A1091" t="s">
        <v>46</v>
      </c>
      <c r="B1091" t="s">
        <v>47</v>
      </c>
      <c r="C1091" t="s">
        <v>10</v>
      </c>
      <c r="D1091" t="s">
        <v>48</v>
      </c>
      <c r="E1091">
        <v>1999</v>
      </c>
      <c r="F1091" t="s">
        <v>18</v>
      </c>
      <c r="G1091" t="s">
        <v>15</v>
      </c>
      <c r="H1091" s="2">
        <v>712.37</v>
      </c>
    </row>
    <row r="1092" spans="1:8">
      <c r="A1092" t="s">
        <v>46</v>
      </c>
      <c r="B1092" t="s">
        <v>47</v>
      </c>
      <c r="C1092" t="s">
        <v>10</v>
      </c>
      <c r="D1092" t="s">
        <v>48</v>
      </c>
      <c r="E1092">
        <v>2000</v>
      </c>
      <c r="F1092" t="s">
        <v>12</v>
      </c>
      <c r="G1092" t="s">
        <v>19</v>
      </c>
      <c r="H1092" s="2">
        <v>0</v>
      </c>
    </row>
    <row r="1093" spans="1:8">
      <c r="A1093" t="s">
        <v>46</v>
      </c>
      <c r="B1093" t="s">
        <v>47</v>
      </c>
      <c r="C1093" t="s">
        <v>10</v>
      </c>
      <c r="D1093" t="s">
        <v>48</v>
      </c>
      <c r="E1093">
        <v>2000</v>
      </c>
      <c r="F1093" t="s">
        <v>20</v>
      </c>
      <c r="G1093" t="s">
        <v>15</v>
      </c>
      <c r="H1093" s="2">
        <v>167.43</v>
      </c>
    </row>
    <row r="1094" spans="1:8">
      <c r="A1094" t="s">
        <v>46</v>
      </c>
      <c r="B1094" t="s">
        <v>47</v>
      </c>
      <c r="C1094" t="s">
        <v>10</v>
      </c>
      <c r="D1094" t="s">
        <v>48</v>
      </c>
      <c r="E1094">
        <v>2000</v>
      </c>
      <c r="F1094" t="s">
        <v>21</v>
      </c>
      <c r="G1094" t="s">
        <v>15</v>
      </c>
      <c r="H1094" s="2">
        <v>748.04</v>
      </c>
    </row>
    <row r="1095" spans="1:8">
      <c r="A1095" t="s">
        <v>46</v>
      </c>
      <c r="B1095" t="s">
        <v>47</v>
      </c>
      <c r="C1095" t="s">
        <v>10</v>
      </c>
      <c r="D1095" t="s">
        <v>48</v>
      </c>
      <c r="E1095">
        <v>2001</v>
      </c>
      <c r="F1095" t="s">
        <v>20</v>
      </c>
      <c r="G1095" t="s">
        <v>15</v>
      </c>
      <c r="H1095" s="2">
        <v>161.99</v>
      </c>
    </row>
    <row r="1096" spans="1:8">
      <c r="A1096" t="s">
        <v>46</v>
      </c>
      <c r="B1096" t="s">
        <v>47</v>
      </c>
      <c r="C1096" t="s">
        <v>10</v>
      </c>
      <c r="D1096" t="s">
        <v>48</v>
      </c>
      <c r="E1096">
        <v>2001</v>
      </c>
      <c r="F1096" t="s">
        <v>20</v>
      </c>
      <c r="G1096" t="s">
        <v>17</v>
      </c>
      <c r="H1096" s="2">
        <v>164.27</v>
      </c>
    </row>
    <row r="1097" spans="1:8">
      <c r="A1097" t="s">
        <v>46</v>
      </c>
      <c r="B1097" t="s">
        <v>47</v>
      </c>
      <c r="C1097" t="s">
        <v>10</v>
      </c>
      <c r="D1097" t="s">
        <v>48</v>
      </c>
      <c r="E1097">
        <v>2001</v>
      </c>
      <c r="F1097" t="s">
        <v>21</v>
      </c>
      <c r="G1097" t="s">
        <v>15</v>
      </c>
      <c r="H1097" s="2">
        <v>714.05</v>
      </c>
    </row>
    <row r="1098" spans="1:8">
      <c r="A1098" t="s">
        <v>46</v>
      </c>
      <c r="B1098" t="s">
        <v>47</v>
      </c>
      <c r="C1098" t="s">
        <v>10</v>
      </c>
      <c r="D1098" t="s">
        <v>48</v>
      </c>
      <c r="E1098">
        <v>2001</v>
      </c>
      <c r="F1098" t="s">
        <v>21</v>
      </c>
      <c r="G1098" t="s">
        <v>19</v>
      </c>
      <c r="H1098" s="2">
        <v>0</v>
      </c>
    </row>
    <row r="1099" spans="1:8">
      <c r="A1099" t="s">
        <v>46</v>
      </c>
      <c r="B1099" t="s">
        <v>47</v>
      </c>
      <c r="C1099" t="s">
        <v>10</v>
      </c>
      <c r="D1099" t="s">
        <v>48</v>
      </c>
      <c r="E1099">
        <v>2001</v>
      </c>
      <c r="F1099" t="s">
        <v>16</v>
      </c>
      <c r="G1099" t="s">
        <v>13</v>
      </c>
      <c r="H1099" s="2">
        <v>2633.56</v>
      </c>
    </row>
    <row r="1100" spans="1:8">
      <c r="A1100" t="s">
        <v>46</v>
      </c>
      <c r="B1100" t="s">
        <v>47</v>
      </c>
      <c r="C1100" t="s">
        <v>10</v>
      </c>
      <c r="D1100" t="s">
        <v>48</v>
      </c>
      <c r="E1100">
        <v>2002</v>
      </c>
      <c r="F1100" t="s">
        <v>22</v>
      </c>
      <c r="G1100" t="s">
        <v>15</v>
      </c>
      <c r="H1100" s="2">
        <v>32814.67</v>
      </c>
    </row>
    <row r="1101" spans="1:8">
      <c r="A1101" t="s">
        <v>46</v>
      </c>
      <c r="B1101" t="s">
        <v>47</v>
      </c>
      <c r="C1101" t="s">
        <v>10</v>
      </c>
      <c r="D1101" t="s">
        <v>48</v>
      </c>
      <c r="E1101">
        <v>2002</v>
      </c>
      <c r="F1101" t="s">
        <v>12</v>
      </c>
      <c r="G1101" t="s">
        <v>17</v>
      </c>
      <c r="H1101" s="2">
        <v>555.83000000000004</v>
      </c>
    </row>
    <row r="1102" spans="1:8">
      <c r="A1102" t="s">
        <v>46</v>
      </c>
      <c r="B1102" t="s">
        <v>47</v>
      </c>
      <c r="C1102" t="s">
        <v>10</v>
      </c>
      <c r="D1102" t="s">
        <v>48</v>
      </c>
      <c r="E1102">
        <v>2002</v>
      </c>
      <c r="F1102" t="s">
        <v>16</v>
      </c>
      <c r="G1102" t="s">
        <v>19</v>
      </c>
      <c r="H1102" s="2">
        <v>0</v>
      </c>
    </row>
    <row r="1103" spans="1:8">
      <c r="A1103" t="s">
        <v>46</v>
      </c>
      <c r="B1103" t="s">
        <v>47</v>
      </c>
      <c r="C1103" t="s">
        <v>10</v>
      </c>
      <c r="D1103" t="s">
        <v>48</v>
      </c>
      <c r="E1103">
        <v>2003</v>
      </c>
      <c r="F1103" t="s">
        <v>22</v>
      </c>
      <c r="G1103" t="s">
        <v>17</v>
      </c>
      <c r="H1103" s="2">
        <v>9363.52</v>
      </c>
    </row>
    <row r="1104" spans="1:8">
      <c r="A1104" t="s">
        <v>46</v>
      </c>
      <c r="B1104" t="s">
        <v>47</v>
      </c>
      <c r="C1104" t="s">
        <v>10</v>
      </c>
      <c r="D1104" t="s">
        <v>48</v>
      </c>
      <c r="E1104">
        <v>2003</v>
      </c>
      <c r="F1104" t="s">
        <v>12</v>
      </c>
      <c r="G1104" t="s">
        <v>13</v>
      </c>
      <c r="H1104" s="2">
        <v>16780.46</v>
      </c>
    </row>
    <row r="1105" spans="1:8">
      <c r="A1105" t="s">
        <v>46</v>
      </c>
      <c r="B1105" t="s">
        <v>47</v>
      </c>
      <c r="C1105" t="s">
        <v>10</v>
      </c>
      <c r="D1105" t="s">
        <v>48</v>
      </c>
      <c r="E1105">
        <v>2003</v>
      </c>
      <c r="F1105" t="s">
        <v>18</v>
      </c>
      <c r="G1105" t="s">
        <v>17</v>
      </c>
      <c r="H1105" s="2">
        <v>730.94</v>
      </c>
    </row>
    <row r="1106" spans="1:8">
      <c r="A1106" t="s">
        <v>46</v>
      </c>
      <c r="B1106" t="s">
        <v>47</v>
      </c>
      <c r="C1106" t="s">
        <v>10</v>
      </c>
      <c r="D1106" t="s">
        <v>48</v>
      </c>
      <c r="E1106">
        <v>2003</v>
      </c>
      <c r="F1106" t="s">
        <v>20</v>
      </c>
      <c r="G1106" t="s">
        <v>13</v>
      </c>
      <c r="H1106" s="2">
        <v>16654.919999999998</v>
      </c>
    </row>
    <row r="1107" spans="1:8">
      <c r="A1107" t="s">
        <v>46</v>
      </c>
      <c r="B1107" t="s">
        <v>47</v>
      </c>
      <c r="C1107" t="s">
        <v>10</v>
      </c>
      <c r="D1107" t="s">
        <v>48</v>
      </c>
      <c r="E1107">
        <v>2003</v>
      </c>
      <c r="F1107" t="s">
        <v>20</v>
      </c>
      <c r="G1107" t="s">
        <v>19</v>
      </c>
      <c r="H1107" s="2">
        <v>0</v>
      </c>
    </row>
    <row r="1108" spans="1:8">
      <c r="A1108" t="s">
        <v>46</v>
      </c>
      <c r="B1108" t="s">
        <v>47</v>
      </c>
      <c r="C1108" t="s">
        <v>10</v>
      </c>
      <c r="D1108" t="s">
        <v>48</v>
      </c>
      <c r="E1108">
        <v>2003</v>
      </c>
      <c r="F1108" t="s">
        <v>20</v>
      </c>
      <c r="G1108" t="s">
        <v>17</v>
      </c>
      <c r="H1108" s="2">
        <v>186.73</v>
      </c>
    </row>
    <row r="1109" spans="1:8">
      <c r="A1109" t="s">
        <v>46</v>
      </c>
      <c r="B1109" t="s">
        <v>47</v>
      </c>
      <c r="C1109" t="s">
        <v>10</v>
      </c>
      <c r="D1109" t="s">
        <v>48</v>
      </c>
      <c r="E1109">
        <v>2003</v>
      </c>
      <c r="F1109" t="s">
        <v>14</v>
      </c>
      <c r="G1109" t="s">
        <v>13</v>
      </c>
      <c r="H1109" s="2">
        <v>54126.9</v>
      </c>
    </row>
    <row r="1110" spans="1:8">
      <c r="A1110" t="s">
        <v>46</v>
      </c>
      <c r="B1110" t="s">
        <v>47</v>
      </c>
      <c r="C1110" t="s">
        <v>10</v>
      </c>
      <c r="D1110" t="s">
        <v>48</v>
      </c>
      <c r="E1110">
        <v>2003</v>
      </c>
      <c r="F1110" t="s">
        <v>14</v>
      </c>
      <c r="G1110" t="s">
        <v>19</v>
      </c>
      <c r="H1110" s="2">
        <v>0</v>
      </c>
    </row>
    <row r="1111" spans="1:8">
      <c r="A1111" t="s">
        <v>46</v>
      </c>
      <c r="B1111" t="s">
        <v>47</v>
      </c>
      <c r="C1111" t="s">
        <v>10</v>
      </c>
      <c r="D1111" t="s">
        <v>48</v>
      </c>
      <c r="E1111">
        <v>2004</v>
      </c>
      <c r="F1111" t="s">
        <v>22</v>
      </c>
      <c r="G1111" t="s">
        <v>17</v>
      </c>
      <c r="H1111" s="2">
        <v>8984.7099999999991</v>
      </c>
    </row>
    <row r="1112" spans="1:8">
      <c r="A1112" t="s">
        <v>46</v>
      </c>
      <c r="B1112" t="s">
        <v>47</v>
      </c>
      <c r="C1112" t="s">
        <v>10</v>
      </c>
      <c r="D1112" t="s">
        <v>48</v>
      </c>
      <c r="E1112">
        <v>2004</v>
      </c>
      <c r="F1112" t="s">
        <v>18</v>
      </c>
      <c r="G1112" t="s">
        <v>15</v>
      </c>
      <c r="H1112" s="2">
        <v>712.98</v>
      </c>
    </row>
    <row r="1113" spans="1:8">
      <c r="A1113" t="s">
        <v>46</v>
      </c>
      <c r="B1113" t="s">
        <v>47</v>
      </c>
      <c r="C1113" t="s">
        <v>10</v>
      </c>
      <c r="D1113" t="s">
        <v>48</v>
      </c>
      <c r="E1113">
        <v>2004</v>
      </c>
      <c r="F1113" t="s">
        <v>18</v>
      </c>
      <c r="G1113" t="s">
        <v>19</v>
      </c>
      <c r="H1113" s="2">
        <v>698.63</v>
      </c>
    </row>
    <row r="1114" spans="1:8">
      <c r="A1114" t="s">
        <v>46</v>
      </c>
      <c r="B1114" t="s">
        <v>47</v>
      </c>
      <c r="C1114" t="s">
        <v>10</v>
      </c>
      <c r="D1114" t="s">
        <v>48</v>
      </c>
      <c r="E1114">
        <v>2004</v>
      </c>
      <c r="F1114" t="s">
        <v>14</v>
      </c>
      <c r="G1114" t="s">
        <v>19</v>
      </c>
      <c r="H1114" s="2">
        <v>0</v>
      </c>
    </row>
    <row r="1115" spans="1:8">
      <c r="A1115" t="s">
        <v>46</v>
      </c>
      <c r="B1115" t="s">
        <v>47</v>
      </c>
      <c r="C1115" t="s">
        <v>10</v>
      </c>
      <c r="D1115" t="s">
        <v>48</v>
      </c>
      <c r="E1115">
        <v>2004</v>
      </c>
      <c r="F1115" t="s">
        <v>16</v>
      </c>
      <c r="G1115" t="s">
        <v>13</v>
      </c>
      <c r="H1115" s="2">
        <v>2328.98</v>
      </c>
    </row>
    <row r="1116" spans="1:8">
      <c r="A1116" t="s">
        <v>46</v>
      </c>
      <c r="B1116" t="s">
        <v>47</v>
      </c>
      <c r="C1116" t="s">
        <v>10</v>
      </c>
      <c r="D1116" t="s">
        <v>48</v>
      </c>
      <c r="E1116">
        <v>2005</v>
      </c>
      <c r="F1116" t="s">
        <v>21</v>
      </c>
      <c r="G1116" t="s">
        <v>19</v>
      </c>
      <c r="H1116" s="2">
        <v>0</v>
      </c>
    </row>
    <row r="1117" spans="1:8">
      <c r="A1117" t="s">
        <v>46</v>
      </c>
      <c r="B1117" t="s">
        <v>47</v>
      </c>
      <c r="C1117" t="s">
        <v>10</v>
      </c>
      <c r="D1117" t="s">
        <v>48</v>
      </c>
      <c r="E1117">
        <v>2006</v>
      </c>
      <c r="F1117" t="s">
        <v>12</v>
      </c>
      <c r="G1117" t="s">
        <v>15</v>
      </c>
      <c r="H1117" s="2">
        <v>1482.29</v>
      </c>
    </row>
    <row r="1118" spans="1:8">
      <c r="A1118" t="s">
        <v>46</v>
      </c>
      <c r="B1118" t="s">
        <v>47</v>
      </c>
      <c r="C1118" t="s">
        <v>10</v>
      </c>
      <c r="D1118" t="s">
        <v>48</v>
      </c>
      <c r="E1118">
        <v>2006</v>
      </c>
      <c r="F1118" t="s">
        <v>18</v>
      </c>
      <c r="G1118" t="s">
        <v>15</v>
      </c>
      <c r="H1118" s="2">
        <v>792.93</v>
      </c>
    </row>
    <row r="1119" spans="1:8">
      <c r="A1119" t="s">
        <v>46</v>
      </c>
      <c r="B1119" t="s">
        <v>47</v>
      </c>
      <c r="C1119" t="s">
        <v>10</v>
      </c>
      <c r="D1119" t="s">
        <v>48</v>
      </c>
      <c r="E1119">
        <v>2006</v>
      </c>
      <c r="F1119" t="s">
        <v>16</v>
      </c>
      <c r="G1119" t="s">
        <v>13</v>
      </c>
      <c r="H1119" s="2">
        <v>2803.96</v>
      </c>
    </row>
    <row r="1120" spans="1:8">
      <c r="A1120" t="s">
        <v>46</v>
      </c>
      <c r="B1120" t="s">
        <v>47</v>
      </c>
      <c r="C1120" t="s">
        <v>10</v>
      </c>
      <c r="D1120" t="s">
        <v>48</v>
      </c>
      <c r="E1120">
        <v>2007</v>
      </c>
      <c r="F1120" t="s">
        <v>22</v>
      </c>
      <c r="G1120" t="s">
        <v>19</v>
      </c>
      <c r="H1120" s="2">
        <v>0</v>
      </c>
    </row>
    <row r="1121" spans="1:8">
      <c r="A1121" t="s">
        <v>46</v>
      </c>
      <c r="B1121" t="s">
        <v>47</v>
      </c>
      <c r="C1121" t="s">
        <v>10</v>
      </c>
      <c r="D1121" t="s">
        <v>48</v>
      </c>
      <c r="E1121">
        <v>2007</v>
      </c>
      <c r="F1121" t="s">
        <v>14</v>
      </c>
      <c r="G1121" t="s">
        <v>15</v>
      </c>
      <c r="H1121" s="2">
        <v>1748.2</v>
      </c>
    </row>
    <row r="1122" spans="1:8">
      <c r="A1122" t="s">
        <v>46</v>
      </c>
      <c r="B1122" t="s">
        <v>47</v>
      </c>
      <c r="C1122" t="s">
        <v>10</v>
      </c>
      <c r="D1122" t="s">
        <v>48</v>
      </c>
      <c r="E1122">
        <v>2008</v>
      </c>
      <c r="F1122" t="s">
        <v>22</v>
      </c>
      <c r="G1122" t="s">
        <v>13</v>
      </c>
      <c r="H1122" s="2">
        <v>4297.6000000000004</v>
      </c>
    </row>
    <row r="1123" spans="1:8">
      <c r="A1123" t="s">
        <v>46</v>
      </c>
      <c r="B1123" t="s">
        <v>47</v>
      </c>
      <c r="C1123" t="s">
        <v>10</v>
      </c>
      <c r="D1123" t="s">
        <v>48</v>
      </c>
      <c r="E1123">
        <v>2008</v>
      </c>
      <c r="F1123" t="s">
        <v>16</v>
      </c>
      <c r="G1123" t="s">
        <v>17</v>
      </c>
      <c r="H1123" s="2">
        <v>911.88</v>
      </c>
    </row>
    <row r="1124" spans="1:8">
      <c r="A1124" t="s">
        <v>46</v>
      </c>
      <c r="B1124" t="s">
        <v>47</v>
      </c>
      <c r="C1124" t="s">
        <v>10</v>
      </c>
      <c r="D1124" t="s">
        <v>48</v>
      </c>
      <c r="E1124">
        <v>2009</v>
      </c>
      <c r="F1124" t="s">
        <v>22</v>
      </c>
      <c r="G1124" t="s">
        <v>19</v>
      </c>
      <c r="H1124" s="2">
        <v>0</v>
      </c>
    </row>
    <row r="1125" spans="1:8">
      <c r="A1125" t="s">
        <v>46</v>
      </c>
      <c r="B1125" t="s">
        <v>47</v>
      </c>
      <c r="C1125" t="s">
        <v>10</v>
      </c>
      <c r="D1125" t="s">
        <v>48</v>
      </c>
      <c r="E1125">
        <v>2009</v>
      </c>
      <c r="F1125" t="s">
        <v>20</v>
      </c>
      <c r="G1125" t="s">
        <v>19</v>
      </c>
      <c r="H1125" s="2">
        <v>0</v>
      </c>
    </row>
    <row r="1126" spans="1:8">
      <c r="A1126" t="s">
        <v>46</v>
      </c>
      <c r="B1126" t="s">
        <v>47</v>
      </c>
      <c r="C1126" t="s">
        <v>10</v>
      </c>
      <c r="D1126" t="s">
        <v>48</v>
      </c>
      <c r="E1126">
        <v>2009</v>
      </c>
      <c r="F1126" t="s">
        <v>21</v>
      </c>
      <c r="G1126" t="s">
        <v>17</v>
      </c>
      <c r="H1126" s="2">
        <v>414.96</v>
      </c>
    </row>
    <row r="1127" spans="1:8">
      <c r="A1127" t="s">
        <v>46</v>
      </c>
      <c r="B1127" t="s">
        <v>47</v>
      </c>
      <c r="C1127" t="s">
        <v>10</v>
      </c>
      <c r="D1127" t="s">
        <v>48</v>
      </c>
      <c r="E1127">
        <v>2010</v>
      </c>
      <c r="F1127" t="s">
        <v>22</v>
      </c>
      <c r="G1127" t="s">
        <v>13</v>
      </c>
      <c r="H1127" s="2">
        <v>5186.84</v>
      </c>
    </row>
    <row r="1128" spans="1:8">
      <c r="A1128" t="s">
        <v>46</v>
      </c>
      <c r="B1128" t="s">
        <v>47</v>
      </c>
      <c r="C1128" t="s">
        <v>10</v>
      </c>
      <c r="D1128" t="s">
        <v>48</v>
      </c>
      <c r="E1128">
        <v>2010</v>
      </c>
      <c r="F1128" t="s">
        <v>12</v>
      </c>
      <c r="G1128" t="s">
        <v>15</v>
      </c>
      <c r="H1128" s="2">
        <v>1624.76</v>
      </c>
    </row>
    <row r="1129" spans="1:8">
      <c r="A1129" t="s">
        <v>46</v>
      </c>
      <c r="B1129" t="s">
        <v>47</v>
      </c>
      <c r="C1129" t="s">
        <v>10</v>
      </c>
      <c r="D1129" t="s">
        <v>48</v>
      </c>
      <c r="E1129">
        <v>2010</v>
      </c>
      <c r="F1129" t="s">
        <v>14</v>
      </c>
      <c r="G1129" t="s">
        <v>15</v>
      </c>
      <c r="H1129" s="2">
        <v>1943.16</v>
      </c>
    </row>
    <row r="1130" spans="1:8">
      <c r="A1130" t="s">
        <v>46</v>
      </c>
      <c r="B1130" t="s">
        <v>47</v>
      </c>
      <c r="C1130" t="s">
        <v>10</v>
      </c>
      <c r="D1130" t="s">
        <v>48</v>
      </c>
      <c r="E1130">
        <v>2010</v>
      </c>
      <c r="F1130" t="s">
        <v>16</v>
      </c>
      <c r="G1130" t="s">
        <v>15</v>
      </c>
      <c r="H1130" s="2">
        <v>13765.7</v>
      </c>
    </row>
    <row r="1131" spans="1:8">
      <c r="A1131" t="s">
        <v>46</v>
      </c>
      <c r="B1131" t="s">
        <v>47</v>
      </c>
      <c r="C1131" t="s">
        <v>10</v>
      </c>
      <c r="D1131" t="s">
        <v>48</v>
      </c>
      <c r="E1131">
        <v>2010</v>
      </c>
      <c r="F1131" t="s">
        <v>16</v>
      </c>
      <c r="G1131" t="s">
        <v>17</v>
      </c>
      <c r="H1131" s="2">
        <v>978.26</v>
      </c>
    </row>
    <row r="1132" spans="1:8">
      <c r="A1132" t="s">
        <v>46</v>
      </c>
      <c r="B1132" t="s">
        <v>47</v>
      </c>
      <c r="C1132" t="s">
        <v>10</v>
      </c>
      <c r="D1132" t="s">
        <v>48</v>
      </c>
      <c r="E1132">
        <v>2011</v>
      </c>
      <c r="F1132" t="s">
        <v>12</v>
      </c>
      <c r="G1132" t="s">
        <v>15</v>
      </c>
      <c r="H1132" s="2">
        <v>1621.59</v>
      </c>
    </row>
    <row r="1133" spans="1:8">
      <c r="A1133" t="s">
        <v>46</v>
      </c>
      <c r="B1133" t="s">
        <v>47</v>
      </c>
      <c r="C1133" t="s">
        <v>10</v>
      </c>
      <c r="D1133" t="s">
        <v>48</v>
      </c>
      <c r="E1133">
        <v>2011</v>
      </c>
      <c r="F1133" t="s">
        <v>20</v>
      </c>
      <c r="G1133" t="s">
        <v>13</v>
      </c>
      <c r="H1133" s="2">
        <v>20949.23</v>
      </c>
    </row>
    <row r="1134" spans="1:8">
      <c r="A1134" t="s">
        <v>46</v>
      </c>
      <c r="B1134" t="s">
        <v>47</v>
      </c>
      <c r="C1134" t="s">
        <v>10</v>
      </c>
      <c r="D1134" t="s">
        <v>48</v>
      </c>
      <c r="E1134">
        <v>2011</v>
      </c>
      <c r="F1134" t="s">
        <v>21</v>
      </c>
      <c r="G1134" t="s">
        <v>15</v>
      </c>
      <c r="H1134" s="2">
        <v>870.33</v>
      </c>
    </row>
    <row r="1135" spans="1:8">
      <c r="A1135" t="s">
        <v>46</v>
      </c>
      <c r="B1135" t="s">
        <v>47</v>
      </c>
      <c r="C1135" t="s">
        <v>10</v>
      </c>
      <c r="D1135" t="s">
        <v>48</v>
      </c>
      <c r="E1135">
        <v>2012</v>
      </c>
      <c r="F1135" t="s">
        <v>16</v>
      </c>
      <c r="G1135" t="s">
        <v>19</v>
      </c>
      <c r="H1135" s="2">
        <v>0</v>
      </c>
    </row>
    <row r="1136" spans="1:8">
      <c r="A1136" t="s">
        <v>46</v>
      </c>
      <c r="B1136" t="s">
        <v>47</v>
      </c>
      <c r="C1136" t="s">
        <v>10</v>
      </c>
      <c r="D1136" t="s">
        <v>48</v>
      </c>
      <c r="E1136">
        <v>2013</v>
      </c>
      <c r="F1136" t="s">
        <v>18</v>
      </c>
      <c r="G1136" t="s">
        <v>19</v>
      </c>
      <c r="H1136" s="2">
        <v>739.61</v>
      </c>
    </row>
    <row r="1137" spans="1:8">
      <c r="A1137" t="s">
        <v>46</v>
      </c>
      <c r="B1137" t="s">
        <v>47</v>
      </c>
      <c r="C1137" t="s">
        <v>10</v>
      </c>
      <c r="D1137" t="s">
        <v>48</v>
      </c>
      <c r="E1137">
        <v>2013</v>
      </c>
      <c r="F1137" t="s">
        <v>21</v>
      </c>
      <c r="G1137" t="s">
        <v>13</v>
      </c>
      <c r="H1137" s="2">
        <v>41443.879999999997</v>
      </c>
    </row>
    <row r="1138" spans="1:8">
      <c r="A1138" t="s">
        <v>46</v>
      </c>
      <c r="B1138" t="s">
        <v>47</v>
      </c>
      <c r="C1138" t="s">
        <v>10</v>
      </c>
      <c r="D1138" t="s">
        <v>48</v>
      </c>
      <c r="E1138">
        <v>2013</v>
      </c>
      <c r="F1138" t="s">
        <v>21</v>
      </c>
      <c r="G1138" t="s">
        <v>17</v>
      </c>
      <c r="H1138" s="2">
        <v>372.6</v>
      </c>
    </row>
    <row r="1139" spans="1:8">
      <c r="A1139" t="s">
        <v>46</v>
      </c>
      <c r="B1139" t="s">
        <v>47</v>
      </c>
      <c r="C1139" t="s">
        <v>10</v>
      </c>
      <c r="D1139" t="s">
        <v>48</v>
      </c>
      <c r="E1139">
        <v>2013</v>
      </c>
      <c r="F1139" t="s">
        <v>16</v>
      </c>
      <c r="G1139" t="s">
        <v>19</v>
      </c>
      <c r="H1139" s="2">
        <v>0</v>
      </c>
    </row>
    <row r="1140" spans="1:8">
      <c r="A1140" t="s">
        <v>46</v>
      </c>
      <c r="B1140" t="s">
        <v>47</v>
      </c>
      <c r="C1140" t="s">
        <v>10</v>
      </c>
      <c r="D1140" t="s">
        <v>48</v>
      </c>
      <c r="E1140">
        <v>2014</v>
      </c>
      <c r="F1140" t="s">
        <v>22</v>
      </c>
      <c r="G1140" t="s">
        <v>13</v>
      </c>
      <c r="H1140" s="2">
        <v>5029.13</v>
      </c>
    </row>
    <row r="1141" spans="1:8">
      <c r="A1141" t="s">
        <v>46</v>
      </c>
      <c r="B1141" t="s">
        <v>47</v>
      </c>
      <c r="C1141" t="s">
        <v>10</v>
      </c>
      <c r="D1141" t="s">
        <v>48</v>
      </c>
      <c r="E1141">
        <v>2014</v>
      </c>
      <c r="F1141" t="s">
        <v>12</v>
      </c>
      <c r="G1141" t="s">
        <v>15</v>
      </c>
      <c r="H1141" s="2">
        <v>1568.71</v>
      </c>
    </row>
    <row r="1142" spans="1:8">
      <c r="A1142" t="s">
        <v>46</v>
      </c>
      <c r="B1142" t="s">
        <v>47</v>
      </c>
      <c r="C1142" t="s">
        <v>10</v>
      </c>
      <c r="D1142" t="s">
        <v>48</v>
      </c>
      <c r="E1142">
        <v>2014</v>
      </c>
      <c r="F1142" t="s">
        <v>12</v>
      </c>
      <c r="G1142" t="s">
        <v>19</v>
      </c>
      <c r="H1142" s="2">
        <v>0</v>
      </c>
    </row>
    <row r="1143" spans="1:8">
      <c r="A1143" t="s">
        <v>46</v>
      </c>
      <c r="B1143" t="s">
        <v>47</v>
      </c>
      <c r="C1143" t="s">
        <v>10</v>
      </c>
      <c r="D1143" t="s">
        <v>48</v>
      </c>
      <c r="E1143">
        <v>2014</v>
      </c>
      <c r="F1143" t="s">
        <v>18</v>
      </c>
      <c r="G1143" t="s">
        <v>17</v>
      </c>
      <c r="H1143" s="2">
        <v>851.24</v>
      </c>
    </row>
    <row r="1144" spans="1:8">
      <c r="A1144" t="s">
        <v>46</v>
      </c>
      <c r="B1144" t="s">
        <v>47</v>
      </c>
      <c r="C1144" t="s">
        <v>10</v>
      </c>
      <c r="D1144" t="s">
        <v>48</v>
      </c>
      <c r="E1144">
        <v>2014</v>
      </c>
      <c r="F1144" t="s">
        <v>20</v>
      </c>
      <c r="G1144" t="s">
        <v>15</v>
      </c>
      <c r="H1144" s="2">
        <v>184.91</v>
      </c>
    </row>
    <row r="1145" spans="1:8">
      <c r="A1145" t="s">
        <v>46</v>
      </c>
      <c r="B1145" t="s">
        <v>47</v>
      </c>
      <c r="C1145" t="s">
        <v>10</v>
      </c>
      <c r="D1145" t="s">
        <v>48</v>
      </c>
      <c r="E1145">
        <v>2014</v>
      </c>
      <c r="F1145" t="s">
        <v>14</v>
      </c>
      <c r="G1145" t="s">
        <v>15</v>
      </c>
      <c r="H1145" s="2">
        <v>1911.43</v>
      </c>
    </row>
    <row r="1146" spans="1:8">
      <c r="A1146" t="s">
        <v>46</v>
      </c>
      <c r="B1146" t="s">
        <v>47</v>
      </c>
      <c r="C1146" t="s">
        <v>10</v>
      </c>
      <c r="D1146" t="s">
        <v>48</v>
      </c>
      <c r="E1146">
        <v>2015</v>
      </c>
      <c r="F1146" t="s">
        <v>22</v>
      </c>
      <c r="G1146" t="s">
        <v>15</v>
      </c>
      <c r="H1146" s="2">
        <v>34874.51</v>
      </c>
    </row>
    <row r="1147" spans="1:8">
      <c r="A1147" t="s">
        <v>46</v>
      </c>
      <c r="B1147" t="s">
        <v>47</v>
      </c>
      <c r="C1147" t="s">
        <v>10</v>
      </c>
      <c r="D1147" t="s">
        <v>48</v>
      </c>
      <c r="E1147">
        <v>2015</v>
      </c>
      <c r="F1147" t="s">
        <v>18</v>
      </c>
      <c r="G1147" t="s">
        <v>13</v>
      </c>
      <c r="H1147" s="2">
        <v>10652.2</v>
      </c>
    </row>
    <row r="1148" spans="1:8">
      <c r="A1148" t="s">
        <v>46</v>
      </c>
      <c r="B1148" t="s">
        <v>47</v>
      </c>
      <c r="C1148" t="s">
        <v>10</v>
      </c>
      <c r="D1148" t="s">
        <v>48</v>
      </c>
      <c r="E1148">
        <v>2015</v>
      </c>
      <c r="F1148" t="s">
        <v>16</v>
      </c>
      <c r="G1148" t="s">
        <v>15</v>
      </c>
      <c r="H1148" s="2">
        <v>13797.41</v>
      </c>
    </row>
    <row r="1149" spans="1:8">
      <c r="A1149" t="s">
        <v>46</v>
      </c>
      <c r="B1149" t="s">
        <v>47</v>
      </c>
      <c r="C1149" t="s">
        <v>10</v>
      </c>
      <c r="D1149" t="s">
        <v>48</v>
      </c>
      <c r="E1149">
        <v>2016</v>
      </c>
      <c r="F1149" t="s">
        <v>22</v>
      </c>
      <c r="G1149" t="s">
        <v>13</v>
      </c>
      <c r="H1149" s="2">
        <v>4726.8500000000004</v>
      </c>
    </row>
    <row r="1150" spans="1:8">
      <c r="A1150" t="s">
        <v>46</v>
      </c>
      <c r="B1150" t="s">
        <v>47</v>
      </c>
      <c r="C1150" t="s">
        <v>10</v>
      </c>
      <c r="D1150" t="s">
        <v>48</v>
      </c>
      <c r="E1150">
        <v>2016</v>
      </c>
      <c r="F1150" t="s">
        <v>12</v>
      </c>
      <c r="G1150" t="s">
        <v>15</v>
      </c>
      <c r="H1150" s="2">
        <v>1409.15</v>
      </c>
    </row>
    <row r="1151" spans="1:8">
      <c r="A1151" t="s">
        <v>46</v>
      </c>
      <c r="B1151" t="s">
        <v>47</v>
      </c>
      <c r="C1151" t="s">
        <v>10</v>
      </c>
      <c r="D1151" t="s">
        <v>48</v>
      </c>
      <c r="E1151">
        <v>2016</v>
      </c>
      <c r="F1151" t="s">
        <v>20</v>
      </c>
      <c r="G1151" t="s">
        <v>15</v>
      </c>
      <c r="H1151" s="2">
        <v>192.87</v>
      </c>
    </row>
    <row r="1152" spans="1:8">
      <c r="A1152" t="s">
        <v>46</v>
      </c>
      <c r="B1152" t="s">
        <v>47</v>
      </c>
      <c r="C1152" t="s">
        <v>10</v>
      </c>
      <c r="D1152" t="s">
        <v>48</v>
      </c>
      <c r="E1152">
        <v>2016</v>
      </c>
      <c r="F1152" t="s">
        <v>14</v>
      </c>
      <c r="G1152" t="s">
        <v>19</v>
      </c>
      <c r="H1152" s="2">
        <v>0</v>
      </c>
    </row>
    <row r="1153" spans="1:8">
      <c r="A1153" t="s">
        <v>46</v>
      </c>
      <c r="B1153" t="s">
        <v>47</v>
      </c>
      <c r="C1153" t="s">
        <v>10</v>
      </c>
      <c r="D1153" t="s">
        <v>48</v>
      </c>
      <c r="E1153">
        <v>2016</v>
      </c>
      <c r="F1153" t="s">
        <v>21</v>
      </c>
      <c r="G1153" t="s">
        <v>19</v>
      </c>
      <c r="H1153" s="2">
        <v>0</v>
      </c>
    </row>
    <row r="1154" spans="1:8">
      <c r="A1154" t="s">
        <v>46</v>
      </c>
      <c r="B1154" t="s">
        <v>47</v>
      </c>
      <c r="C1154" t="s">
        <v>10</v>
      </c>
      <c r="D1154" t="s">
        <v>48</v>
      </c>
      <c r="E1154">
        <v>2017</v>
      </c>
      <c r="F1154" t="s">
        <v>22</v>
      </c>
      <c r="G1154" t="s">
        <v>17</v>
      </c>
      <c r="H1154" s="2">
        <v>10650.52</v>
      </c>
    </row>
    <row r="1155" spans="1:8">
      <c r="A1155" t="s">
        <v>46</v>
      </c>
      <c r="B1155" t="s">
        <v>47</v>
      </c>
      <c r="C1155" t="s">
        <v>10</v>
      </c>
      <c r="D1155" t="s">
        <v>48</v>
      </c>
      <c r="E1155">
        <v>2017</v>
      </c>
      <c r="F1155" t="s">
        <v>12</v>
      </c>
      <c r="G1155" t="s">
        <v>13</v>
      </c>
      <c r="H1155" s="2">
        <v>20232.86</v>
      </c>
    </row>
    <row r="1156" spans="1:8">
      <c r="A1156" t="s">
        <v>46</v>
      </c>
      <c r="B1156" t="s">
        <v>47</v>
      </c>
      <c r="C1156" t="s">
        <v>10</v>
      </c>
      <c r="D1156" t="s">
        <v>48</v>
      </c>
      <c r="E1156">
        <v>2017</v>
      </c>
      <c r="F1156" t="s">
        <v>21</v>
      </c>
      <c r="G1156" t="s">
        <v>19</v>
      </c>
      <c r="H1156" s="2">
        <v>0</v>
      </c>
    </row>
    <row r="1157" spans="1:8">
      <c r="A1157" t="s">
        <v>46</v>
      </c>
      <c r="B1157" t="s">
        <v>47</v>
      </c>
      <c r="C1157" t="s">
        <v>10</v>
      </c>
      <c r="D1157" t="s">
        <v>48</v>
      </c>
      <c r="E1157">
        <v>2017</v>
      </c>
      <c r="F1157" t="s">
        <v>21</v>
      </c>
      <c r="G1157" t="s">
        <v>17</v>
      </c>
      <c r="H1157" s="2">
        <v>414.11</v>
      </c>
    </row>
    <row r="1158" spans="1:8">
      <c r="A1158" t="s">
        <v>46</v>
      </c>
      <c r="B1158" t="s">
        <v>47</v>
      </c>
      <c r="C1158" t="s">
        <v>10</v>
      </c>
      <c r="D1158" t="s">
        <v>48</v>
      </c>
      <c r="E1158">
        <v>2017</v>
      </c>
      <c r="F1158" t="s">
        <v>16</v>
      </c>
      <c r="G1158" t="s">
        <v>17</v>
      </c>
      <c r="H1158" s="2">
        <v>1032.3399999999999</v>
      </c>
    </row>
    <row r="1159" spans="1:8">
      <c r="A1159" t="s">
        <v>46</v>
      </c>
      <c r="B1159" t="s">
        <v>47</v>
      </c>
      <c r="C1159" t="s">
        <v>10</v>
      </c>
      <c r="D1159" t="s">
        <v>48</v>
      </c>
      <c r="E1159">
        <v>2018</v>
      </c>
      <c r="F1159" t="s">
        <v>12</v>
      </c>
      <c r="G1159" t="s">
        <v>15</v>
      </c>
      <c r="H1159" s="2">
        <v>1522.32</v>
      </c>
    </row>
    <row r="1160" spans="1:8">
      <c r="A1160" t="s">
        <v>46</v>
      </c>
      <c r="B1160" t="s">
        <v>47</v>
      </c>
      <c r="C1160" t="s">
        <v>10</v>
      </c>
      <c r="D1160" t="s">
        <v>48</v>
      </c>
      <c r="E1160">
        <v>2018</v>
      </c>
      <c r="F1160" t="s">
        <v>20</v>
      </c>
      <c r="G1160" t="s">
        <v>13</v>
      </c>
      <c r="H1160" s="2">
        <v>20012.150000000001</v>
      </c>
    </row>
    <row r="1161" spans="1:8">
      <c r="A1161" t="s">
        <v>46</v>
      </c>
      <c r="B1161" t="s">
        <v>47</v>
      </c>
      <c r="C1161" t="s">
        <v>10</v>
      </c>
      <c r="D1161" t="s">
        <v>48</v>
      </c>
      <c r="E1161">
        <v>2018</v>
      </c>
      <c r="F1161" t="s">
        <v>14</v>
      </c>
      <c r="G1161" t="s">
        <v>15</v>
      </c>
      <c r="H1161" s="2">
        <v>1726.24</v>
      </c>
    </row>
    <row r="1162" spans="1:8">
      <c r="A1162" t="s">
        <v>46</v>
      </c>
      <c r="B1162" t="s">
        <v>47</v>
      </c>
      <c r="C1162" t="s">
        <v>10</v>
      </c>
      <c r="D1162" t="s">
        <v>48</v>
      </c>
      <c r="E1162">
        <v>2019</v>
      </c>
      <c r="F1162" t="s">
        <v>22</v>
      </c>
      <c r="G1162" t="s">
        <v>15</v>
      </c>
      <c r="H1162" s="2">
        <v>36707.300000000003</v>
      </c>
    </row>
    <row r="1163" spans="1:8">
      <c r="A1163" t="s">
        <v>46</v>
      </c>
      <c r="B1163" t="s">
        <v>47</v>
      </c>
      <c r="C1163" t="s">
        <v>10</v>
      </c>
      <c r="D1163" t="s">
        <v>48</v>
      </c>
      <c r="E1163">
        <v>2019</v>
      </c>
      <c r="F1163" t="s">
        <v>22</v>
      </c>
      <c r="G1163" t="s">
        <v>19</v>
      </c>
      <c r="H1163" s="2">
        <v>0</v>
      </c>
    </row>
    <row r="1164" spans="1:8">
      <c r="A1164" t="s">
        <v>46</v>
      </c>
      <c r="B1164" t="s">
        <v>47</v>
      </c>
      <c r="C1164" t="s">
        <v>10</v>
      </c>
      <c r="D1164" t="s">
        <v>48</v>
      </c>
      <c r="E1164">
        <v>2019</v>
      </c>
      <c r="F1164" t="s">
        <v>14</v>
      </c>
      <c r="G1164" t="s">
        <v>13</v>
      </c>
      <c r="H1164" s="2">
        <v>63438.93</v>
      </c>
    </row>
    <row r="1165" spans="1:8">
      <c r="A1165" t="s">
        <v>46</v>
      </c>
      <c r="B1165" t="s">
        <v>47</v>
      </c>
      <c r="C1165" t="s">
        <v>10</v>
      </c>
      <c r="D1165" t="s">
        <v>48</v>
      </c>
      <c r="E1165">
        <v>2019</v>
      </c>
      <c r="F1165" t="s">
        <v>14</v>
      </c>
      <c r="G1165" t="s">
        <v>17</v>
      </c>
      <c r="H1165" s="2">
        <v>1232.7</v>
      </c>
    </row>
    <row r="1166" spans="1:8">
      <c r="A1166" t="s">
        <v>46</v>
      </c>
      <c r="B1166" t="s">
        <v>47</v>
      </c>
      <c r="C1166" t="s">
        <v>10</v>
      </c>
      <c r="D1166" t="s">
        <v>48</v>
      </c>
      <c r="E1166">
        <v>2019</v>
      </c>
      <c r="F1166" t="s">
        <v>21</v>
      </c>
      <c r="G1166" t="s">
        <v>13</v>
      </c>
      <c r="H1166" s="2">
        <v>39506.74</v>
      </c>
    </row>
    <row r="1167" spans="1:8">
      <c r="A1167" t="s">
        <v>46</v>
      </c>
      <c r="B1167" t="s">
        <v>47</v>
      </c>
      <c r="C1167" t="s">
        <v>10</v>
      </c>
      <c r="D1167" t="s">
        <v>48</v>
      </c>
      <c r="E1167">
        <v>2019</v>
      </c>
      <c r="F1167" t="s">
        <v>21</v>
      </c>
      <c r="G1167" t="s">
        <v>19</v>
      </c>
      <c r="H1167" s="2">
        <v>0</v>
      </c>
    </row>
    <row r="1168" spans="1:8">
      <c r="A1168" t="s">
        <v>46</v>
      </c>
      <c r="B1168" t="s">
        <v>47</v>
      </c>
      <c r="C1168" t="s">
        <v>10</v>
      </c>
      <c r="D1168" t="s">
        <v>48</v>
      </c>
      <c r="E1168">
        <v>2021</v>
      </c>
      <c r="F1168" t="s">
        <v>12</v>
      </c>
      <c r="G1168" t="s">
        <v>13</v>
      </c>
      <c r="H1168" s="2">
        <v>22332.81</v>
      </c>
    </row>
    <row r="1169" spans="1:8">
      <c r="A1169" t="s">
        <v>46</v>
      </c>
      <c r="B1169" t="s">
        <v>47</v>
      </c>
      <c r="C1169" t="s">
        <v>10</v>
      </c>
      <c r="D1169" t="s">
        <v>48</v>
      </c>
      <c r="E1169">
        <v>2021</v>
      </c>
      <c r="F1169" t="s">
        <v>18</v>
      </c>
      <c r="G1169" t="s">
        <v>13</v>
      </c>
      <c r="H1169" s="2">
        <v>13786.2</v>
      </c>
    </row>
    <row r="1170" spans="1:8">
      <c r="A1170" t="s">
        <v>46</v>
      </c>
      <c r="B1170" t="s">
        <v>47</v>
      </c>
      <c r="C1170" t="s">
        <v>10</v>
      </c>
      <c r="D1170" t="s">
        <v>48</v>
      </c>
      <c r="E1170">
        <v>2021</v>
      </c>
      <c r="F1170" t="s">
        <v>21</v>
      </c>
      <c r="G1170" t="s">
        <v>13</v>
      </c>
      <c r="H1170" s="2">
        <v>47041.29</v>
      </c>
    </row>
    <row r="1171" spans="1:8">
      <c r="A1171" t="s">
        <v>46</v>
      </c>
      <c r="B1171" t="s">
        <v>47</v>
      </c>
      <c r="C1171" t="s">
        <v>10</v>
      </c>
      <c r="D1171" t="s">
        <v>48</v>
      </c>
      <c r="E1171">
        <v>2022</v>
      </c>
      <c r="F1171" t="s">
        <v>20</v>
      </c>
      <c r="G1171" t="s">
        <v>17</v>
      </c>
      <c r="H1171" s="2">
        <v>200</v>
      </c>
    </row>
    <row r="1172" spans="1:8">
      <c r="A1172" t="s">
        <v>46</v>
      </c>
      <c r="B1172" t="s">
        <v>47</v>
      </c>
      <c r="C1172" t="s">
        <v>10</v>
      </c>
      <c r="D1172" t="s">
        <v>48</v>
      </c>
      <c r="E1172">
        <v>2024</v>
      </c>
      <c r="F1172" t="s">
        <v>12</v>
      </c>
      <c r="G1172" t="s">
        <v>17</v>
      </c>
      <c r="H1172" s="2">
        <v>666.77</v>
      </c>
    </row>
    <row r="1173" spans="1:8">
      <c r="A1173" t="s">
        <v>46</v>
      </c>
      <c r="B1173" t="s">
        <v>47</v>
      </c>
      <c r="C1173" t="s">
        <v>10</v>
      </c>
      <c r="D1173" t="s">
        <v>48</v>
      </c>
      <c r="E1173">
        <v>2024</v>
      </c>
      <c r="F1173" t="s">
        <v>18</v>
      </c>
      <c r="G1173" t="s">
        <v>17</v>
      </c>
      <c r="H1173" s="2">
        <v>863.73</v>
      </c>
    </row>
    <row r="1174" spans="1:8">
      <c r="A1174" t="s">
        <v>49</v>
      </c>
      <c r="B1174" t="s">
        <v>50</v>
      </c>
      <c r="C1174" t="s">
        <v>51</v>
      </c>
      <c r="D1174" t="s">
        <v>29</v>
      </c>
      <c r="E1174">
        <v>1990</v>
      </c>
      <c r="F1174" t="s">
        <v>18</v>
      </c>
      <c r="G1174" t="s">
        <v>13</v>
      </c>
      <c r="H1174" s="2">
        <v>479423.91</v>
      </c>
    </row>
    <row r="1175" spans="1:8">
      <c r="A1175" t="s">
        <v>49</v>
      </c>
      <c r="B1175" t="s">
        <v>50</v>
      </c>
      <c r="C1175" t="s">
        <v>51</v>
      </c>
      <c r="D1175" t="s">
        <v>29</v>
      </c>
      <c r="E1175">
        <v>1990</v>
      </c>
      <c r="F1175" t="s">
        <v>14</v>
      </c>
      <c r="G1175" t="s">
        <v>15</v>
      </c>
      <c r="H1175" s="2">
        <v>23175.4</v>
      </c>
    </row>
    <row r="1176" spans="1:8">
      <c r="A1176" t="s">
        <v>49</v>
      </c>
      <c r="B1176" t="s">
        <v>50</v>
      </c>
      <c r="C1176" t="s">
        <v>51</v>
      </c>
      <c r="D1176" t="s">
        <v>29</v>
      </c>
      <c r="E1176">
        <v>1990</v>
      </c>
      <c r="F1176" t="s">
        <v>21</v>
      </c>
      <c r="G1176" t="s">
        <v>15</v>
      </c>
      <c r="H1176" s="2">
        <v>4651.42</v>
      </c>
    </row>
    <row r="1177" spans="1:8">
      <c r="A1177" t="s">
        <v>49</v>
      </c>
      <c r="B1177" t="s">
        <v>50</v>
      </c>
      <c r="C1177" t="s">
        <v>51</v>
      </c>
      <c r="D1177" t="s">
        <v>29</v>
      </c>
      <c r="E1177">
        <v>1990</v>
      </c>
      <c r="F1177" t="s">
        <v>21</v>
      </c>
      <c r="G1177" t="s">
        <v>13</v>
      </c>
      <c r="H1177" s="2">
        <v>256121.14</v>
      </c>
    </row>
    <row r="1178" spans="1:8">
      <c r="A1178" t="s">
        <v>49</v>
      </c>
      <c r="B1178" t="s">
        <v>50</v>
      </c>
      <c r="C1178" t="s">
        <v>51</v>
      </c>
      <c r="D1178" t="s">
        <v>29</v>
      </c>
      <c r="E1178">
        <v>1990</v>
      </c>
      <c r="F1178" t="s">
        <v>16</v>
      </c>
      <c r="G1178" t="s">
        <v>19</v>
      </c>
      <c r="H1178" s="2">
        <v>0</v>
      </c>
    </row>
    <row r="1179" spans="1:8">
      <c r="A1179" t="s">
        <v>49</v>
      </c>
      <c r="B1179" t="s">
        <v>50</v>
      </c>
      <c r="C1179" t="s">
        <v>51</v>
      </c>
      <c r="D1179" t="s">
        <v>29</v>
      </c>
      <c r="E1179">
        <v>1991</v>
      </c>
      <c r="F1179" t="s">
        <v>18</v>
      </c>
      <c r="G1179" t="s">
        <v>17</v>
      </c>
      <c r="H1179" s="2">
        <v>25155.8</v>
      </c>
    </row>
    <row r="1180" spans="1:8">
      <c r="A1180" t="s">
        <v>49</v>
      </c>
      <c r="B1180" t="s">
        <v>50</v>
      </c>
      <c r="C1180" t="s">
        <v>51</v>
      </c>
      <c r="D1180" t="s">
        <v>29</v>
      </c>
      <c r="E1180">
        <v>1991</v>
      </c>
      <c r="F1180" t="s">
        <v>20</v>
      </c>
      <c r="G1180" t="s">
        <v>19</v>
      </c>
      <c r="H1180" s="2">
        <v>0</v>
      </c>
    </row>
    <row r="1181" spans="1:8">
      <c r="A1181" t="s">
        <v>49</v>
      </c>
      <c r="B1181" t="s">
        <v>50</v>
      </c>
      <c r="C1181" t="s">
        <v>51</v>
      </c>
      <c r="D1181" t="s">
        <v>29</v>
      </c>
      <c r="E1181">
        <v>1992</v>
      </c>
      <c r="F1181" t="s">
        <v>12</v>
      </c>
      <c r="G1181" t="s">
        <v>17</v>
      </c>
      <c r="H1181" s="2">
        <v>911.92</v>
      </c>
    </row>
    <row r="1182" spans="1:8">
      <c r="A1182" t="s">
        <v>49</v>
      </c>
      <c r="B1182" t="s">
        <v>50</v>
      </c>
      <c r="C1182" t="s">
        <v>51</v>
      </c>
      <c r="D1182" t="s">
        <v>29</v>
      </c>
      <c r="E1182">
        <v>1992</v>
      </c>
      <c r="F1182" t="s">
        <v>20</v>
      </c>
      <c r="G1182" t="s">
        <v>19</v>
      </c>
      <c r="H1182" s="2">
        <v>0</v>
      </c>
    </row>
    <row r="1183" spans="1:8">
      <c r="A1183" t="s">
        <v>49</v>
      </c>
      <c r="B1183" t="s">
        <v>50</v>
      </c>
      <c r="C1183" t="s">
        <v>51</v>
      </c>
      <c r="D1183" t="s">
        <v>29</v>
      </c>
      <c r="E1183">
        <v>1993</v>
      </c>
      <c r="F1183" t="s">
        <v>22</v>
      </c>
      <c r="G1183" t="s">
        <v>15</v>
      </c>
      <c r="H1183" s="2">
        <v>42554.14</v>
      </c>
    </row>
    <row r="1184" spans="1:8">
      <c r="A1184" t="s">
        <v>49</v>
      </c>
      <c r="B1184" t="s">
        <v>50</v>
      </c>
      <c r="C1184" t="s">
        <v>51</v>
      </c>
      <c r="D1184" t="s">
        <v>29</v>
      </c>
      <c r="E1184">
        <v>1993</v>
      </c>
      <c r="F1184" t="s">
        <v>22</v>
      </c>
      <c r="G1184" t="s">
        <v>19</v>
      </c>
      <c r="H1184" s="2">
        <v>0</v>
      </c>
    </row>
    <row r="1185" spans="1:8">
      <c r="A1185" t="s">
        <v>49</v>
      </c>
      <c r="B1185" t="s">
        <v>50</v>
      </c>
      <c r="C1185" t="s">
        <v>51</v>
      </c>
      <c r="D1185" t="s">
        <v>29</v>
      </c>
      <c r="E1185">
        <v>1993</v>
      </c>
      <c r="F1185" t="s">
        <v>22</v>
      </c>
      <c r="G1185" t="s">
        <v>17</v>
      </c>
      <c r="H1185" s="2">
        <v>13299.29</v>
      </c>
    </row>
    <row r="1186" spans="1:8">
      <c r="A1186" t="s">
        <v>49</v>
      </c>
      <c r="B1186" t="s">
        <v>50</v>
      </c>
      <c r="C1186" t="s">
        <v>51</v>
      </c>
      <c r="D1186" t="s">
        <v>29</v>
      </c>
      <c r="E1186">
        <v>1993</v>
      </c>
      <c r="F1186" t="s">
        <v>12</v>
      </c>
      <c r="G1186" t="s">
        <v>19</v>
      </c>
      <c r="H1186" s="2">
        <v>0</v>
      </c>
    </row>
    <row r="1187" spans="1:8">
      <c r="A1187" t="s">
        <v>49</v>
      </c>
      <c r="B1187" t="s">
        <v>50</v>
      </c>
      <c r="C1187" t="s">
        <v>51</v>
      </c>
      <c r="D1187" t="s">
        <v>29</v>
      </c>
      <c r="E1187">
        <v>1993</v>
      </c>
      <c r="F1187" t="s">
        <v>18</v>
      </c>
      <c r="G1187" t="s">
        <v>19</v>
      </c>
      <c r="H1187" s="2">
        <v>28413.65</v>
      </c>
    </row>
    <row r="1188" spans="1:8">
      <c r="A1188" t="s">
        <v>49</v>
      </c>
      <c r="B1188" t="s">
        <v>50</v>
      </c>
      <c r="C1188" t="s">
        <v>51</v>
      </c>
      <c r="D1188" t="s">
        <v>29</v>
      </c>
      <c r="E1188">
        <v>1993</v>
      </c>
      <c r="F1188" t="s">
        <v>20</v>
      </c>
      <c r="G1188" t="s">
        <v>19</v>
      </c>
      <c r="H1188" s="2">
        <v>0</v>
      </c>
    </row>
    <row r="1189" spans="1:8">
      <c r="A1189" t="s">
        <v>49</v>
      </c>
      <c r="B1189" t="s">
        <v>50</v>
      </c>
      <c r="C1189" t="s">
        <v>51</v>
      </c>
      <c r="D1189" t="s">
        <v>29</v>
      </c>
      <c r="E1189">
        <v>1993</v>
      </c>
      <c r="F1189" t="s">
        <v>21</v>
      </c>
      <c r="G1189" t="s">
        <v>15</v>
      </c>
      <c r="H1189" s="2">
        <v>4654.79</v>
      </c>
    </row>
    <row r="1190" spans="1:8">
      <c r="A1190" t="s">
        <v>49</v>
      </c>
      <c r="B1190" t="s">
        <v>50</v>
      </c>
      <c r="C1190" t="s">
        <v>51</v>
      </c>
      <c r="D1190" t="s">
        <v>29</v>
      </c>
      <c r="E1190">
        <v>1994</v>
      </c>
      <c r="F1190" t="s">
        <v>14</v>
      </c>
      <c r="G1190" t="s">
        <v>13</v>
      </c>
      <c r="H1190" s="2">
        <v>739749.85</v>
      </c>
    </row>
    <row r="1191" spans="1:8">
      <c r="A1191" t="s">
        <v>49</v>
      </c>
      <c r="B1191" t="s">
        <v>50</v>
      </c>
      <c r="C1191" t="s">
        <v>51</v>
      </c>
      <c r="D1191" t="s">
        <v>29</v>
      </c>
      <c r="E1191">
        <v>1994</v>
      </c>
      <c r="F1191" t="s">
        <v>21</v>
      </c>
      <c r="G1191" t="s">
        <v>19</v>
      </c>
      <c r="H1191" s="2">
        <v>0</v>
      </c>
    </row>
    <row r="1192" spans="1:8">
      <c r="A1192" t="s">
        <v>49</v>
      </c>
      <c r="B1192" t="s">
        <v>50</v>
      </c>
      <c r="C1192" t="s">
        <v>51</v>
      </c>
      <c r="D1192" t="s">
        <v>29</v>
      </c>
      <c r="E1192">
        <v>1995</v>
      </c>
      <c r="F1192" t="s">
        <v>20</v>
      </c>
      <c r="G1192" t="s">
        <v>15</v>
      </c>
      <c r="H1192" s="2">
        <v>684.92</v>
      </c>
    </row>
    <row r="1193" spans="1:8">
      <c r="A1193" t="s">
        <v>49</v>
      </c>
      <c r="B1193" t="s">
        <v>50</v>
      </c>
      <c r="C1193" t="s">
        <v>51</v>
      </c>
      <c r="D1193" t="s">
        <v>29</v>
      </c>
      <c r="E1193">
        <v>1995</v>
      </c>
      <c r="F1193" t="s">
        <v>16</v>
      </c>
      <c r="G1193" t="s">
        <v>15</v>
      </c>
      <c r="H1193" s="2">
        <v>65125.5</v>
      </c>
    </row>
    <row r="1194" spans="1:8">
      <c r="A1194" t="s">
        <v>49</v>
      </c>
      <c r="B1194" t="s">
        <v>50</v>
      </c>
      <c r="C1194" t="s">
        <v>51</v>
      </c>
      <c r="D1194" t="s">
        <v>29</v>
      </c>
      <c r="E1194">
        <v>1996</v>
      </c>
      <c r="F1194" t="s">
        <v>14</v>
      </c>
      <c r="G1194" t="s">
        <v>13</v>
      </c>
      <c r="H1194" s="2">
        <v>675901.77</v>
      </c>
    </row>
    <row r="1195" spans="1:8">
      <c r="A1195" t="s">
        <v>49</v>
      </c>
      <c r="B1195" t="s">
        <v>50</v>
      </c>
      <c r="C1195" t="s">
        <v>51</v>
      </c>
      <c r="D1195" t="s">
        <v>29</v>
      </c>
      <c r="E1195">
        <v>1996</v>
      </c>
      <c r="F1195" t="s">
        <v>14</v>
      </c>
      <c r="G1195" t="s">
        <v>17</v>
      </c>
      <c r="H1195" s="2">
        <v>14366.01</v>
      </c>
    </row>
    <row r="1196" spans="1:8">
      <c r="A1196" t="s">
        <v>49</v>
      </c>
      <c r="B1196" t="s">
        <v>50</v>
      </c>
      <c r="C1196" t="s">
        <v>51</v>
      </c>
      <c r="D1196" t="s">
        <v>29</v>
      </c>
      <c r="E1196">
        <v>1996</v>
      </c>
      <c r="F1196" t="s">
        <v>21</v>
      </c>
      <c r="G1196" t="s">
        <v>15</v>
      </c>
      <c r="H1196" s="2">
        <v>4581.43</v>
      </c>
    </row>
    <row r="1197" spans="1:8">
      <c r="A1197" t="s">
        <v>49</v>
      </c>
      <c r="B1197" t="s">
        <v>50</v>
      </c>
      <c r="C1197" t="s">
        <v>51</v>
      </c>
      <c r="D1197" t="s">
        <v>29</v>
      </c>
      <c r="E1197">
        <v>1996</v>
      </c>
      <c r="F1197" t="s">
        <v>21</v>
      </c>
      <c r="G1197" t="s">
        <v>13</v>
      </c>
      <c r="H1197" s="2">
        <v>235497.82</v>
      </c>
    </row>
    <row r="1198" spans="1:8">
      <c r="A1198" t="s">
        <v>49</v>
      </c>
      <c r="B1198" t="s">
        <v>50</v>
      </c>
      <c r="C1198" t="s">
        <v>51</v>
      </c>
      <c r="D1198" t="s">
        <v>29</v>
      </c>
      <c r="E1198">
        <v>1997</v>
      </c>
      <c r="F1198" t="s">
        <v>12</v>
      </c>
      <c r="G1198" t="s">
        <v>19</v>
      </c>
      <c r="H1198" s="2">
        <v>0</v>
      </c>
    </row>
    <row r="1199" spans="1:8">
      <c r="A1199" t="s">
        <v>49</v>
      </c>
      <c r="B1199" t="s">
        <v>50</v>
      </c>
      <c r="C1199" t="s">
        <v>51</v>
      </c>
      <c r="D1199" t="s">
        <v>29</v>
      </c>
      <c r="E1199">
        <v>1997</v>
      </c>
      <c r="F1199" t="s">
        <v>18</v>
      </c>
      <c r="G1199" t="s">
        <v>13</v>
      </c>
      <c r="H1199" s="2">
        <v>499716.99</v>
      </c>
    </row>
    <row r="1200" spans="1:8">
      <c r="A1200" t="s">
        <v>49</v>
      </c>
      <c r="B1200" t="s">
        <v>50</v>
      </c>
      <c r="C1200" t="s">
        <v>51</v>
      </c>
      <c r="D1200" t="s">
        <v>29</v>
      </c>
      <c r="E1200">
        <v>1997</v>
      </c>
      <c r="F1200" t="s">
        <v>14</v>
      </c>
      <c r="G1200" t="s">
        <v>13</v>
      </c>
      <c r="H1200" s="2">
        <v>713691.36</v>
      </c>
    </row>
    <row r="1201" spans="1:8">
      <c r="A1201" t="s">
        <v>49</v>
      </c>
      <c r="B1201" t="s">
        <v>50</v>
      </c>
      <c r="C1201" t="s">
        <v>51</v>
      </c>
      <c r="D1201" t="s">
        <v>29</v>
      </c>
      <c r="E1201">
        <v>1998</v>
      </c>
      <c r="F1201" t="s">
        <v>22</v>
      </c>
      <c r="G1201" t="s">
        <v>19</v>
      </c>
      <c r="H1201" s="2">
        <v>0</v>
      </c>
    </row>
    <row r="1202" spans="1:8">
      <c r="A1202" t="s">
        <v>49</v>
      </c>
      <c r="B1202" t="s">
        <v>50</v>
      </c>
      <c r="C1202" t="s">
        <v>51</v>
      </c>
      <c r="D1202" t="s">
        <v>29</v>
      </c>
      <c r="E1202">
        <v>1998</v>
      </c>
      <c r="F1202" t="s">
        <v>20</v>
      </c>
      <c r="G1202" t="s">
        <v>13</v>
      </c>
      <c r="H1202" s="2">
        <v>64701.73</v>
      </c>
    </row>
    <row r="1203" spans="1:8">
      <c r="A1203" t="s">
        <v>49</v>
      </c>
      <c r="B1203" t="s">
        <v>50</v>
      </c>
      <c r="C1203" t="s">
        <v>51</v>
      </c>
      <c r="D1203" t="s">
        <v>29</v>
      </c>
      <c r="E1203">
        <v>1998</v>
      </c>
      <c r="F1203" t="s">
        <v>14</v>
      </c>
      <c r="G1203" t="s">
        <v>13</v>
      </c>
      <c r="H1203" s="2">
        <v>633664.31999999995</v>
      </c>
    </row>
    <row r="1204" spans="1:8">
      <c r="A1204" t="s">
        <v>49</v>
      </c>
      <c r="B1204" t="s">
        <v>50</v>
      </c>
      <c r="C1204" t="s">
        <v>51</v>
      </c>
      <c r="D1204" t="s">
        <v>29</v>
      </c>
      <c r="E1204">
        <v>1999</v>
      </c>
      <c r="F1204" t="s">
        <v>14</v>
      </c>
      <c r="G1204" t="s">
        <v>17</v>
      </c>
      <c r="H1204" s="2">
        <v>17036.080000000002</v>
      </c>
    </row>
    <row r="1205" spans="1:8">
      <c r="A1205" t="s">
        <v>49</v>
      </c>
      <c r="B1205" t="s">
        <v>50</v>
      </c>
      <c r="C1205" t="s">
        <v>51</v>
      </c>
      <c r="D1205" t="s">
        <v>29</v>
      </c>
      <c r="E1205">
        <v>2000</v>
      </c>
      <c r="F1205" t="s">
        <v>16</v>
      </c>
      <c r="G1205" t="s">
        <v>19</v>
      </c>
      <c r="H1205" s="2">
        <v>0</v>
      </c>
    </row>
    <row r="1206" spans="1:8">
      <c r="A1206" t="s">
        <v>49</v>
      </c>
      <c r="B1206" t="s">
        <v>50</v>
      </c>
      <c r="C1206" t="s">
        <v>51</v>
      </c>
      <c r="D1206" t="s">
        <v>29</v>
      </c>
      <c r="E1206">
        <v>2001</v>
      </c>
      <c r="F1206" t="s">
        <v>12</v>
      </c>
      <c r="G1206" t="s">
        <v>15</v>
      </c>
      <c r="H1206" s="2">
        <v>2204.1799999999998</v>
      </c>
    </row>
    <row r="1207" spans="1:8">
      <c r="A1207" t="s">
        <v>49</v>
      </c>
      <c r="B1207" t="s">
        <v>50</v>
      </c>
      <c r="C1207" t="s">
        <v>51</v>
      </c>
      <c r="D1207" t="s">
        <v>29</v>
      </c>
      <c r="E1207">
        <v>2001</v>
      </c>
      <c r="F1207" t="s">
        <v>18</v>
      </c>
      <c r="G1207" t="s">
        <v>13</v>
      </c>
      <c r="H1207" s="2">
        <v>515127.9</v>
      </c>
    </row>
    <row r="1208" spans="1:8">
      <c r="A1208" t="s">
        <v>49</v>
      </c>
      <c r="B1208" t="s">
        <v>50</v>
      </c>
      <c r="C1208" t="s">
        <v>51</v>
      </c>
      <c r="D1208" t="s">
        <v>29</v>
      </c>
      <c r="E1208">
        <v>2001</v>
      </c>
      <c r="F1208" t="s">
        <v>18</v>
      </c>
      <c r="G1208" t="s">
        <v>19</v>
      </c>
      <c r="H1208" s="2">
        <v>28849.08</v>
      </c>
    </row>
    <row r="1209" spans="1:8">
      <c r="A1209" t="s">
        <v>49</v>
      </c>
      <c r="B1209" t="s">
        <v>50</v>
      </c>
      <c r="C1209" t="s">
        <v>51</v>
      </c>
      <c r="D1209" t="s">
        <v>29</v>
      </c>
      <c r="E1209">
        <v>2002</v>
      </c>
      <c r="F1209" t="s">
        <v>22</v>
      </c>
      <c r="G1209" t="s">
        <v>15</v>
      </c>
      <c r="H1209" s="2">
        <v>42533.11</v>
      </c>
    </row>
    <row r="1210" spans="1:8">
      <c r="A1210" t="s">
        <v>49</v>
      </c>
      <c r="B1210" t="s">
        <v>50</v>
      </c>
      <c r="C1210" t="s">
        <v>51</v>
      </c>
      <c r="D1210" t="s">
        <v>29</v>
      </c>
      <c r="E1210">
        <v>2003</v>
      </c>
      <c r="F1210" t="s">
        <v>18</v>
      </c>
      <c r="G1210" t="s">
        <v>13</v>
      </c>
      <c r="H1210" s="2">
        <v>474535.63</v>
      </c>
    </row>
    <row r="1211" spans="1:8">
      <c r="A1211" t="s">
        <v>49</v>
      </c>
      <c r="B1211" t="s">
        <v>50</v>
      </c>
      <c r="C1211" t="s">
        <v>51</v>
      </c>
      <c r="D1211" t="s">
        <v>29</v>
      </c>
      <c r="E1211">
        <v>2003</v>
      </c>
      <c r="F1211" t="s">
        <v>20</v>
      </c>
      <c r="G1211" t="s">
        <v>19</v>
      </c>
      <c r="H1211" s="2">
        <v>0</v>
      </c>
    </row>
    <row r="1212" spans="1:8">
      <c r="A1212" t="s">
        <v>49</v>
      </c>
      <c r="B1212" t="s">
        <v>50</v>
      </c>
      <c r="C1212" t="s">
        <v>51</v>
      </c>
      <c r="D1212" t="s">
        <v>29</v>
      </c>
      <c r="E1212">
        <v>2005</v>
      </c>
      <c r="F1212" t="s">
        <v>12</v>
      </c>
      <c r="G1212" t="s">
        <v>15</v>
      </c>
      <c r="H1212" s="2">
        <v>2204.4699999999998</v>
      </c>
    </row>
    <row r="1213" spans="1:8">
      <c r="A1213" t="s">
        <v>49</v>
      </c>
      <c r="B1213" t="s">
        <v>50</v>
      </c>
      <c r="C1213" t="s">
        <v>51</v>
      </c>
      <c r="D1213" t="s">
        <v>29</v>
      </c>
      <c r="E1213">
        <v>2005</v>
      </c>
      <c r="F1213" t="s">
        <v>18</v>
      </c>
      <c r="G1213" t="s">
        <v>15</v>
      </c>
      <c r="H1213" s="2">
        <v>30570.91</v>
      </c>
    </row>
    <row r="1214" spans="1:8">
      <c r="A1214" t="s">
        <v>49</v>
      </c>
      <c r="B1214" t="s">
        <v>50</v>
      </c>
      <c r="C1214" t="s">
        <v>51</v>
      </c>
      <c r="D1214" t="s">
        <v>29</v>
      </c>
      <c r="E1214">
        <v>2005</v>
      </c>
      <c r="F1214" t="s">
        <v>20</v>
      </c>
      <c r="G1214" t="s">
        <v>13</v>
      </c>
      <c r="H1214" s="2">
        <v>68580.7</v>
      </c>
    </row>
    <row r="1215" spans="1:8">
      <c r="A1215" t="s">
        <v>49</v>
      </c>
      <c r="B1215" t="s">
        <v>50</v>
      </c>
      <c r="C1215" t="s">
        <v>51</v>
      </c>
      <c r="D1215" t="s">
        <v>29</v>
      </c>
      <c r="E1215">
        <v>2005</v>
      </c>
      <c r="F1215" t="s">
        <v>14</v>
      </c>
      <c r="G1215" t="s">
        <v>15</v>
      </c>
      <c r="H1215" s="2">
        <v>22170.94</v>
      </c>
    </row>
    <row r="1216" spans="1:8">
      <c r="A1216" t="s">
        <v>49</v>
      </c>
      <c r="B1216" t="s">
        <v>50</v>
      </c>
      <c r="C1216" t="s">
        <v>51</v>
      </c>
      <c r="D1216" t="s">
        <v>29</v>
      </c>
      <c r="E1216">
        <v>2006</v>
      </c>
      <c r="F1216" t="s">
        <v>18</v>
      </c>
      <c r="G1216" t="s">
        <v>17</v>
      </c>
      <c r="H1216" s="2">
        <v>34670.17</v>
      </c>
    </row>
    <row r="1217" spans="1:8">
      <c r="A1217" t="s">
        <v>49</v>
      </c>
      <c r="B1217" t="s">
        <v>50</v>
      </c>
      <c r="C1217" t="s">
        <v>51</v>
      </c>
      <c r="D1217" t="s">
        <v>29</v>
      </c>
      <c r="E1217">
        <v>2006</v>
      </c>
      <c r="F1217" t="s">
        <v>20</v>
      </c>
      <c r="G1217" t="s">
        <v>19</v>
      </c>
      <c r="H1217" s="2">
        <v>0</v>
      </c>
    </row>
    <row r="1218" spans="1:8">
      <c r="A1218" t="s">
        <v>49</v>
      </c>
      <c r="B1218" t="s">
        <v>50</v>
      </c>
      <c r="C1218" t="s">
        <v>51</v>
      </c>
      <c r="D1218" t="s">
        <v>29</v>
      </c>
      <c r="E1218">
        <v>2006</v>
      </c>
      <c r="F1218" t="s">
        <v>16</v>
      </c>
      <c r="G1218" t="s">
        <v>13</v>
      </c>
      <c r="H1218" s="2">
        <v>14092.34</v>
      </c>
    </row>
    <row r="1219" spans="1:8">
      <c r="A1219" t="s">
        <v>49</v>
      </c>
      <c r="B1219" t="s">
        <v>50</v>
      </c>
      <c r="C1219" t="s">
        <v>51</v>
      </c>
      <c r="D1219" t="s">
        <v>29</v>
      </c>
      <c r="E1219">
        <v>2006</v>
      </c>
      <c r="F1219" t="s">
        <v>16</v>
      </c>
      <c r="G1219" t="s">
        <v>19</v>
      </c>
      <c r="H1219" s="2">
        <v>0</v>
      </c>
    </row>
    <row r="1220" spans="1:8">
      <c r="A1220" t="s">
        <v>49</v>
      </c>
      <c r="B1220" t="s">
        <v>50</v>
      </c>
      <c r="C1220" t="s">
        <v>51</v>
      </c>
      <c r="D1220" t="s">
        <v>29</v>
      </c>
      <c r="E1220">
        <v>2007</v>
      </c>
      <c r="F1220" t="s">
        <v>12</v>
      </c>
      <c r="G1220" t="s">
        <v>15</v>
      </c>
      <c r="H1220" s="2">
        <v>2311.4499999999998</v>
      </c>
    </row>
    <row r="1221" spans="1:8">
      <c r="A1221" t="s">
        <v>49</v>
      </c>
      <c r="B1221" t="s">
        <v>50</v>
      </c>
      <c r="C1221" t="s">
        <v>51</v>
      </c>
      <c r="D1221" t="s">
        <v>29</v>
      </c>
      <c r="E1221">
        <v>2007</v>
      </c>
      <c r="F1221" t="s">
        <v>12</v>
      </c>
      <c r="G1221" t="s">
        <v>13</v>
      </c>
      <c r="H1221" s="2">
        <v>30855.99</v>
      </c>
    </row>
    <row r="1222" spans="1:8">
      <c r="A1222" t="s">
        <v>49</v>
      </c>
      <c r="B1222" t="s">
        <v>50</v>
      </c>
      <c r="C1222" t="s">
        <v>51</v>
      </c>
      <c r="D1222" t="s">
        <v>29</v>
      </c>
      <c r="E1222">
        <v>2007</v>
      </c>
      <c r="F1222" t="s">
        <v>12</v>
      </c>
      <c r="G1222" t="s">
        <v>19</v>
      </c>
      <c r="H1222" s="2">
        <v>0</v>
      </c>
    </row>
    <row r="1223" spans="1:8">
      <c r="A1223" t="s">
        <v>49</v>
      </c>
      <c r="B1223" t="s">
        <v>50</v>
      </c>
      <c r="C1223" t="s">
        <v>51</v>
      </c>
      <c r="D1223" t="s">
        <v>29</v>
      </c>
      <c r="E1223">
        <v>2008</v>
      </c>
      <c r="F1223" t="s">
        <v>22</v>
      </c>
      <c r="G1223" t="s">
        <v>15</v>
      </c>
      <c r="H1223" s="2">
        <v>51904.52</v>
      </c>
    </row>
    <row r="1224" spans="1:8">
      <c r="A1224" t="s">
        <v>49</v>
      </c>
      <c r="B1224" t="s">
        <v>50</v>
      </c>
      <c r="C1224" t="s">
        <v>51</v>
      </c>
      <c r="D1224" t="s">
        <v>29</v>
      </c>
      <c r="E1224">
        <v>2008</v>
      </c>
      <c r="F1224" t="s">
        <v>22</v>
      </c>
      <c r="G1224" t="s">
        <v>19</v>
      </c>
      <c r="H1224" s="2">
        <v>0</v>
      </c>
    </row>
    <row r="1225" spans="1:8">
      <c r="A1225" t="s">
        <v>49</v>
      </c>
      <c r="B1225" t="s">
        <v>50</v>
      </c>
      <c r="C1225" t="s">
        <v>51</v>
      </c>
      <c r="D1225" t="s">
        <v>29</v>
      </c>
      <c r="E1225">
        <v>2008</v>
      </c>
      <c r="F1225" t="s">
        <v>18</v>
      </c>
      <c r="G1225" t="s">
        <v>15</v>
      </c>
      <c r="H1225" s="2">
        <v>33869.64</v>
      </c>
    </row>
    <row r="1226" spans="1:8">
      <c r="A1226" t="s">
        <v>49</v>
      </c>
      <c r="B1226" t="s">
        <v>50</v>
      </c>
      <c r="C1226" t="s">
        <v>51</v>
      </c>
      <c r="D1226" t="s">
        <v>29</v>
      </c>
      <c r="E1226">
        <v>2008</v>
      </c>
      <c r="F1226" t="s">
        <v>18</v>
      </c>
      <c r="G1226" t="s">
        <v>17</v>
      </c>
      <c r="H1226" s="2">
        <v>33041.35</v>
      </c>
    </row>
    <row r="1227" spans="1:8">
      <c r="A1227" t="s">
        <v>49</v>
      </c>
      <c r="B1227" t="s">
        <v>50</v>
      </c>
      <c r="C1227" t="s">
        <v>51</v>
      </c>
      <c r="D1227" t="s">
        <v>29</v>
      </c>
      <c r="E1227">
        <v>2008</v>
      </c>
      <c r="F1227" t="s">
        <v>20</v>
      </c>
      <c r="G1227" t="s">
        <v>15</v>
      </c>
      <c r="H1227" s="2">
        <v>761.22</v>
      </c>
    </row>
    <row r="1228" spans="1:8">
      <c r="A1228" t="s">
        <v>49</v>
      </c>
      <c r="B1228" t="s">
        <v>50</v>
      </c>
      <c r="C1228" t="s">
        <v>51</v>
      </c>
      <c r="D1228" t="s">
        <v>29</v>
      </c>
      <c r="E1228">
        <v>2008</v>
      </c>
      <c r="F1228" t="s">
        <v>21</v>
      </c>
      <c r="G1228" t="s">
        <v>13</v>
      </c>
      <c r="H1228" s="2">
        <v>258685.07</v>
      </c>
    </row>
    <row r="1229" spans="1:8">
      <c r="A1229" t="s">
        <v>49</v>
      </c>
      <c r="B1229" t="s">
        <v>50</v>
      </c>
      <c r="C1229" t="s">
        <v>51</v>
      </c>
      <c r="D1229" t="s">
        <v>29</v>
      </c>
      <c r="E1229">
        <v>2008</v>
      </c>
      <c r="F1229" t="s">
        <v>16</v>
      </c>
      <c r="G1229" t="s">
        <v>15</v>
      </c>
      <c r="H1229" s="2">
        <v>72380.960000000006</v>
      </c>
    </row>
    <row r="1230" spans="1:8">
      <c r="A1230" t="s">
        <v>49</v>
      </c>
      <c r="B1230" t="s">
        <v>50</v>
      </c>
      <c r="C1230" t="s">
        <v>51</v>
      </c>
      <c r="D1230" t="s">
        <v>29</v>
      </c>
      <c r="E1230">
        <v>2008</v>
      </c>
      <c r="F1230" t="s">
        <v>16</v>
      </c>
      <c r="G1230" t="s">
        <v>13</v>
      </c>
      <c r="H1230" s="2">
        <v>14604.25</v>
      </c>
    </row>
    <row r="1231" spans="1:8">
      <c r="A1231" t="s">
        <v>49</v>
      </c>
      <c r="B1231" t="s">
        <v>50</v>
      </c>
      <c r="C1231" t="s">
        <v>51</v>
      </c>
      <c r="D1231" t="s">
        <v>29</v>
      </c>
      <c r="E1231">
        <v>2009</v>
      </c>
      <c r="F1231" t="s">
        <v>12</v>
      </c>
      <c r="G1231" t="s">
        <v>15</v>
      </c>
      <c r="H1231" s="2">
        <v>2145.96</v>
      </c>
    </row>
    <row r="1232" spans="1:8">
      <c r="A1232" t="s">
        <v>49</v>
      </c>
      <c r="B1232" t="s">
        <v>50</v>
      </c>
      <c r="C1232" t="s">
        <v>51</v>
      </c>
      <c r="D1232" t="s">
        <v>29</v>
      </c>
      <c r="E1232">
        <v>2009</v>
      </c>
      <c r="F1232" t="s">
        <v>14</v>
      </c>
      <c r="G1232" t="s">
        <v>15</v>
      </c>
      <c r="H1232" s="2">
        <v>20327.71</v>
      </c>
    </row>
    <row r="1233" spans="1:8">
      <c r="A1233" t="s">
        <v>49</v>
      </c>
      <c r="B1233" t="s">
        <v>50</v>
      </c>
      <c r="C1233" t="s">
        <v>51</v>
      </c>
      <c r="D1233" t="s">
        <v>29</v>
      </c>
      <c r="E1233">
        <v>2009</v>
      </c>
      <c r="F1233" t="s">
        <v>14</v>
      </c>
      <c r="G1233" t="s">
        <v>13</v>
      </c>
      <c r="H1233" s="2">
        <v>691206.77</v>
      </c>
    </row>
    <row r="1234" spans="1:8">
      <c r="A1234" t="s">
        <v>49</v>
      </c>
      <c r="B1234" t="s">
        <v>50</v>
      </c>
      <c r="C1234" t="s">
        <v>51</v>
      </c>
      <c r="D1234" t="s">
        <v>29</v>
      </c>
      <c r="E1234">
        <v>2009</v>
      </c>
      <c r="F1234" t="s">
        <v>21</v>
      </c>
      <c r="G1234" t="s">
        <v>13</v>
      </c>
      <c r="H1234" s="2">
        <v>250375.3</v>
      </c>
    </row>
    <row r="1235" spans="1:8">
      <c r="A1235" t="s">
        <v>49</v>
      </c>
      <c r="B1235" t="s">
        <v>50</v>
      </c>
      <c r="C1235" t="s">
        <v>51</v>
      </c>
      <c r="D1235" t="s">
        <v>29</v>
      </c>
      <c r="E1235">
        <v>2009</v>
      </c>
      <c r="F1235" t="s">
        <v>21</v>
      </c>
      <c r="G1235" t="s">
        <v>17</v>
      </c>
      <c r="H1235" s="2">
        <v>2534.9899999999998</v>
      </c>
    </row>
    <row r="1236" spans="1:8">
      <c r="A1236" t="s">
        <v>49</v>
      </c>
      <c r="B1236" t="s">
        <v>50</v>
      </c>
      <c r="C1236" t="s">
        <v>51</v>
      </c>
      <c r="D1236" t="s">
        <v>29</v>
      </c>
      <c r="E1236">
        <v>2010</v>
      </c>
      <c r="F1236" t="s">
        <v>12</v>
      </c>
      <c r="G1236" t="s">
        <v>13</v>
      </c>
      <c r="H1236" s="2">
        <v>28071.4</v>
      </c>
    </row>
    <row r="1237" spans="1:8">
      <c r="A1237" t="s">
        <v>49</v>
      </c>
      <c r="B1237" t="s">
        <v>50</v>
      </c>
      <c r="C1237" t="s">
        <v>51</v>
      </c>
      <c r="D1237" t="s">
        <v>29</v>
      </c>
      <c r="E1237">
        <v>2010</v>
      </c>
      <c r="F1237" t="s">
        <v>12</v>
      </c>
      <c r="G1237" t="s">
        <v>19</v>
      </c>
      <c r="H1237" s="2">
        <v>0</v>
      </c>
    </row>
    <row r="1238" spans="1:8">
      <c r="A1238" t="s">
        <v>49</v>
      </c>
      <c r="B1238" t="s">
        <v>50</v>
      </c>
      <c r="C1238" t="s">
        <v>51</v>
      </c>
      <c r="D1238" t="s">
        <v>29</v>
      </c>
      <c r="E1238">
        <v>2010</v>
      </c>
      <c r="F1238" t="s">
        <v>16</v>
      </c>
      <c r="G1238" t="s">
        <v>17</v>
      </c>
      <c r="H1238" s="2">
        <v>4190.7</v>
      </c>
    </row>
    <row r="1239" spans="1:8">
      <c r="A1239" t="s">
        <v>49</v>
      </c>
      <c r="B1239" t="s">
        <v>50</v>
      </c>
      <c r="C1239" t="s">
        <v>51</v>
      </c>
      <c r="D1239" t="s">
        <v>29</v>
      </c>
      <c r="E1239">
        <v>2011</v>
      </c>
      <c r="F1239" t="s">
        <v>22</v>
      </c>
      <c r="G1239" t="s">
        <v>15</v>
      </c>
      <c r="H1239" s="2">
        <v>54915.74</v>
      </c>
    </row>
    <row r="1240" spans="1:8">
      <c r="A1240" t="s">
        <v>49</v>
      </c>
      <c r="B1240" t="s">
        <v>50</v>
      </c>
      <c r="C1240" t="s">
        <v>51</v>
      </c>
      <c r="D1240" t="s">
        <v>29</v>
      </c>
      <c r="E1240">
        <v>2011</v>
      </c>
      <c r="F1240" t="s">
        <v>22</v>
      </c>
      <c r="G1240" t="s">
        <v>13</v>
      </c>
      <c r="H1240" s="2">
        <v>7274.5</v>
      </c>
    </row>
    <row r="1241" spans="1:8">
      <c r="A1241" t="s">
        <v>49</v>
      </c>
      <c r="B1241" t="s">
        <v>50</v>
      </c>
      <c r="C1241" t="s">
        <v>51</v>
      </c>
      <c r="D1241" t="s">
        <v>29</v>
      </c>
      <c r="E1241">
        <v>2011</v>
      </c>
      <c r="F1241" t="s">
        <v>21</v>
      </c>
      <c r="G1241" t="s">
        <v>19</v>
      </c>
      <c r="H1241" s="2">
        <v>0</v>
      </c>
    </row>
    <row r="1242" spans="1:8">
      <c r="A1242" t="s">
        <v>49</v>
      </c>
      <c r="B1242" t="s">
        <v>50</v>
      </c>
      <c r="C1242" t="s">
        <v>51</v>
      </c>
      <c r="D1242" t="s">
        <v>29</v>
      </c>
      <c r="E1242">
        <v>2012</v>
      </c>
      <c r="F1242" t="s">
        <v>22</v>
      </c>
      <c r="G1242" t="s">
        <v>13</v>
      </c>
      <c r="H1242" s="2">
        <v>7218.54</v>
      </c>
    </row>
    <row r="1243" spans="1:8">
      <c r="A1243" t="s">
        <v>49</v>
      </c>
      <c r="B1243" t="s">
        <v>50</v>
      </c>
      <c r="C1243" t="s">
        <v>51</v>
      </c>
      <c r="D1243" t="s">
        <v>29</v>
      </c>
      <c r="E1243">
        <v>2012</v>
      </c>
      <c r="F1243" t="s">
        <v>20</v>
      </c>
      <c r="G1243" t="s">
        <v>19</v>
      </c>
      <c r="H1243" s="2">
        <v>0</v>
      </c>
    </row>
    <row r="1244" spans="1:8">
      <c r="A1244" t="s">
        <v>49</v>
      </c>
      <c r="B1244" t="s">
        <v>50</v>
      </c>
      <c r="C1244" t="s">
        <v>51</v>
      </c>
      <c r="D1244" t="s">
        <v>29</v>
      </c>
      <c r="E1244">
        <v>2013</v>
      </c>
      <c r="F1244" t="s">
        <v>12</v>
      </c>
      <c r="G1244" t="s">
        <v>19</v>
      </c>
      <c r="H1244" s="2">
        <v>0</v>
      </c>
    </row>
    <row r="1245" spans="1:8">
      <c r="A1245" t="s">
        <v>49</v>
      </c>
      <c r="B1245" t="s">
        <v>50</v>
      </c>
      <c r="C1245" t="s">
        <v>51</v>
      </c>
      <c r="D1245" t="s">
        <v>29</v>
      </c>
      <c r="E1245">
        <v>2013</v>
      </c>
      <c r="F1245" t="s">
        <v>20</v>
      </c>
      <c r="G1245" t="s">
        <v>19</v>
      </c>
      <c r="H1245" s="2">
        <v>0</v>
      </c>
    </row>
    <row r="1246" spans="1:8">
      <c r="A1246" t="s">
        <v>49</v>
      </c>
      <c r="B1246" t="s">
        <v>50</v>
      </c>
      <c r="C1246" t="s">
        <v>51</v>
      </c>
      <c r="D1246" t="s">
        <v>29</v>
      </c>
      <c r="E1246">
        <v>2013</v>
      </c>
      <c r="F1246" t="s">
        <v>21</v>
      </c>
      <c r="G1246" t="s">
        <v>17</v>
      </c>
      <c r="H1246" s="2">
        <v>2399.8200000000002</v>
      </c>
    </row>
    <row r="1247" spans="1:8">
      <c r="A1247" t="s">
        <v>49</v>
      </c>
      <c r="B1247" t="s">
        <v>50</v>
      </c>
      <c r="C1247" t="s">
        <v>51</v>
      </c>
      <c r="D1247" t="s">
        <v>29</v>
      </c>
      <c r="E1247">
        <v>2014</v>
      </c>
      <c r="F1247" t="s">
        <v>20</v>
      </c>
      <c r="G1247" t="s">
        <v>13</v>
      </c>
      <c r="H1247" s="2">
        <v>76319.69</v>
      </c>
    </row>
    <row r="1248" spans="1:8">
      <c r="A1248" t="s">
        <v>49</v>
      </c>
      <c r="B1248" t="s">
        <v>50</v>
      </c>
      <c r="C1248" t="s">
        <v>51</v>
      </c>
      <c r="D1248" t="s">
        <v>29</v>
      </c>
      <c r="E1248">
        <v>2014</v>
      </c>
      <c r="F1248" t="s">
        <v>14</v>
      </c>
      <c r="G1248" t="s">
        <v>17</v>
      </c>
      <c r="H1248" s="2">
        <v>14670.45</v>
      </c>
    </row>
    <row r="1249" spans="1:8">
      <c r="A1249" t="s">
        <v>49</v>
      </c>
      <c r="B1249" t="s">
        <v>50</v>
      </c>
      <c r="C1249" t="s">
        <v>51</v>
      </c>
      <c r="D1249" t="s">
        <v>29</v>
      </c>
      <c r="E1249">
        <v>2015</v>
      </c>
      <c r="F1249" t="s">
        <v>22</v>
      </c>
      <c r="G1249" t="s">
        <v>13</v>
      </c>
      <c r="H1249" s="2">
        <v>6416.79</v>
      </c>
    </row>
    <row r="1250" spans="1:8">
      <c r="A1250" t="s">
        <v>49</v>
      </c>
      <c r="B1250" t="s">
        <v>50</v>
      </c>
      <c r="C1250" t="s">
        <v>51</v>
      </c>
      <c r="D1250" t="s">
        <v>29</v>
      </c>
      <c r="E1250">
        <v>2015</v>
      </c>
      <c r="F1250" t="s">
        <v>12</v>
      </c>
      <c r="G1250" t="s">
        <v>15</v>
      </c>
      <c r="H1250" s="2">
        <v>2347.62</v>
      </c>
    </row>
    <row r="1251" spans="1:8">
      <c r="A1251" t="s">
        <v>49</v>
      </c>
      <c r="B1251" t="s">
        <v>50</v>
      </c>
      <c r="C1251" t="s">
        <v>51</v>
      </c>
      <c r="D1251" t="s">
        <v>29</v>
      </c>
      <c r="E1251">
        <v>2015</v>
      </c>
      <c r="F1251" t="s">
        <v>21</v>
      </c>
      <c r="G1251" t="s">
        <v>13</v>
      </c>
      <c r="H1251" s="2">
        <v>233796.38</v>
      </c>
    </row>
    <row r="1252" spans="1:8">
      <c r="A1252" t="s">
        <v>49</v>
      </c>
      <c r="B1252" t="s">
        <v>50</v>
      </c>
      <c r="C1252" t="s">
        <v>51</v>
      </c>
      <c r="D1252" t="s">
        <v>29</v>
      </c>
      <c r="E1252">
        <v>2015</v>
      </c>
      <c r="F1252" t="s">
        <v>16</v>
      </c>
      <c r="G1252" t="s">
        <v>19</v>
      </c>
      <c r="H1252" s="2">
        <v>0</v>
      </c>
    </row>
    <row r="1253" spans="1:8">
      <c r="A1253" t="s">
        <v>49</v>
      </c>
      <c r="B1253" t="s">
        <v>50</v>
      </c>
      <c r="C1253" t="s">
        <v>51</v>
      </c>
      <c r="D1253" t="s">
        <v>29</v>
      </c>
      <c r="E1253">
        <v>2016</v>
      </c>
      <c r="F1253" t="s">
        <v>12</v>
      </c>
      <c r="G1253" t="s">
        <v>17</v>
      </c>
      <c r="H1253" s="2">
        <v>996.4</v>
      </c>
    </row>
    <row r="1254" spans="1:8">
      <c r="A1254" t="s">
        <v>49</v>
      </c>
      <c r="B1254" t="s">
        <v>50</v>
      </c>
      <c r="C1254" t="s">
        <v>51</v>
      </c>
      <c r="D1254" t="s">
        <v>29</v>
      </c>
      <c r="E1254">
        <v>2016</v>
      </c>
      <c r="F1254" t="s">
        <v>18</v>
      </c>
      <c r="G1254" t="s">
        <v>13</v>
      </c>
      <c r="H1254" s="2">
        <v>463230.39</v>
      </c>
    </row>
    <row r="1255" spans="1:8">
      <c r="A1255" t="s">
        <v>49</v>
      </c>
      <c r="B1255" t="s">
        <v>50</v>
      </c>
      <c r="C1255" t="s">
        <v>51</v>
      </c>
      <c r="D1255" t="s">
        <v>29</v>
      </c>
      <c r="E1255">
        <v>2016</v>
      </c>
      <c r="F1255" t="s">
        <v>20</v>
      </c>
      <c r="G1255" t="s">
        <v>17</v>
      </c>
      <c r="H1255" s="2">
        <v>661.69</v>
      </c>
    </row>
    <row r="1256" spans="1:8">
      <c r="A1256" t="s">
        <v>49</v>
      </c>
      <c r="B1256" t="s">
        <v>50</v>
      </c>
      <c r="C1256" t="s">
        <v>51</v>
      </c>
      <c r="D1256" t="s">
        <v>29</v>
      </c>
      <c r="E1256">
        <v>2017</v>
      </c>
      <c r="F1256" t="s">
        <v>18</v>
      </c>
      <c r="G1256" t="s">
        <v>13</v>
      </c>
      <c r="H1256" s="2">
        <v>510996.5</v>
      </c>
    </row>
    <row r="1257" spans="1:8">
      <c r="A1257" t="s">
        <v>49</v>
      </c>
      <c r="B1257" t="s">
        <v>50</v>
      </c>
      <c r="C1257" t="s">
        <v>51</v>
      </c>
      <c r="D1257" t="s">
        <v>29</v>
      </c>
      <c r="E1257">
        <v>2017</v>
      </c>
      <c r="F1257" t="s">
        <v>20</v>
      </c>
      <c r="G1257" t="s">
        <v>17</v>
      </c>
      <c r="H1257" s="2">
        <v>700.61</v>
      </c>
    </row>
    <row r="1258" spans="1:8">
      <c r="A1258" t="s">
        <v>49</v>
      </c>
      <c r="B1258" t="s">
        <v>50</v>
      </c>
      <c r="C1258" t="s">
        <v>51</v>
      </c>
      <c r="D1258" t="s">
        <v>29</v>
      </c>
      <c r="E1258">
        <v>2017</v>
      </c>
      <c r="F1258" t="s">
        <v>16</v>
      </c>
      <c r="G1258" t="s">
        <v>15</v>
      </c>
      <c r="H1258" s="2">
        <v>68229.259999999995</v>
      </c>
    </row>
    <row r="1259" spans="1:8">
      <c r="A1259" t="s">
        <v>49</v>
      </c>
      <c r="B1259" t="s">
        <v>50</v>
      </c>
      <c r="C1259" t="s">
        <v>51</v>
      </c>
      <c r="D1259" t="s">
        <v>29</v>
      </c>
      <c r="E1259">
        <v>2018</v>
      </c>
      <c r="F1259" t="s">
        <v>12</v>
      </c>
      <c r="G1259" t="s">
        <v>19</v>
      </c>
      <c r="H1259" s="2">
        <v>0</v>
      </c>
    </row>
    <row r="1260" spans="1:8">
      <c r="A1260" t="s">
        <v>49</v>
      </c>
      <c r="B1260" t="s">
        <v>50</v>
      </c>
      <c r="C1260" t="s">
        <v>51</v>
      </c>
      <c r="D1260" t="s">
        <v>29</v>
      </c>
      <c r="E1260">
        <v>2018</v>
      </c>
      <c r="F1260" t="s">
        <v>18</v>
      </c>
      <c r="G1260" t="s">
        <v>17</v>
      </c>
      <c r="H1260" s="2">
        <v>27172.16</v>
      </c>
    </row>
    <row r="1261" spans="1:8">
      <c r="A1261" t="s">
        <v>49</v>
      </c>
      <c r="B1261" t="s">
        <v>50</v>
      </c>
      <c r="C1261" t="s">
        <v>51</v>
      </c>
      <c r="D1261" t="s">
        <v>29</v>
      </c>
      <c r="E1261">
        <v>2018</v>
      </c>
      <c r="F1261" t="s">
        <v>20</v>
      </c>
      <c r="G1261" t="s">
        <v>19</v>
      </c>
      <c r="H1261" s="2">
        <v>0</v>
      </c>
    </row>
    <row r="1262" spans="1:8">
      <c r="A1262" t="s">
        <v>49</v>
      </c>
      <c r="B1262" t="s">
        <v>50</v>
      </c>
      <c r="C1262" t="s">
        <v>51</v>
      </c>
      <c r="D1262" t="s">
        <v>29</v>
      </c>
      <c r="E1262">
        <v>2018</v>
      </c>
      <c r="F1262" t="s">
        <v>20</v>
      </c>
      <c r="G1262" t="s">
        <v>17</v>
      </c>
      <c r="H1262" s="2">
        <v>642.4</v>
      </c>
    </row>
    <row r="1263" spans="1:8">
      <c r="A1263" t="s">
        <v>49</v>
      </c>
      <c r="B1263" t="s">
        <v>50</v>
      </c>
      <c r="C1263" t="s">
        <v>51</v>
      </c>
      <c r="D1263" t="s">
        <v>29</v>
      </c>
      <c r="E1263">
        <v>2019</v>
      </c>
      <c r="F1263" t="s">
        <v>12</v>
      </c>
      <c r="G1263" t="s">
        <v>17</v>
      </c>
      <c r="H1263" s="2">
        <v>955.96</v>
      </c>
    </row>
    <row r="1264" spans="1:8">
      <c r="A1264" t="s">
        <v>49</v>
      </c>
      <c r="B1264" t="s">
        <v>50</v>
      </c>
      <c r="C1264" t="s">
        <v>51</v>
      </c>
      <c r="D1264" t="s">
        <v>29</v>
      </c>
      <c r="E1264">
        <v>2019</v>
      </c>
      <c r="F1264" t="s">
        <v>21</v>
      </c>
      <c r="G1264" t="s">
        <v>17</v>
      </c>
      <c r="H1264" s="2">
        <v>2251.6799999999998</v>
      </c>
    </row>
    <row r="1265" spans="1:8">
      <c r="A1265" t="s">
        <v>49</v>
      </c>
      <c r="B1265" t="s">
        <v>50</v>
      </c>
      <c r="C1265" t="s">
        <v>51</v>
      </c>
      <c r="D1265" t="s">
        <v>29</v>
      </c>
      <c r="E1265">
        <v>2019</v>
      </c>
      <c r="F1265" t="s">
        <v>16</v>
      </c>
      <c r="G1265" t="s">
        <v>17</v>
      </c>
      <c r="H1265" s="2">
        <v>4056.04</v>
      </c>
    </row>
    <row r="1266" spans="1:8">
      <c r="A1266" t="s">
        <v>49</v>
      </c>
      <c r="B1266" t="s">
        <v>50</v>
      </c>
      <c r="C1266" t="s">
        <v>51</v>
      </c>
      <c r="D1266" t="s">
        <v>29</v>
      </c>
      <c r="E1266">
        <v>2020</v>
      </c>
      <c r="F1266" t="s">
        <v>18</v>
      </c>
      <c r="G1266" t="s">
        <v>15</v>
      </c>
      <c r="H1266" s="2">
        <v>29620.82</v>
      </c>
    </row>
    <row r="1267" spans="1:8">
      <c r="A1267" t="s">
        <v>49</v>
      </c>
      <c r="B1267" t="s">
        <v>50</v>
      </c>
      <c r="C1267" t="s">
        <v>51</v>
      </c>
      <c r="D1267" t="s">
        <v>29</v>
      </c>
      <c r="E1267">
        <v>2020</v>
      </c>
      <c r="F1267" t="s">
        <v>18</v>
      </c>
      <c r="G1267" t="s">
        <v>19</v>
      </c>
      <c r="H1267" s="2">
        <v>31400.74</v>
      </c>
    </row>
    <row r="1268" spans="1:8">
      <c r="A1268" t="s">
        <v>49</v>
      </c>
      <c r="B1268" t="s">
        <v>50</v>
      </c>
      <c r="C1268" t="s">
        <v>51</v>
      </c>
      <c r="D1268" t="s">
        <v>29</v>
      </c>
      <c r="E1268">
        <v>2021</v>
      </c>
      <c r="F1268" t="s">
        <v>20</v>
      </c>
      <c r="G1268" t="s">
        <v>17</v>
      </c>
      <c r="H1268" s="2">
        <v>719.17</v>
      </c>
    </row>
    <row r="1269" spans="1:8">
      <c r="A1269" t="s">
        <v>49</v>
      </c>
      <c r="B1269" t="s">
        <v>50</v>
      </c>
      <c r="C1269" t="s">
        <v>51</v>
      </c>
      <c r="D1269" t="s">
        <v>29</v>
      </c>
      <c r="E1269">
        <v>2021</v>
      </c>
      <c r="F1269" t="s">
        <v>14</v>
      </c>
      <c r="G1269" t="s">
        <v>15</v>
      </c>
      <c r="H1269" s="2">
        <v>23278.7</v>
      </c>
    </row>
    <row r="1270" spans="1:8">
      <c r="A1270" t="s">
        <v>49</v>
      </c>
      <c r="B1270" t="s">
        <v>50</v>
      </c>
      <c r="C1270" t="s">
        <v>51</v>
      </c>
      <c r="D1270" t="s">
        <v>29</v>
      </c>
      <c r="E1270">
        <v>2021</v>
      </c>
      <c r="F1270" t="s">
        <v>14</v>
      </c>
      <c r="G1270" t="s">
        <v>17</v>
      </c>
      <c r="H1270" s="2">
        <v>14312.11</v>
      </c>
    </row>
    <row r="1271" spans="1:8">
      <c r="A1271" t="s">
        <v>49</v>
      </c>
      <c r="B1271" t="s">
        <v>50</v>
      </c>
      <c r="C1271" t="s">
        <v>51</v>
      </c>
      <c r="D1271" t="s">
        <v>29</v>
      </c>
      <c r="E1271">
        <v>2021</v>
      </c>
      <c r="F1271" t="s">
        <v>21</v>
      </c>
      <c r="G1271" t="s">
        <v>19</v>
      </c>
      <c r="H1271" s="2">
        <v>0</v>
      </c>
    </row>
    <row r="1272" spans="1:8">
      <c r="A1272" t="s">
        <v>49</v>
      </c>
      <c r="B1272" t="s">
        <v>50</v>
      </c>
      <c r="C1272" t="s">
        <v>51</v>
      </c>
      <c r="D1272" t="s">
        <v>29</v>
      </c>
      <c r="E1272">
        <v>2022</v>
      </c>
      <c r="F1272" t="s">
        <v>12</v>
      </c>
      <c r="G1272" t="s">
        <v>15</v>
      </c>
      <c r="H1272" s="2">
        <v>2037.51</v>
      </c>
    </row>
    <row r="1273" spans="1:8">
      <c r="A1273" t="s">
        <v>49</v>
      </c>
      <c r="B1273" t="s">
        <v>50</v>
      </c>
      <c r="C1273" t="s">
        <v>51</v>
      </c>
      <c r="D1273" t="s">
        <v>29</v>
      </c>
      <c r="E1273">
        <v>2022</v>
      </c>
      <c r="F1273" t="s">
        <v>18</v>
      </c>
      <c r="G1273" t="s">
        <v>15</v>
      </c>
      <c r="H1273" s="2">
        <v>26965.73</v>
      </c>
    </row>
    <row r="1274" spans="1:8">
      <c r="A1274" t="s">
        <v>49</v>
      </c>
      <c r="B1274" t="s">
        <v>50</v>
      </c>
      <c r="C1274" t="s">
        <v>51</v>
      </c>
      <c r="D1274" t="s">
        <v>29</v>
      </c>
      <c r="E1274">
        <v>2022</v>
      </c>
      <c r="F1274" t="s">
        <v>20</v>
      </c>
      <c r="G1274" t="s">
        <v>15</v>
      </c>
      <c r="H1274" s="2">
        <v>582.94000000000005</v>
      </c>
    </row>
    <row r="1275" spans="1:8">
      <c r="A1275" t="s">
        <v>49</v>
      </c>
      <c r="B1275" t="s">
        <v>50</v>
      </c>
      <c r="C1275" t="s">
        <v>51</v>
      </c>
      <c r="D1275" t="s">
        <v>29</v>
      </c>
      <c r="E1275">
        <v>2022</v>
      </c>
      <c r="F1275" t="s">
        <v>16</v>
      </c>
      <c r="G1275" t="s">
        <v>13</v>
      </c>
      <c r="H1275" s="2">
        <v>11105.87</v>
      </c>
    </row>
    <row r="1276" spans="1:8">
      <c r="A1276" t="s">
        <v>49</v>
      </c>
      <c r="B1276" t="s">
        <v>50</v>
      </c>
      <c r="C1276" t="s">
        <v>51</v>
      </c>
      <c r="D1276" t="s">
        <v>29</v>
      </c>
      <c r="E1276">
        <v>2023</v>
      </c>
      <c r="F1276" t="s">
        <v>22</v>
      </c>
      <c r="G1276" t="s">
        <v>13</v>
      </c>
      <c r="H1276" s="2">
        <v>6603.72</v>
      </c>
    </row>
    <row r="1277" spans="1:8">
      <c r="A1277" t="s">
        <v>49</v>
      </c>
      <c r="B1277" t="s">
        <v>50</v>
      </c>
      <c r="C1277" t="s">
        <v>51</v>
      </c>
      <c r="D1277" t="s">
        <v>29</v>
      </c>
      <c r="E1277">
        <v>2023</v>
      </c>
      <c r="F1277" t="s">
        <v>12</v>
      </c>
      <c r="G1277" t="s">
        <v>19</v>
      </c>
      <c r="H1277" s="2">
        <v>0</v>
      </c>
    </row>
    <row r="1278" spans="1:8">
      <c r="A1278" t="s">
        <v>49</v>
      </c>
      <c r="B1278" t="s">
        <v>50</v>
      </c>
      <c r="C1278" t="s">
        <v>51</v>
      </c>
      <c r="D1278" t="s">
        <v>29</v>
      </c>
      <c r="E1278">
        <v>2023</v>
      </c>
      <c r="F1278" t="s">
        <v>16</v>
      </c>
      <c r="G1278" t="s">
        <v>19</v>
      </c>
      <c r="H1278" s="2">
        <v>0</v>
      </c>
    </row>
    <row r="1279" spans="1:8">
      <c r="A1279" t="s">
        <v>49</v>
      </c>
      <c r="B1279" t="s">
        <v>50</v>
      </c>
      <c r="C1279" t="s">
        <v>51</v>
      </c>
      <c r="D1279" t="s">
        <v>29</v>
      </c>
      <c r="E1279">
        <v>2024</v>
      </c>
      <c r="F1279" t="s">
        <v>12</v>
      </c>
      <c r="G1279" t="s">
        <v>19</v>
      </c>
      <c r="H1279" s="2">
        <v>0</v>
      </c>
    </row>
    <row r="1280" spans="1:8">
      <c r="A1280" t="s">
        <v>52</v>
      </c>
      <c r="B1280" t="s">
        <v>53</v>
      </c>
      <c r="C1280" t="s">
        <v>51</v>
      </c>
      <c r="D1280" t="s">
        <v>29</v>
      </c>
      <c r="E1280">
        <v>1990</v>
      </c>
      <c r="F1280" t="s">
        <v>12</v>
      </c>
      <c r="G1280" t="s">
        <v>19</v>
      </c>
      <c r="H1280" s="2">
        <v>0</v>
      </c>
    </row>
    <row r="1281" spans="1:8">
      <c r="A1281" t="s">
        <v>52</v>
      </c>
      <c r="B1281" t="s">
        <v>53</v>
      </c>
      <c r="C1281" t="s">
        <v>51</v>
      </c>
      <c r="D1281" t="s">
        <v>29</v>
      </c>
      <c r="E1281">
        <v>1990</v>
      </c>
      <c r="F1281" t="s">
        <v>18</v>
      </c>
      <c r="G1281" t="s">
        <v>19</v>
      </c>
      <c r="H1281" s="2">
        <v>14202.18</v>
      </c>
    </row>
    <row r="1282" spans="1:8">
      <c r="A1282" t="s">
        <v>52</v>
      </c>
      <c r="B1282" t="s">
        <v>53</v>
      </c>
      <c r="C1282" t="s">
        <v>51</v>
      </c>
      <c r="D1282" t="s">
        <v>29</v>
      </c>
      <c r="E1282">
        <v>1990</v>
      </c>
      <c r="F1282" t="s">
        <v>14</v>
      </c>
      <c r="G1282" t="s">
        <v>15</v>
      </c>
      <c r="H1282" s="2">
        <v>10133.11</v>
      </c>
    </row>
    <row r="1283" spans="1:8">
      <c r="A1283" t="s">
        <v>52</v>
      </c>
      <c r="B1283" t="s">
        <v>53</v>
      </c>
      <c r="C1283" t="s">
        <v>51</v>
      </c>
      <c r="D1283" t="s">
        <v>29</v>
      </c>
      <c r="E1283">
        <v>1991</v>
      </c>
      <c r="F1283" t="s">
        <v>12</v>
      </c>
      <c r="G1283" t="s">
        <v>17</v>
      </c>
      <c r="H1283" s="2">
        <v>2159.85</v>
      </c>
    </row>
    <row r="1284" spans="1:8">
      <c r="A1284" t="s">
        <v>52</v>
      </c>
      <c r="B1284" t="s">
        <v>53</v>
      </c>
      <c r="C1284" t="s">
        <v>51</v>
      </c>
      <c r="D1284" t="s">
        <v>29</v>
      </c>
      <c r="E1284">
        <v>1991</v>
      </c>
      <c r="F1284" t="s">
        <v>16</v>
      </c>
      <c r="G1284" t="s">
        <v>19</v>
      </c>
      <c r="H1284" s="2">
        <v>0</v>
      </c>
    </row>
    <row r="1285" spans="1:8">
      <c r="A1285" t="s">
        <v>52</v>
      </c>
      <c r="B1285" t="s">
        <v>53</v>
      </c>
      <c r="C1285" t="s">
        <v>51</v>
      </c>
      <c r="D1285" t="s">
        <v>29</v>
      </c>
      <c r="E1285">
        <v>1992</v>
      </c>
      <c r="F1285" t="s">
        <v>22</v>
      </c>
      <c r="G1285" t="s">
        <v>13</v>
      </c>
      <c r="H1285" s="2">
        <v>9977.15</v>
      </c>
    </row>
    <row r="1286" spans="1:8">
      <c r="A1286" t="s">
        <v>52</v>
      </c>
      <c r="B1286" t="s">
        <v>53</v>
      </c>
      <c r="C1286" t="s">
        <v>51</v>
      </c>
      <c r="D1286" t="s">
        <v>29</v>
      </c>
      <c r="E1286">
        <v>1992</v>
      </c>
      <c r="F1286" t="s">
        <v>18</v>
      </c>
      <c r="G1286" t="s">
        <v>19</v>
      </c>
      <c r="H1286" s="2">
        <v>12796.43</v>
      </c>
    </row>
    <row r="1287" spans="1:8">
      <c r="A1287" t="s">
        <v>52</v>
      </c>
      <c r="B1287" t="s">
        <v>53</v>
      </c>
      <c r="C1287" t="s">
        <v>51</v>
      </c>
      <c r="D1287" t="s">
        <v>29</v>
      </c>
      <c r="E1287">
        <v>1992</v>
      </c>
      <c r="F1287" t="s">
        <v>16</v>
      </c>
      <c r="G1287" t="s">
        <v>17</v>
      </c>
      <c r="H1287" s="2">
        <v>4316.82</v>
      </c>
    </row>
    <row r="1288" spans="1:8">
      <c r="A1288" t="s">
        <v>52</v>
      </c>
      <c r="B1288" t="s">
        <v>53</v>
      </c>
      <c r="C1288" t="s">
        <v>51</v>
      </c>
      <c r="D1288" t="s">
        <v>29</v>
      </c>
      <c r="E1288">
        <v>1993</v>
      </c>
      <c r="F1288" t="s">
        <v>18</v>
      </c>
      <c r="G1288" t="s">
        <v>15</v>
      </c>
      <c r="H1288" s="2">
        <v>14802.74</v>
      </c>
    </row>
    <row r="1289" spans="1:8">
      <c r="A1289" t="s">
        <v>52</v>
      </c>
      <c r="B1289" t="s">
        <v>53</v>
      </c>
      <c r="C1289" t="s">
        <v>51</v>
      </c>
      <c r="D1289" t="s">
        <v>29</v>
      </c>
      <c r="E1289">
        <v>1993</v>
      </c>
      <c r="F1289" t="s">
        <v>20</v>
      </c>
      <c r="G1289" t="s">
        <v>19</v>
      </c>
      <c r="H1289" s="2">
        <v>0</v>
      </c>
    </row>
    <row r="1290" spans="1:8">
      <c r="A1290" t="s">
        <v>52</v>
      </c>
      <c r="B1290" t="s">
        <v>53</v>
      </c>
      <c r="C1290" t="s">
        <v>51</v>
      </c>
      <c r="D1290" t="s">
        <v>29</v>
      </c>
      <c r="E1290">
        <v>1994</v>
      </c>
      <c r="F1290" t="s">
        <v>18</v>
      </c>
      <c r="G1290" t="s">
        <v>13</v>
      </c>
      <c r="H1290" s="2">
        <v>239170.79</v>
      </c>
    </row>
    <row r="1291" spans="1:8">
      <c r="A1291" t="s">
        <v>52</v>
      </c>
      <c r="B1291" t="s">
        <v>53</v>
      </c>
      <c r="C1291" t="s">
        <v>51</v>
      </c>
      <c r="D1291" t="s">
        <v>29</v>
      </c>
      <c r="E1291">
        <v>1994</v>
      </c>
      <c r="F1291" t="s">
        <v>14</v>
      </c>
      <c r="G1291" t="s">
        <v>15</v>
      </c>
      <c r="H1291" s="2">
        <v>9774.2199999999993</v>
      </c>
    </row>
    <row r="1292" spans="1:8">
      <c r="A1292" t="s">
        <v>52</v>
      </c>
      <c r="B1292" t="s">
        <v>53</v>
      </c>
      <c r="C1292" t="s">
        <v>51</v>
      </c>
      <c r="D1292" t="s">
        <v>29</v>
      </c>
      <c r="E1292">
        <v>1995</v>
      </c>
      <c r="F1292" t="s">
        <v>22</v>
      </c>
      <c r="G1292" t="s">
        <v>13</v>
      </c>
      <c r="H1292" s="2">
        <v>10002.1</v>
      </c>
    </row>
    <row r="1293" spans="1:8">
      <c r="A1293" t="s">
        <v>52</v>
      </c>
      <c r="B1293" t="s">
        <v>53</v>
      </c>
      <c r="C1293" t="s">
        <v>51</v>
      </c>
      <c r="D1293" t="s">
        <v>29</v>
      </c>
      <c r="E1293">
        <v>1995</v>
      </c>
      <c r="F1293" t="s">
        <v>21</v>
      </c>
      <c r="G1293" t="s">
        <v>19</v>
      </c>
      <c r="H1293" s="2">
        <v>0</v>
      </c>
    </row>
    <row r="1294" spans="1:8">
      <c r="A1294" t="s">
        <v>52</v>
      </c>
      <c r="B1294" t="s">
        <v>53</v>
      </c>
      <c r="C1294" t="s">
        <v>51</v>
      </c>
      <c r="D1294" t="s">
        <v>29</v>
      </c>
      <c r="E1294">
        <v>1995</v>
      </c>
      <c r="F1294" t="s">
        <v>16</v>
      </c>
      <c r="G1294" t="s">
        <v>15</v>
      </c>
      <c r="H1294" s="2">
        <v>71516.27</v>
      </c>
    </row>
    <row r="1295" spans="1:8">
      <c r="A1295" t="s">
        <v>52</v>
      </c>
      <c r="B1295" t="s">
        <v>53</v>
      </c>
      <c r="C1295" t="s">
        <v>51</v>
      </c>
      <c r="D1295" t="s">
        <v>29</v>
      </c>
      <c r="E1295">
        <v>1996</v>
      </c>
      <c r="F1295" t="s">
        <v>21</v>
      </c>
      <c r="G1295" t="s">
        <v>19</v>
      </c>
      <c r="H1295" s="2">
        <v>0</v>
      </c>
    </row>
    <row r="1296" spans="1:8">
      <c r="A1296" t="s">
        <v>52</v>
      </c>
      <c r="B1296" t="s">
        <v>53</v>
      </c>
      <c r="C1296" t="s">
        <v>51</v>
      </c>
      <c r="D1296" t="s">
        <v>29</v>
      </c>
      <c r="E1296">
        <v>1996</v>
      </c>
      <c r="F1296" t="s">
        <v>16</v>
      </c>
      <c r="G1296" t="s">
        <v>15</v>
      </c>
      <c r="H1296" s="2">
        <v>70163.5</v>
      </c>
    </row>
    <row r="1297" spans="1:8">
      <c r="A1297" t="s">
        <v>52</v>
      </c>
      <c r="B1297" t="s">
        <v>53</v>
      </c>
      <c r="C1297" t="s">
        <v>51</v>
      </c>
      <c r="D1297" t="s">
        <v>29</v>
      </c>
      <c r="E1297">
        <v>1997</v>
      </c>
      <c r="F1297" t="s">
        <v>12</v>
      </c>
      <c r="G1297" t="s">
        <v>13</v>
      </c>
      <c r="H1297" s="2">
        <v>69482.080000000002</v>
      </c>
    </row>
    <row r="1298" spans="1:8">
      <c r="A1298" t="s">
        <v>52</v>
      </c>
      <c r="B1298" t="s">
        <v>53</v>
      </c>
      <c r="C1298" t="s">
        <v>51</v>
      </c>
      <c r="D1298" t="s">
        <v>29</v>
      </c>
      <c r="E1298">
        <v>1997</v>
      </c>
      <c r="F1298" t="s">
        <v>14</v>
      </c>
      <c r="G1298" t="s">
        <v>19</v>
      </c>
      <c r="H1298" s="2">
        <v>0</v>
      </c>
    </row>
    <row r="1299" spans="1:8">
      <c r="A1299" t="s">
        <v>52</v>
      </c>
      <c r="B1299" t="s">
        <v>53</v>
      </c>
      <c r="C1299" t="s">
        <v>51</v>
      </c>
      <c r="D1299" t="s">
        <v>29</v>
      </c>
      <c r="E1299">
        <v>1998</v>
      </c>
      <c r="F1299" t="s">
        <v>18</v>
      </c>
      <c r="G1299" t="s">
        <v>19</v>
      </c>
      <c r="H1299" s="2">
        <v>15403.27</v>
      </c>
    </row>
    <row r="1300" spans="1:8">
      <c r="A1300" t="s">
        <v>52</v>
      </c>
      <c r="B1300" t="s">
        <v>53</v>
      </c>
      <c r="C1300" t="s">
        <v>51</v>
      </c>
      <c r="D1300" t="s">
        <v>29</v>
      </c>
      <c r="E1300">
        <v>1998</v>
      </c>
      <c r="F1300" t="s">
        <v>14</v>
      </c>
      <c r="G1300" t="s">
        <v>13</v>
      </c>
      <c r="H1300" s="2">
        <v>326749.38</v>
      </c>
    </row>
    <row r="1301" spans="1:8">
      <c r="A1301" t="s">
        <v>52</v>
      </c>
      <c r="B1301" t="s">
        <v>53</v>
      </c>
      <c r="C1301" t="s">
        <v>51</v>
      </c>
      <c r="D1301" t="s">
        <v>29</v>
      </c>
      <c r="E1301">
        <v>1998</v>
      </c>
      <c r="F1301" t="s">
        <v>14</v>
      </c>
      <c r="G1301" t="s">
        <v>19</v>
      </c>
      <c r="H1301" s="2">
        <v>0</v>
      </c>
    </row>
    <row r="1302" spans="1:8">
      <c r="A1302" t="s">
        <v>52</v>
      </c>
      <c r="B1302" t="s">
        <v>53</v>
      </c>
      <c r="C1302" t="s">
        <v>51</v>
      </c>
      <c r="D1302" t="s">
        <v>29</v>
      </c>
      <c r="E1302">
        <v>1999</v>
      </c>
      <c r="F1302" t="s">
        <v>20</v>
      </c>
      <c r="G1302" t="s">
        <v>15</v>
      </c>
      <c r="H1302" s="2">
        <v>-341.4</v>
      </c>
    </row>
    <row r="1303" spans="1:8">
      <c r="A1303" t="s">
        <v>52</v>
      </c>
      <c r="B1303" t="s">
        <v>53</v>
      </c>
      <c r="C1303" t="s">
        <v>51</v>
      </c>
      <c r="D1303" t="s">
        <v>29</v>
      </c>
      <c r="E1303">
        <v>1999</v>
      </c>
      <c r="F1303" t="s">
        <v>16</v>
      </c>
      <c r="G1303" t="s">
        <v>13</v>
      </c>
      <c r="H1303" s="2">
        <v>12527.79</v>
      </c>
    </row>
    <row r="1304" spans="1:8">
      <c r="A1304" t="s">
        <v>52</v>
      </c>
      <c r="B1304" t="s">
        <v>53</v>
      </c>
      <c r="C1304" t="s">
        <v>51</v>
      </c>
      <c r="D1304" t="s">
        <v>29</v>
      </c>
      <c r="E1304">
        <v>2000</v>
      </c>
      <c r="F1304" t="s">
        <v>18</v>
      </c>
      <c r="G1304" t="s">
        <v>17</v>
      </c>
      <c r="H1304" s="2">
        <v>14179.36</v>
      </c>
    </row>
    <row r="1305" spans="1:8">
      <c r="A1305" t="s">
        <v>52</v>
      </c>
      <c r="B1305" t="s">
        <v>53</v>
      </c>
      <c r="C1305" t="s">
        <v>51</v>
      </c>
      <c r="D1305" t="s">
        <v>29</v>
      </c>
      <c r="E1305">
        <v>2000</v>
      </c>
      <c r="F1305" t="s">
        <v>20</v>
      </c>
      <c r="G1305" t="s">
        <v>19</v>
      </c>
      <c r="H1305" s="2">
        <v>0</v>
      </c>
    </row>
    <row r="1306" spans="1:8">
      <c r="A1306" t="s">
        <v>52</v>
      </c>
      <c r="B1306" t="s">
        <v>53</v>
      </c>
      <c r="C1306" t="s">
        <v>51</v>
      </c>
      <c r="D1306" t="s">
        <v>29</v>
      </c>
      <c r="E1306">
        <v>2001</v>
      </c>
      <c r="F1306" t="s">
        <v>12</v>
      </c>
      <c r="G1306" t="s">
        <v>15</v>
      </c>
      <c r="H1306" s="2">
        <v>5726.69</v>
      </c>
    </row>
    <row r="1307" spans="1:8">
      <c r="A1307" t="s">
        <v>52</v>
      </c>
      <c r="B1307" t="s">
        <v>53</v>
      </c>
      <c r="C1307" t="s">
        <v>51</v>
      </c>
      <c r="D1307" t="s">
        <v>29</v>
      </c>
      <c r="E1307">
        <v>2001</v>
      </c>
      <c r="F1307" t="s">
        <v>21</v>
      </c>
      <c r="G1307" t="s">
        <v>19</v>
      </c>
      <c r="H1307" s="2">
        <v>0</v>
      </c>
    </row>
    <row r="1308" spans="1:8">
      <c r="A1308" t="s">
        <v>52</v>
      </c>
      <c r="B1308" t="s">
        <v>53</v>
      </c>
      <c r="C1308" t="s">
        <v>51</v>
      </c>
      <c r="D1308" t="s">
        <v>29</v>
      </c>
      <c r="E1308">
        <v>2002</v>
      </c>
      <c r="F1308" t="s">
        <v>22</v>
      </c>
      <c r="G1308" t="s">
        <v>13</v>
      </c>
      <c r="H1308" s="2">
        <v>11841.5</v>
      </c>
    </row>
    <row r="1309" spans="1:8">
      <c r="A1309" t="s">
        <v>52</v>
      </c>
      <c r="B1309" t="s">
        <v>53</v>
      </c>
      <c r="C1309" t="s">
        <v>51</v>
      </c>
      <c r="D1309" t="s">
        <v>29</v>
      </c>
      <c r="E1309">
        <v>2003</v>
      </c>
      <c r="F1309" t="s">
        <v>22</v>
      </c>
      <c r="G1309" t="s">
        <v>17</v>
      </c>
      <c r="H1309" s="2">
        <v>23298.31</v>
      </c>
    </row>
    <row r="1310" spans="1:8">
      <c r="A1310" t="s">
        <v>52</v>
      </c>
      <c r="B1310" t="s">
        <v>53</v>
      </c>
      <c r="C1310" t="s">
        <v>51</v>
      </c>
      <c r="D1310" t="s">
        <v>29</v>
      </c>
      <c r="E1310">
        <v>2003</v>
      </c>
      <c r="F1310" t="s">
        <v>12</v>
      </c>
      <c r="G1310" t="s">
        <v>13</v>
      </c>
      <c r="H1310" s="2">
        <v>75540.55</v>
      </c>
    </row>
    <row r="1311" spans="1:8">
      <c r="A1311" t="s">
        <v>52</v>
      </c>
      <c r="B1311" t="s">
        <v>53</v>
      </c>
      <c r="C1311" t="s">
        <v>51</v>
      </c>
      <c r="D1311" t="s">
        <v>29</v>
      </c>
      <c r="E1311">
        <v>2004</v>
      </c>
      <c r="F1311" t="s">
        <v>22</v>
      </c>
      <c r="G1311" t="s">
        <v>15</v>
      </c>
      <c r="H1311" s="2">
        <v>78584.160000000003</v>
      </c>
    </row>
    <row r="1312" spans="1:8">
      <c r="A1312" t="s">
        <v>52</v>
      </c>
      <c r="B1312" t="s">
        <v>53</v>
      </c>
      <c r="C1312" t="s">
        <v>51</v>
      </c>
      <c r="D1312" t="s">
        <v>29</v>
      </c>
      <c r="E1312">
        <v>2004</v>
      </c>
      <c r="F1312" t="s">
        <v>12</v>
      </c>
      <c r="G1312" t="s">
        <v>15</v>
      </c>
      <c r="H1312" s="2">
        <v>5299.59</v>
      </c>
    </row>
    <row r="1313" spans="1:8">
      <c r="A1313" t="s">
        <v>52</v>
      </c>
      <c r="B1313" t="s">
        <v>53</v>
      </c>
      <c r="C1313" t="s">
        <v>51</v>
      </c>
      <c r="D1313" t="s">
        <v>29</v>
      </c>
      <c r="E1313">
        <v>2004</v>
      </c>
      <c r="F1313" t="s">
        <v>18</v>
      </c>
      <c r="G1313" t="s">
        <v>19</v>
      </c>
      <c r="H1313" s="2">
        <v>13751.78</v>
      </c>
    </row>
    <row r="1314" spans="1:8">
      <c r="A1314" t="s">
        <v>52</v>
      </c>
      <c r="B1314" t="s">
        <v>53</v>
      </c>
      <c r="C1314" t="s">
        <v>51</v>
      </c>
      <c r="D1314" t="s">
        <v>29</v>
      </c>
      <c r="E1314">
        <v>2004</v>
      </c>
      <c r="F1314" t="s">
        <v>14</v>
      </c>
      <c r="G1314" t="s">
        <v>13</v>
      </c>
      <c r="H1314" s="2">
        <v>321902.02</v>
      </c>
    </row>
    <row r="1315" spans="1:8">
      <c r="A1315" t="s">
        <v>52</v>
      </c>
      <c r="B1315" t="s">
        <v>53</v>
      </c>
      <c r="C1315" t="s">
        <v>51</v>
      </c>
      <c r="D1315" t="s">
        <v>29</v>
      </c>
      <c r="E1315">
        <v>2004</v>
      </c>
      <c r="F1315" t="s">
        <v>16</v>
      </c>
      <c r="G1315" t="s">
        <v>17</v>
      </c>
      <c r="H1315" s="2">
        <v>4674.12</v>
      </c>
    </row>
    <row r="1316" spans="1:8">
      <c r="A1316" t="s">
        <v>52</v>
      </c>
      <c r="B1316" t="s">
        <v>53</v>
      </c>
      <c r="C1316" t="s">
        <v>51</v>
      </c>
      <c r="D1316" t="s">
        <v>29</v>
      </c>
      <c r="E1316">
        <v>2005</v>
      </c>
      <c r="F1316" t="s">
        <v>22</v>
      </c>
      <c r="G1316" t="s">
        <v>17</v>
      </c>
      <c r="H1316" s="2">
        <v>17908.63</v>
      </c>
    </row>
    <row r="1317" spans="1:8">
      <c r="A1317" t="s">
        <v>52</v>
      </c>
      <c r="B1317" t="s">
        <v>53</v>
      </c>
      <c r="C1317" t="s">
        <v>51</v>
      </c>
      <c r="D1317" t="s">
        <v>29</v>
      </c>
      <c r="E1317">
        <v>2005</v>
      </c>
      <c r="F1317" t="s">
        <v>20</v>
      </c>
      <c r="G1317" t="s">
        <v>17</v>
      </c>
      <c r="H1317" s="2">
        <v>-353.31</v>
      </c>
    </row>
    <row r="1318" spans="1:8">
      <c r="A1318" t="s">
        <v>52</v>
      </c>
      <c r="B1318" t="s">
        <v>53</v>
      </c>
      <c r="C1318" t="s">
        <v>51</v>
      </c>
      <c r="D1318" t="s">
        <v>29</v>
      </c>
      <c r="E1318">
        <v>2005</v>
      </c>
      <c r="F1318" t="s">
        <v>14</v>
      </c>
      <c r="G1318" t="s">
        <v>15</v>
      </c>
      <c r="H1318" s="2">
        <v>10367.620000000001</v>
      </c>
    </row>
    <row r="1319" spans="1:8">
      <c r="A1319" t="s">
        <v>52</v>
      </c>
      <c r="B1319" t="s">
        <v>53</v>
      </c>
      <c r="C1319" t="s">
        <v>51</v>
      </c>
      <c r="D1319" t="s">
        <v>29</v>
      </c>
      <c r="E1319">
        <v>2005</v>
      </c>
      <c r="F1319" t="s">
        <v>14</v>
      </c>
      <c r="G1319" t="s">
        <v>19</v>
      </c>
      <c r="H1319" s="2">
        <v>0</v>
      </c>
    </row>
    <row r="1320" spans="1:8">
      <c r="A1320" t="s">
        <v>52</v>
      </c>
      <c r="B1320" t="s">
        <v>53</v>
      </c>
      <c r="C1320" t="s">
        <v>51</v>
      </c>
      <c r="D1320" t="s">
        <v>29</v>
      </c>
      <c r="E1320">
        <v>2005</v>
      </c>
      <c r="F1320" t="s">
        <v>14</v>
      </c>
      <c r="G1320" t="s">
        <v>17</v>
      </c>
      <c r="H1320" s="2">
        <v>6862.96</v>
      </c>
    </row>
    <row r="1321" spans="1:8">
      <c r="A1321" t="s">
        <v>52</v>
      </c>
      <c r="B1321" t="s">
        <v>53</v>
      </c>
      <c r="C1321" t="s">
        <v>51</v>
      </c>
      <c r="D1321" t="s">
        <v>29</v>
      </c>
      <c r="E1321">
        <v>2006</v>
      </c>
      <c r="F1321" t="s">
        <v>12</v>
      </c>
      <c r="G1321" t="s">
        <v>13</v>
      </c>
      <c r="H1321" s="2">
        <v>61843.29</v>
      </c>
    </row>
    <row r="1322" spans="1:8">
      <c r="A1322" t="s">
        <v>52</v>
      </c>
      <c r="B1322" t="s">
        <v>53</v>
      </c>
      <c r="C1322" t="s">
        <v>51</v>
      </c>
      <c r="D1322" t="s">
        <v>29</v>
      </c>
      <c r="E1322">
        <v>2006</v>
      </c>
      <c r="F1322" t="s">
        <v>20</v>
      </c>
      <c r="G1322" t="s">
        <v>13</v>
      </c>
      <c r="H1322" s="2">
        <v>-31232.35</v>
      </c>
    </row>
    <row r="1323" spans="1:8">
      <c r="A1323" t="s">
        <v>52</v>
      </c>
      <c r="B1323" t="s">
        <v>53</v>
      </c>
      <c r="C1323" t="s">
        <v>51</v>
      </c>
      <c r="D1323" t="s">
        <v>29</v>
      </c>
      <c r="E1323">
        <v>2008</v>
      </c>
      <c r="F1323" t="s">
        <v>22</v>
      </c>
      <c r="G1323" t="s">
        <v>17</v>
      </c>
      <c r="H1323" s="2">
        <v>19652.91</v>
      </c>
    </row>
    <row r="1324" spans="1:8">
      <c r="A1324" t="s">
        <v>52</v>
      </c>
      <c r="B1324" t="s">
        <v>53</v>
      </c>
      <c r="C1324" t="s">
        <v>51</v>
      </c>
      <c r="D1324" t="s">
        <v>29</v>
      </c>
      <c r="E1324">
        <v>2009</v>
      </c>
      <c r="F1324" t="s">
        <v>22</v>
      </c>
      <c r="G1324" t="s">
        <v>19</v>
      </c>
      <c r="H1324" s="2">
        <v>0</v>
      </c>
    </row>
    <row r="1325" spans="1:8">
      <c r="A1325" t="s">
        <v>52</v>
      </c>
      <c r="B1325" t="s">
        <v>53</v>
      </c>
      <c r="C1325" t="s">
        <v>51</v>
      </c>
      <c r="D1325" t="s">
        <v>29</v>
      </c>
      <c r="E1325">
        <v>2009</v>
      </c>
      <c r="F1325" t="s">
        <v>14</v>
      </c>
      <c r="G1325" t="s">
        <v>17</v>
      </c>
      <c r="H1325" s="2">
        <v>7600.1</v>
      </c>
    </row>
    <row r="1326" spans="1:8">
      <c r="A1326" t="s">
        <v>52</v>
      </c>
      <c r="B1326" t="s">
        <v>53</v>
      </c>
      <c r="C1326" t="s">
        <v>51</v>
      </c>
      <c r="D1326" t="s">
        <v>29</v>
      </c>
      <c r="E1326">
        <v>2010</v>
      </c>
      <c r="F1326" t="s">
        <v>12</v>
      </c>
      <c r="G1326" t="s">
        <v>15</v>
      </c>
      <c r="H1326" s="2">
        <v>6140.05</v>
      </c>
    </row>
    <row r="1327" spans="1:8">
      <c r="A1327" t="s">
        <v>52</v>
      </c>
      <c r="B1327" t="s">
        <v>53</v>
      </c>
      <c r="C1327" t="s">
        <v>51</v>
      </c>
      <c r="D1327" t="s">
        <v>29</v>
      </c>
      <c r="E1327">
        <v>2011</v>
      </c>
      <c r="F1327" t="s">
        <v>18</v>
      </c>
      <c r="G1327" t="s">
        <v>15</v>
      </c>
      <c r="H1327" s="2">
        <v>15674.52</v>
      </c>
    </row>
    <row r="1328" spans="1:8">
      <c r="A1328" t="s">
        <v>52</v>
      </c>
      <c r="B1328" t="s">
        <v>53</v>
      </c>
      <c r="C1328" t="s">
        <v>51</v>
      </c>
      <c r="D1328" t="s">
        <v>29</v>
      </c>
      <c r="E1328">
        <v>2011</v>
      </c>
      <c r="F1328" t="s">
        <v>20</v>
      </c>
      <c r="G1328" t="s">
        <v>19</v>
      </c>
      <c r="H1328" s="2">
        <v>0</v>
      </c>
    </row>
    <row r="1329" spans="1:8">
      <c r="A1329" t="s">
        <v>52</v>
      </c>
      <c r="B1329" t="s">
        <v>53</v>
      </c>
      <c r="C1329" t="s">
        <v>51</v>
      </c>
      <c r="D1329" t="s">
        <v>29</v>
      </c>
      <c r="E1329">
        <v>2011</v>
      </c>
      <c r="F1329" t="s">
        <v>14</v>
      </c>
      <c r="G1329" t="s">
        <v>17</v>
      </c>
      <c r="H1329" s="2">
        <v>8079.46</v>
      </c>
    </row>
    <row r="1330" spans="1:8">
      <c r="A1330" t="s">
        <v>52</v>
      </c>
      <c r="B1330" t="s">
        <v>53</v>
      </c>
      <c r="C1330" t="s">
        <v>51</v>
      </c>
      <c r="D1330" t="s">
        <v>29</v>
      </c>
      <c r="E1330">
        <v>2011</v>
      </c>
      <c r="F1330" t="s">
        <v>21</v>
      </c>
      <c r="G1330" t="s">
        <v>15</v>
      </c>
      <c r="H1330" s="2">
        <v>7220.07</v>
      </c>
    </row>
    <row r="1331" spans="1:8">
      <c r="A1331" t="s">
        <v>52</v>
      </c>
      <c r="B1331" t="s">
        <v>53</v>
      </c>
      <c r="C1331" t="s">
        <v>51</v>
      </c>
      <c r="D1331" t="s">
        <v>29</v>
      </c>
      <c r="E1331">
        <v>2012</v>
      </c>
      <c r="F1331" t="s">
        <v>22</v>
      </c>
      <c r="G1331" t="s">
        <v>13</v>
      </c>
      <c r="H1331" s="2">
        <v>12357.45</v>
      </c>
    </row>
    <row r="1332" spans="1:8">
      <c r="A1332" t="s">
        <v>52</v>
      </c>
      <c r="B1332" t="s">
        <v>53</v>
      </c>
      <c r="C1332" t="s">
        <v>51</v>
      </c>
      <c r="D1332" t="s">
        <v>29</v>
      </c>
      <c r="E1332">
        <v>2012</v>
      </c>
      <c r="F1332" t="s">
        <v>14</v>
      </c>
      <c r="G1332" t="s">
        <v>15</v>
      </c>
      <c r="H1332" s="2">
        <v>11608.65</v>
      </c>
    </row>
    <row r="1333" spans="1:8">
      <c r="A1333" t="s">
        <v>52</v>
      </c>
      <c r="B1333" t="s">
        <v>53</v>
      </c>
      <c r="C1333" t="s">
        <v>51</v>
      </c>
      <c r="D1333" t="s">
        <v>29</v>
      </c>
      <c r="E1333">
        <v>2012</v>
      </c>
      <c r="F1333" t="s">
        <v>16</v>
      </c>
      <c r="G1333" t="s">
        <v>17</v>
      </c>
      <c r="H1333" s="2">
        <v>4889.8100000000004</v>
      </c>
    </row>
    <row r="1334" spans="1:8">
      <c r="A1334" t="s">
        <v>52</v>
      </c>
      <c r="B1334" t="s">
        <v>53</v>
      </c>
      <c r="C1334" t="s">
        <v>51</v>
      </c>
      <c r="D1334" t="s">
        <v>29</v>
      </c>
      <c r="E1334">
        <v>2013</v>
      </c>
      <c r="F1334" t="s">
        <v>22</v>
      </c>
      <c r="G1334" t="s">
        <v>17</v>
      </c>
      <c r="H1334" s="2">
        <v>23781.97</v>
      </c>
    </row>
    <row r="1335" spans="1:8">
      <c r="A1335" t="s">
        <v>52</v>
      </c>
      <c r="B1335" t="s">
        <v>53</v>
      </c>
      <c r="C1335" t="s">
        <v>51</v>
      </c>
      <c r="D1335" t="s">
        <v>29</v>
      </c>
      <c r="E1335">
        <v>2013</v>
      </c>
      <c r="F1335" t="s">
        <v>12</v>
      </c>
      <c r="G1335" t="s">
        <v>15</v>
      </c>
      <c r="H1335" s="2">
        <v>6071.92</v>
      </c>
    </row>
    <row r="1336" spans="1:8">
      <c r="A1336" t="s">
        <v>52</v>
      </c>
      <c r="B1336" t="s">
        <v>53</v>
      </c>
      <c r="C1336" t="s">
        <v>51</v>
      </c>
      <c r="D1336" t="s">
        <v>29</v>
      </c>
      <c r="E1336">
        <v>2013</v>
      </c>
      <c r="F1336" t="s">
        <v>20</v>
      </c>
      <c r="G1336" t="s">
        <v>13</v>
      </c>
      <c r="H1336" s="2">
        <v>-35248.51</v>
      </c>
    </row>
    <row r="1337" spans="1:8">
      <c r="A1337" t="s">
        <v>52</v>
      </c>
      <c r="B1337" t="s">
        <v>53</v>
      </c>
      <c r="C1337" t="s">
        <v>51</v>
      </c>
      <c r="D1337" t="s">
        <v>29</v>
      </c>
      <c r="E1337">
        <v>2014</v>
      </c>
      <c r="F1337" t="s">
        <v>14</v>
      </c>
      <c r="G1337" t="s">
        <v>17</v>
      </c>
      <c r="H1337" s="2">
        <v>6933.38</v>
      </c>
    </row>
    <row r="1338" spans="1:8">
      <c r="A1338" t="s">
        <v>52</v>
      </c>
      <c r="B1338" t="s">
        <v>53</v>
      </c>
      <c r="C1338" t="s">
        <v>51</v>
      </c>
      <c r="D1338" t="s">
        <v>29</v>
      </c>
      <c r="E1338">
        <v>2014</v>
      </c>
      <c r="F1338" t="s">
        <v>21</v>
      </c>
      <c r="G1338" t="s">
        <v>15</v>
      </c>
      <c r="H1338" s="2">
        <v>7131.59</v>
      </c>
    </row>
    <row r="1339" spans="1:8">
      <c r="A1339" t="s">
        <v>52</v>
      </c>
      <c r="B1339" t="s">
        <v>53</v>
      </c>
      <c r="C1339" t="s">
        <v>51</v>
      </c>
      <c r="D1339" t="s">
        <v>29</v>
      </c>
      <c r="E1339">
        <v>2014</v>
      </c>
      <c r="F1339" t="s">
        <v>16</v>
      </c>
      <c r="G1339" t="s">
        <v>13</v>
      </c>
      <c r="H1339" s="2">
        <v>13900.99</v>
      </c>
    </row>
    <row r="1340" spans="1:8">
      <c r="A1340" t="s">
        <v>52</v>
      </c>
      <c r="B1340" t="s">
        <v>53</v>
      </c>
      <c r="C1340" t="s">
        <v>51</v>
      </c>
      <c r="D1340" t="s">
        <v>29</v>
      </c>
      <c r="E1340">
        <v>2015</v>
      </c>
      <c r="F1340" t="s">
        <v>14</v>
      </c>
      <c r="G1340" t="s">
        <v>17</v>
      </c>
      <c r="H1340" s="2">
        <v>7157.37</v>
      </c>
    </row>
    <row r="1341" spans="1:8">
      <c r="A1341" t="s">
        <v>52</v>
      </c>
      <c r="B1341" t="s">
        <v>53</v>
      </c>
      <c r="C1341" t="s">
        <v>51</v>
      </c>
      <c r="D1341" t="s">
        <v>29</v>
      </c>
      <c r="E1341">
        <v>2015</v>
      </c>
      <c r="F1341" t="s">
        <v>16</v>
      </c>
      <c r="G1341" t="s">
        <v>13</v>
      </c>
      <c r="H1341" s="2">
        <v>13501.13</v>
      </c>
    </row>
    <row r="1342" spans="1:8">
      <c r="A1342" t="s">
        <v>52</v>
      </c>
      <c r="B1342" t="s">
        <v>53</v>
      </c>
      <c r="C1342" t="s">
        <v>51</v>
      </c>
      <c r="D1342" t="s">
        <v>29</v>
      </c>
      <c r="E1342">
        <v>2016</v>
      </c>
      <c r="F1342" t="s">
        <v>12</v>
      </c>
      <c r="G1342" t="s">
        <v>19</v>
      </c>
      <c r="H1342" s="2">
        <v>0</v>
      </c>
    </row>
    <row r="1343" spans="1:8">
      <c r="A1343" t="s">
        <v>52</v>
      </c>
      <c r="B1343" t="s">
        <v>53</v>
      </c>
      <c r="C1343" t="s">
        <v>51</v>
      </c>
      <c r="D1343" t="s">
        <v>29</v>
      </c>
      <c r="E1343">
        <v>2016</v>
      </c>
      <c r="F1343" t="s">
        <v>21</v>
      </c>
      <c r="G1343" t="s">
        <v>15</v>
      </c>
      <c r="H1343" s="2">
        <v>5635.25</v>
      </c>
    </row>
    <row r="1344" spans="1:8">
      <c r="A1344" t="s">
        <v>52</v>
      </c>
      <c r="B1344" t="s">
        <v>53</v>
      </c>
      <c r="C1344" t="s">
        <v>51</v>
      </c>
      <c r="D1344" t="s">
        <v>29</v>
      </c>
      <c r="E1344">
        <v>2016</v>
      </c>
      <c r="F1344" t="s">
        <v>16</v>
      </c>
      <c r="G1344" t="s">
        <v>13</v>
      </c>
      <c r="H1344" s="2">
        <v>11745.97</v>
      </c>
    </row>
    <row r="1345" spans="1:8">
      <c r="A1345" t="s">
        <v>52</v>
      </c>
      <c r="B1345" t="s">
        <v>53</v>
      </c>
      <c r="C1345" t="s">
        <v>51</v>
      </c>
      <c r="D1345" t="s">
        <v>29</v>
      </c>
      <c r="E1345">
        <v>2016</v>
      </c>
      <c r="F1345" t="s">
        <v>16</v>
      </c>
      <c r="G1345" t="s">
        <v>19</v>
      </c>
      <c r="H1345" s="2">
        <v>0</v>
      </c>
    </row>
    <row r="1346" spans="1:8">
      <c r="A1346" t="s">
        <v>52</v>
      </c>
      <c r="B1346" t="s">
        <v>53</v>
      </c>
      <c r="C1346" t="s">
        <v>51</v>
      </c>
      <c r="D1346" t="s">
        <v>29</v>
      </c>
      <c r="E1346">
        <v>2017</v>
      </c>
      <c r="F1346" t="s">
        <v>20</v>
      </c>
      <c r="G1346" t="s">
        <v>15</v>
      </c>
      <c r="H1346" s="2">
        <v>-331.24</v>
      </c>
    </row>
    <row r="1347" spans="1:8">
      <c r="A1347" t="s">
        <v>52</v>
      </c>
      <c r="B1347" t="s">
        <v>53</v>
      </c>
      <c r="C1347" t="s">
        <v>51</v>
      </c>
      <c r="D1347" t="s">
        <v>29</v>
      </c>
      <c r="E1347">
        <v>2017</v>
      </c>
      <c r="F1347" t="s">
        <v>14</v>
      </c>
      <c r="G1347" t="s">
        <v>19</v>
      </c>
      <c r="H1347" s="2">
        <v>0</v>
      </c>
    </row>
    <row r="1348" spans="1:8">
      <c r="A1348" t="s">
        <v>52</v>
      </c>
      <c r="B1348" t="s">
        <v>53</v>
      </c>
      <c r="C1348" t="s">
        <v>51</v>
      </c>
      <c r="D1348" t="s">
        <v>29</v>
      </c>
      <c r="E1348">
        <v>2018</v>
      </c>
      <c r="F1348" t="s">
        <v>22</v>
      </c>
      <c r="G1348" t="s">
        <v>17</v>
      </c>
      <c r="H1348" s="2">
        <v>20700.439999999999</v>
      </c>
    </row>
    <row r="1349" spans="1:8">
      <c r="A1349" t="s">
        <v>52</v>
      </c>
      <c r="B1349" t="s">
        <v>53</v>
      </c>
      <c r="C1349" t="s">
        <v>51</v>
      </c>
      <c r="D1349" t="s">
        <v>29</v>
      </c>
      <c r="E1349">
        <v>2018</v>
      </c>
      <c r="F1349" t="s">
        <v>16</v>
      </c>
      <c r="G1349" t="s">
        <v>13</v>
      </c>
      <c r="H1349" s="2">
        <v>12927.29</v>
      </c>
    </row>
    <row r="1350" spans="1:8">
      <c r="A1350" t="s">
        <v>52</v>
      </c>
      <c r="B1350" t="s">
        <v>53</v>
      </c>
      <c r="C1350" t="s">
        <v>51</v>
      </c>
      <c r="D1350" t="s">
        <v>29</v>
      </c>
      <c r="E1350">
        <v>2019</v>
      </c>
      <c r="F1350" t="s">
        <v>22</v>
      </c>
      <c r="G1350" t="s">
        <v>17</v>
      </c>
      <c r="H1350" s="2">
        <v>22997.49</v>
      </c>
    </row>
    <row r="1351" spans="1:8">
      <c r="A1351" t="s">
        <v>52</v>
      </c>
      <c r="B1351" t="s">
        <v>53</v>
      </c>
      <c r="C1351" t="s">
        <v>51</v>
      </c>
      <c r="D1351" t="s">
        <v>29</v>
      </c>
      <c r="E1351">
        <v>2019</v>
      </c>
      <c r="F1351" t="s">
        <v>18</v>
      </c>
      <c r="G1351" t="s">
        <v>15</v>
      </c>
      <c r="H1351" s="2">
        <v>14525.24</v>
      </c>
    </row>
    <row r="1352" spans="1:8">
      <c r="A1352" t="s">
        <v>52</v>
      </c>
      <c r="B1352" t="s">
        <v>53</v>
      </c>
      <c r="C1352" t="s">
        <v>51</v>
      </c>
      <c r="D1352" t="s">
        <v>29</v>
      </c>
      <c r="E1352">
        <v>2019</v>
      </c>
      <c r="F1352" t="s">
        <v>20</v>
      </c>
      <c r="G1352" t="s">
        <v>17</v>
      </c>
      <c r="H1352" s="2">
        <v>-365.18</v>
      </c>
    </row>
    <row r="1353" spans="1:8">
      <c r="A1353" t="s">
        <v>52</v>
      </c>
      <c r="B1353" t="s">
        <v>53</v>
      </c>
      <c r="C1353" t="s">
        <v>51</v>
      </c>
      <c r="D1353" t="s">
        <v>29</v>
      </c>
      <c r="E1353">
        <v>2019</v>
      </c>
      <c r="F1353" t="s">
        <v>21</v>
      </c>
      <c r="G1353" t="s">
        <v>13</v>
      </c>
      <c r="H1353" s="2">
        <v>333469.13</v>
      </c>
    </row>
    <row r="1354" spans="1:8">
      <c r="A1354" t="s">
        <v>52</v>
      </c>
      <c r="B1354" t="s">
        <v>53</v>
      </c>
      <c r="C1354" t="s">
        <v>51</v>
      </c>
      <c r="D1354" t="s">
        <v>29</v>
      </c>
      <c r="E1354">
        <v>2020</v>
      </c>
      <c r="F1354" t="s">
        <v>20</v>
      </c>
      <c r="G1354" t="s">
        <v>13</v>
      </c>
      <c r="H1354" s="2">
        <v>-33058.68</v>
      </c>
    </row>
    <row r="1355" spans="1:8">
      <c r="A1355" t="s">
        <v>52</v>
      </c>
      <c r="B1355" t="s">
        <v>53</v>
      </c>
      <c r="C1355" t="s">
        <v>51</v>
      </c>
      <c r="D1355" t="s">
        <v>29</v>
      </c>
      <c r="E1355">
        <v>2020</v>
      </c>
      <c r="F1355" t="s">
        <v>16</v>
      </c>
      <c r="G1355" t="s">
        <v>15</v>
      </c>
      <c r="H1355" s="2">
        <v>71513.440000000002</v>
      </c>
    </row>
    <row r="1356" spans="1:8">
      <c r="A1356" t="s">
        <v>52</v>
      </c>
      <c r="B1356" t="s">
        <v>53</v>
      </c>
      <c r="C1356" t="s">
        <v>51</v>
      </c>
      <c r="D1356" t="s">
        <v>29</v>
      </c>
      <c r="E1356">
        <v>2020</v>
      </c>
      <c r="F1356" t="s">
        <v>16</v>
      </c>
      <c r="G1356" t="s">
        <v>19</v>
      </c>
      <c r="H1356" s="2">
        <v>0</v>
      </c>
    </row>
    <row r="1357" spans="1:8">
      <c r="A1357" t="s">
        <v>52</v>
      </c>
      <c r="B1357" t="s">
        <v>53</v>
      </c>
      <c r="C1357" t="s">
        <v>51</v>
      </c>
      <c r="D1357" t="s">
        <v>29</v>
      </c>
      <c r="E1357">
        <v>2020</v>
      </c>
      <c r="F1357" t="s">
        <v>16</v>
      </c>
      <c r="G1357" t="s">
        <v>17</v>
      </c>
      <c r="H1357" s="2">
        <v>4358.54</v>
      </c>
    </row>
    <row r="1358" spans="1:8">
      <c r="A1358" t="s">
        <v>52</v>
      </c>
      <c r="B1358" t="s">
        <v>53</v>
      </c>
      <c r="C1358" t="s">
        <v>51</v>
      </c>
      <c r="D1358" t="s">
        <v>29</v>
      </c>
      <c r="E1358">
        <v>2021</v>
      </c>
      <c r="F1358" t="s">
        <v>21</v>
      </c>
      <c r="G1358" t="s">
        <v>15</v>
      </c>
      <c r="H1358" s="2">
        <v>6846.17</v>
      </c>
    </row>
    <row r="1359" spans="1:8">
      <c r="A1359" t="s">
        <v>52</v>
      </c>
      <c r="B1359" t="s">
        <v>53</v>
      </c>
      <c r="C1359" t="s">
        <v>51</v>
      </c>
      <c r="D1359" t="s">
        <v>29</v>
      </c>
      <c r="E1359">
        <v>2021</v>
      </c>
      <c r="F1359" t="s">
        <v>16</v>
      </c>
      <c r="G1359" t="s">
        <v>13</v>
      </c>
      <c r="H1359" s="2">
        <v>13310.04</v>
      </c>
    </row>
    <row r="1360" spans="1:8">
      <c r="A1360" t="s">
        <v>52</v>
      </c>
      <c r="B1360" t="s">
        <v>53</v>
      </c>
      <c r="C1360" t="s">
        <v>51</v>
      </c>
      <c r="D1360" t="s">
        <v>29</v>
      </c>
      <c r="E1360">
        <v>2022</v>
      </c>
      <c r="F1360" t="s">
        <v>22</v>
      </c>
      <c r="G1360" t="s">
        <v>15</v>
      </c>
      <c r="H1360" s="2">
        <v>63648.29</v>
      </c>
    </row>
    <row r="1361" spans="1:8">
      <c r="A1361" t="s">
        <v>52</v>
      </c>
      <c r="B1361" t="s">
        <v>53</v>
      </c>
      <c r="C1361" t="s">
        <v>51</v>
      </c>
      <c r="D1361" t="s">
        <v>29</v>
      </c>
      <c r="E1361">
        <v>2022</v>
      </c>
      <c r="F1361" t="s">
        <v>16</v>
      </c>
      <c r="G1361" t="s">
        <v>13</v>
      </c>
      <c r="H1361" s="2">
        <v>11390.83</v>
      </c>
    </row>
    <row r="1362" spans="1:8">
      <c r="A1362" t="s">
        <v>52</v>
      </c>
      <c r="B1362" t="s">
        <v>53</v>
      </c>
      <c r="C1362" t="s">
        <v>51</v>
      </c>
      <c r="D1362" t="s">
        <v>29</v>
      </c>
      <c r="E1362">
        <v>2023</v>
      </c>
      <c r="F1362" t="s">
        <v>18</v>
      </c>
      <c r="G1362" t="s">
        <v>19</v>
      </c>
      <c r="H1362" s="2">
        <v>12889.55</v>
      </c>
    </row>
    <row r="1363" spans="1:8">
      <c r="A1363" t="s">
        <v>52</v>
      </c>
      <c r="B1363" t="s">
        <v>53</v>
      </c>
      <c r="C1363" t="s">
        <v>51</v>
      </c>
      <c r="D1363" t="s">
        <v>29</v>
      </c>
      <c r="E1363">
        <v>2023</v>
      </c>
      <c r="F1363" t="s">
        <v>14</v>
      </c>
      <c r="G1363" t="s">
        <v>15</v>
      </c>
      <c r="H1363" s="2">
        <v>9462.5499999999993</v>
      </c>
    </row>
    <row r="1364" spans="1:8">
      <c r="A1364" t="s">
        <v>52</v>
      </c>
      <c r="B1364" t="s">
        <v>53</v>
      </c>
      <c r="C1364" t="s">
        <v>51</v>
      </c>
      <c r="D1364" t="s">
        <v>29</v>
      </c>
      <c r="E1364">
        <v>2023</v>
      </c>
      <c r="F1364" t="s">
        <v>14</v>
      </c>
      <c r="G1364" t="s">
        <v>13</v>
      </c>
      <c r="H1364" s="2">
        <v>292461.33</v>
      </c>
    </row>
    <row r="1365" spans="1:8">
      <c r="A1365" t="s">
        <v>52</v>
      </c>
      <c r="B1365" t="s">
        <v>53</v>
      </c>
      <c r="C1365" t="s">
        <v>51</v>
      </c>
      <c r="D1365" t="s">
        <v>29</v>
      </c>
      <c r="E1365">
        <v>2023</v>
      </c>
      <c r="F1365" t="s">
        <v>21</v>
      </c>
      <c r="G1365" t="s">
        <v>15</v>
      </c>
      <c r="H1365" s="2">
        <v>6177.05</v>
      </c>
    </row>
    <row r="1366" spans="1:8">
      <c r="A1366" t="s">
        <v>52</v>
      </c>
      <c r="B1366" t="s">
        <v>53</v>
      </c>
      <c r="C1366" t="s">
        <v>51</v>
      </c>
      <c r="D1366" t="s">
        <v>29</v>
      </c>
      <c r="E1366">
        <v>2024</v>
      </c>
      <c r="F1366" t="s">
        <v>20</v>
      </c>
      <c r="G1366" t="s">
        <v>19</v>
      </c>
      <c r="H1366" s="2">
        <v>0</v>
      </c>
    </row>
    <row r="1367" spans="1:8">
      <c r="A1367" t="s">
        <v>52</v>
      </c>
      <c r="B1367" t="s">
        <v>53</v>
      </c>
      <c r="C1367" t="s">
        <v>51</v>
      </c>
      <c r="D1367" t="s">
        <v>29</v>
      </c>
      <c r="E1367">
        <v>2024</v>
      </c>
      <c r="F1367" t="s">
        <v>21</v>
      </c>
      <c r="G1367" t="s">
        <v>15</v>
      </c>
      <c r="H1367" s="2">
        <v>5297.24</v>
      </c>
    </row>
    <row r="1368" spans="1:8">
      <c r="A1368" t="s">
        <v>54</v>
      </c>
      <c r="B1368" t="s">
        <v>55</v>
      </c>
      <c r="C1368" t="s">
        <v>32</v>
      </c>
      <c r="D1368" t="s">
        <v>33</v>
      </c>
      <c r="E1368">
        <v>1990</v>
      </c>
      <c r="F1368" t="s">
        <v>20</v>
      </c>
      <c r="G1368" t="s">
        <v>13</v>
      </c>
      <c r="H1368" s="2">
        <v>-180937.67</v>
      </c>
    </row>
    <row r="1369" spans="1:8">
      <c r="A1369" t="s">
        <v>54</v>
      </c>
      <c r="B1369" t="s">
        <v>55</v>
      </c>
      <c r="C1369" t="s">
        <v>32</v>
      </c>
      <c r="D1369" t="s">
        <v>33</v>
      </c>
      <c r="E1369">
        <v>1990</v>
      </c>
      <c r="F1369" t="s">
        <v>20</v>
      </c>
      <c r="G1369" t="s">
        <v>17</v>
      </c>
      <c r="H1369" s="2">
        <v>-1748.29</v>
      </c>
    </row>
    <row r="1370" spans="1:8">
      <c r="A1370" t="s">
        <v>54</v>
      </c>
      <c r="B1370" t="s">
        <v>55</v>
      </c>
      <c r="C1370" t="s">
        <v>32</v>
      </c>
      <c r="D1370" t="s">
        <v>33</v>
      </c>
      <c r="E1370">
        <v>1990</v>
      </c>
      <c r="F1370" t="s">
        <v>21</v>
      </c>
      <c r="G1370" t="s">
        <v>15</v>
      </c>
      <c r="H1370" s="2">
        <v>8852.6</v>
      </c>
    </row>
    <row r="1371" spans="1:8">
      <c r="A1371" t="s">
        <v>54</v>
      </c>
      <c r="B1371" t="s">
        <v>55</v>
      </c>
      <c r="C1371" t="s">
        <v>32</v>
      </c>
      <c r="D1371" t="s">
        <v>33</v>
      </c>
      <c r="E1371">
        <v>1990</v>
      </c>
      <c r="F1371" t="s">
        <v>16</v>
      </c>
      <c r="G1371" t="s">
        <v>19</v>
      </c>
      <c r="H1371" s="2">
        <v>0</v>
      </c>
    </row>
    <row r="1372" spans="1:8">
      <c r="A1372" t="s">
        <v>54</v>
      </c>
      <c r="B1372" t="s">
        <v>55</v>
      </c>
      <c r="C1372" t="s">
        <v>32</v>
      </c>
      <c r="D1372" t="s">
        <v>33</v>
      </c>
      <c r="E1372">
        <v>1991</v>
      </c>
      <c r="F1372" t="s">
        <v>12</v>
      </c>
      <c r="G1372" t="s">
        <v>15</v>
      </c>
      <c r="H1372" s="2">
        <v>7708.13</v>
      </c>
    </row>
    <row r="1373" spans="1:8">
      <c r="A1373" t="s">
        <v>54</v>
      </c>
      <c r="B1373" t="s">
        <v>55</v>
      </c>
      <c r="C1373" t="s">
        <v>32</v>
      </c>
      <c r="D1373" t="s">
        <v>33</v>
      </c>
      <c r="E1373">
        <v>1992</v>
      </c>
      <c r="F1373" t="s">
        <v>22</v>
      </c>
      <c r="G1373" t="s">
        <v>13</v>
      </c>
      <c r="H1373" s="2">
        <v>28380.65</v>
      </c>
    </row>
    <row r="1374" spans="1:8">
      <c r="A1374" t="s">
        <v>54</v>
      </c>
      <c r="B1374" t="s">
        <v>55</v>
      </c>
      <c r="C1374" t="s">
        <v>32</v>
      </c>
      <c r="D1374" t="s">
        <v>33</v>
      </c>
      <c r="E1374">
        <v>1992</v>
      </c>
      <c r="F1374" t="s">
        <v>20</v>
      </c>
      <c r="G1374" t="s">
        <v>13</v>
      </c>
      <c r="H1374" s="2">
        <v>-195249.66</v>
      </c>
    </row>
    <row r="1375" spans="1:8">
      <c r="A1375" t="s">
        <v>54</v>
      </c>
      <c r="B1375" t="s">
        <v>55</v>
      </c>
      <c r="C1375" t="s">
        <v>32</v>
      </c>
      <c r="D1375" t="s">
        <v>33</v>
      </c>
      <c r="E1375">
        <v>1993</v>
      </c>
      <c r="F1375" t="s">
        <v>22</v>
      </c>
      <c r="G1375" t="s">
        <v>13</v>
      </c>
      <c r="H1375" s="2">
        <v>28246.35</v>
      </c>
    </row>
    <row r="1376" spans="1:8">
      <c r="A1376" t="s">
        <v>54</v>
      </c>
      <c r="B1376" t="s">
        <v>55</v>
      </c>
      <c r="C1376" t="s">
        <v>32</v>
      </c>
      <c r="D1376" t="s">
        <v>33</v>
      </c>
      <c r="E1376">
        <v>1994</v>
      </c>
      <c r="F1376" t="s">
        <v>22</v>
      </c>
      <c r="G1376" t="s">
        <v>15</v>
      </c>
      <c r="H1376" s="2">
        <v>190957.95</v>
      </c>
    </row>
    <row r="1377" spans="1:8">
      <c r="A1377" t="s">
        <v>54</v>
      </c>
      <c r="B1377" t="s">
        <v>55</v>
      </c>
      <c r="C1377" t="s">
        <v>32</v>
      </c>
      <c r="D1377" t="s">
        <v>33</v>
      </c>
      <c r="E1377">
        <v>1994</v>
      </c>
      <c r="F1377" t="s">
        <v>12</v>
      </c>
      <c r="G1377" t="s">
        <v>19</v>
      </c>
      <c r="H1377" s="2">
        <v>0</v>
      </c>
    </row>
    <row r="1378" spans="1:8">
      <c r="A1378" t="s">
        <v>54</v>
      </c>
      <c r="B1378" t="s">
        <v>55</v>
      </c>
      <c r="C1378" t="s">
        <v>32</v>
      </c>
      <c r="D1378" t="s">
        <v>33</v>
      </c>
      <c r="E1378">
        <v>1994</v>
      </c>
      <c r="F1378" t="s">
        <v>21</v>
      </c>
      <c r="G1378" t="s">
        <v>15</v>
      </c>
      <c r="H1378" s="2">
        <v>10267.120000000001</v>
      </c>
    </row>
    <row r="1379" spans="1:8">
      <c r="A1379" t="s">
        <v>54</v>
      </c>
      <c r="B1379" t="s">
        <v>55</v>
      </c>
      <c r="C1379" t="s">
        <v>32</v>
      </c>
      <c r="D1379" t="s">
        <v>33</v>
      </c>
      <c r="E1379">
        <v>1995</v>
      </c>
      <c r="F1379" t="s">
        <v>18</v>
      </c>
      <c r="G1379" t="s">
        <v>15</v>
      </c>
      <c r="H1379" s="2">
        <v>3059.9</v>
      </c>
    </row>
    <row r="1380" spans="1:8">
      <c r="A1380" t="s">
        <v>54</v>
      </c>
      <c r="B1380" t="s">
        <v>55</v>
      </c>
      <c r="C1380" t="s">
        <v>32</v>
      </c>
      <c r="D1380" t="s">
        <v>33</v>
      </c>
      <c r="E1380">
        <v>1995</v>
      </c>
      <c r="F1380" t="s">
        <v>20</v>
      </c>
      <c r="G1380" t="s">
        <v>13</v>
      </c>
      <c r="H1380" s="2">
        <v>-201182.45</v>
      </c>
    </row>
    <row r="1381" spans="1:8">
      <c r="A1381" t="s">
        <v>54</v>
      </c>
      <c r="B1381" t="s">
        <v>55</v>
      </c>
      <c r="C1381" t="s">
        <v>32</v>
      </c>
      <c r="D1381" t="s">
        <v>33</v>
      </c>
      <c r="E1381">
        <v>1995</v>
      </c>
      <c r="F1381" t="s">
        <v>21</v>
      </c>
      <c r="G1381" t="s">
        <v>17</v>
      </c>
      <c r="H1381" s="2">
        <v>5012.99</v>
      </c>
    </row>
    <row r="1382" spans="1:8">
      <c r="A1382" t="s">
        <v>54</v>
      </c>
      <c r="B1382" t="s">
        <v>55</v>
      </c>
      <c r="C1382" t="s">
        <v>32</v>
      </c>
      <c r="D1382" t="s">
        <v>33</v>
      </c>
      <c r="E1382">
        <v>1997</v>
      </c>
      <c r="F1382" t="s">
        <v>22</v>
      </c>
      <c r="G1382" t="s">
        <v>13</v>
      </c>
      <c r="H1382" s="2">
        <v>27268.65</v>
      </c>
    </row>
    <row r="1383" spans="1:8">
      <c r="A1383" t="s">
        <v>54</v>
      </c>
      <c r="B1383" t="s">
        <v>55</v>
      </c>
      <c r="C1383" t="s">
        <v>32</v>
      </c>
      <c r="D1383" t="s">
        <v>33</v>
      </c>
      <c r="E1383">
        <v>1997</v>
      </c>
      <c r="F1383" t="s">
        <v>18</v>
      </c>
      <c r="G1383" t="s">
        <v>13</v>
      </c>
      <c r="H1383" s="2">
        <v>50777.73</v>
      </c>
    </row>
    <row r="1384" spans="1:8">
      <c r="A1384" t="s">
        <v>54</v>
      </c>
      <c r="B1384" t="s">
        <v>55</v>
      </c>
      <c r="C1384" t="s">
        <v>32</v>
      </c>
      <c r="D1384" t="s">
        <v>33</v>
      </c>
      <c r="E1384">
        <v>1997</v>
      </c>
      <c r="F1384" t="s">
        <v>21</v>
      </c>
      <c r="G1384" t="s">
        <v>17</v>
      </c>
      <c r="H1384" s="2">
        <v>4870.13</v>
      </c>
    </row>
    <row r="1385" spans="1:8">
      <c r="A1385" t="s">
        <v>54</v>
      </c>
      <c r="B1385" t="s">
        <v>55</v>
      </c>
      <c r="C1385" t="s">
        <v>32</v>
      </c>
      <c r="D1385" t="s">
        <v>33</v>
      </c>
      <c r="E1385">
        <v>1997</v>
      </c>
      <c r="F1385" t="s">
        <v>16</v>
      </c>
      <c r="G1385" t="s">
        <v>15</v>
      </c>
      <c r="H1385" s="2">
        <v>179634.36</v>
      </c>
    </row>
    <row r="1386" spans="1:8">
      <c r="A1386" t="s">
        <v>54</v>
      </c>
      <c r="B1386" t="s">
        <v>55</v>
      </c>
      <c r="C1386" t="s">
        <v>32</v>
      </c>
      <c r="D1386" t="s">
        <v>33</v>
      </c>
      <c r="E1386">
        <v>1998</v>
      </c>
      <c r="F1386" t="s">
        <v>12</v>
      </c>
      <c r="G1386" t="s">
        <v>13</v>
      </c>
      <c r="H1386" s="2">
        <v>126036.41</v>
      </c>
    </row>
    <row r="1387" spans="1:8">
      <c r="A1387" t="s">
        <v>54</v>
      </c>
      <c r="B1387" t="s">
        <v>55</v>
      </c>
      <c r="C1387" t="s">
        <v>32</v>
      </c>
      <c r="D1387" t="s">
        <v>33</v>
      </c>
      <c r="E1387">
        <v>1998</v>
      </c>
      <c r="F1387" t="s">
        <v>12</v>
      </c>
      <c r="G1387" t="s">
        <v>19</v>
      </c>
      <c r="H1387" s="2">
        <v>0</v>
      </c>
    </row>
    <row r="1388" spans="1:8">
      <c r="A1388" t="s">
        <v>54</v>
      </c>
      <c r="B1388" t="s">
        <v>55</v>
      </c>
      <c r="C1388" t="s">
        <v>32</v>
      </c>
      <c r="D1388" t="s">
        <v>33</v>
      </c>
      <c r="E1388">
        <v>1999</v>
      </c>
      <c r="F1388" t="s">
        <v>18</v>
      </c>
      <c r="G1388" t="s">
        <v>19</v>
      </c>
      <c r="H1388" s="2">
        <v>3155.63</v>
      </c>
    </row>
    <row r="1389" spans="1:8">
      <c r="A1389" t="s">
        <v>54</v>
      </c>
      <c r="B1389" t="s">
        <v>55</v>
      </c>
      <c r="C1389" t="s">
        <v>32</v>
      </c>
      <c r="D1389" t="s">
        <v>33</v>
      </c>
      <c r="E1389">
        <v>1999</v>
      </c>
      <c r="F1389" t="s">
        <v>16</v>
      </c>
      <c r="G1389" t="s">
        <v>19</v>
      </c>
      <c r="H1389" s="2">
        <v>0</v>
      </c>
    </row>
    <row r="1390" spans="1:8">
      <c r="A1390" t="s">
        <v>54</v>
      </c>
      <c r="B1390" t="s">
        <v>55</v>
      </c>
      <c r="C1390" t="s">
        <v>32</v>
      </c>
      <c r="D1390" t="s">
        <v>33</v>
      </c>
      <c r="E1390">
        <v>2000</v>
      </c>
      <c r="F1390" t="s">
        <v>22</v>
      </c>
      <c r="G1390" t="s">
        <v>15</v>
      </c>
      <c r="H1390" s="2">
        <v>230757.78</v>
      </c>
    </row>
    <row r="1391" spans="1:8">
      <c r="A1391" t="s">
        <v>54</v>
      </c>
      <c r="B1391" t="s">
        <v>55</v>
      </c>
      <c r="C1391" t="s">
        <v>32</v>
      </c>
      <c r="D1391" t="s">
        <v>33</v>
      </c>
      <c r="E1391">
        <v>2000</v>
      </c>
      <c r="F1391" t="s">
        <v>12</v>
      </c>
      <c r="G1391" t="s">
        <v>17</v>
      </c>
      <c r="H1391" s="2">
        <v>4664.45</v>
      </c>
    </row>
    <row r="1392" spans="1:8">
      <c r="A1392" t="s">
        <v>54</v>
      </c>
      <c r="B1392" t="s">
        <v>55</v>
      </c>
      <c r="C1392" t="s">
        <v>32</v>
      </c>
      <c r="D1392" t="s">
        <v>33</v>
      </c>
      <c r="E1392">
        <v>2000</v>
      </c>
      <c r="F1392" t="s">
        <v>21</v>
      </c>
      <c r="G1392" t="s">
        <v>13</v>
      </c>
      <c r="H1392" s="2">
        <v>579177.27</v>
      </c>
    </row>
    <row r="1393" spans="1:8">
      <c r="A1393" t="s">
        <v>54</v>
      </c>
      <c r="B1393" t="s">
        <v>55</v>
      </c>
      <c r="C1393" t="s">
        <v>32</v>
      </c>
      <c r="D1393" t="s">
        <v>33</v>
      </c>
      <c r="E1393">
        <v>2000</v>
      </c>
      <c r="F1393" t="s">
        <v>16</v>
      </c>
      <c r="G1393" t="s">
        <v>15</v>
      </c>
      <c r="H1393" s="2">
        <v>237448.26</v>
      </c>
    </row>
    <row r="1394" spans="1:8">
      <c r="A1394" t="s">
        <v>54</v>
      </c>
      <c r="B1394" t="s">
        <v>55</v>
      </c>
      <c r="C1394" t="s">
        <v>32</v>
      </c>
      <c r="D1394" t="s">
        <v>33</v>
      </c>
      <c r="E1394">
        <v>2001</v>
      </c>
      <c r="F1394" t="s">
        <v>22</v>
      </c>
      <c r="G1394" t="s">
        <v>19</v>
      </c>
      <c r="H1394" s="2">
        <v>0</v>
      </c>
    </row>
    <row r="1395" spans="1:8">
      <c r="A1395" t="s">
        <v>54</v>
      </c>
      <c r="B1395" t="s">
        <v>55</v>
      </c>
      <c r="C1395" t="s">
        <v>32</v>
      </c>
      <c r="D1395" t="s">
        <v>33</v>
      </c>
      <c r="E1395">
        <v>2001</v>
      </c>
      <c r="F1395" t="s">
        <v>21</v>
      </c>
      <c r="G1395" t="s">
        <v>13</v>
      </c>
      <c r="H1395" s="2">
        <v>514651.82</v>
      </c>
    </row>
    <row r="1396" spans="1:8">
      <c r="A1396" t="s">
        <v>54</v>
      </c>
      <c r="B1396" t="s">
        <v>55</v>
      </c>
      <c r="C1396" t="s">
        <v>32</v>
      </c>
      <c r="D1396" t="s">
        <v>33</v>
      </c>
      <c r="E1396">
        <v>2001</v>
      </c>
      <c r="F1396" t="s">
        <v>16</v>
      </c>
      <c r="G1396" t="s">
        <v>15</v>
      </c>
      <c r="H1396" s="2">
        <v>195977.92</v>
      </c>
    </row>
    <row r="1397" spans="1:8">
      <c r="A1397" t="s">
        <v>54</v>
      </c>
      <c r="B1397" t="s">
        <v>55</v>
      </c>
      <c r="C1397" t="s">
        <v>32</v>
      </c>
      <c r="D1397" t="s">
        <v>33</v>
      </c>
      <c r="E1397">
        <v>2002</v>
      </c>
      <c r="F1397" t="s">
        <v>20</v>
      </c>
      <c r="G1397" t="s">
        <v>15</v>
      </c>
      <c r="H1397" s="2">
        <v>-2665.3</v>
      </c>
    </row>
    <row r="1398" spans="1:8">
      <c r="A1398" t="s">
        <v>54</v>
      </c>
      <c r="B1398" t="s">
        <v>55</v>
      </c>
      <c r="C1398" t="s">
        <v>32</v>
      </c>
      <c r="D1398" t="s">
        <v>33</v>
      </c>
      <c r="E1398">
        <v>2002</v>
      </c>
      <c r="F1398" t="s">
        <v>20</v>
      </c>
      <c r="G1398" t="s">
        <v>17</v>
      </c>
      <c r="H1398" s="2">
        <v>-2558.52</v>
      </c>
    </row>
    <row r="1399" spans="1:8">
      <c r="A1399" t="s">
        <v>54</v>
      </c>
      <c r="B1399" t="s">
        <v>55</v>
      </c>
      <c r="C1399" t="s">
        <v>32</v>
      </c>
      <c r="D1399" t="s">
        <v>33</v>
      </c>
      <c r="E1399">
        <v>2004</v>
      </c>
      <c r="F1399" t="s">
        <v>12</v>
      </c>
      <c r="G1399" t="s">
        <v>13</v>
      </c>
      <c r="H1399" s="2">
        <v>150622.85999999999</v>
      </c>
    </row>
    <row r="1400" spans="1:8">
      <c r="A1400" t="s">
        <v>54</v>
      </c>
      <c r="B1400" t="s">
        <v>55</v>
      </c>
      <c r="C1400" t="s">
        <v>32</v>
      </c>
      <c r="D1400" t="s">
        <v>33</v>
      </c>
      <c r="E1400">
        <v>2004</v>
      </c>
      <c r="F1400" t="s">
        <v>12</v>
      </c>
      <c r="G1400" t="s">
        <v>19</v>
      </c>
      <c r="H1400" s="2">
        <v>0</v>
      </c>
    </row>
    <row r="1401" spans="1:8">
      <c r="A1401" t="s">
        <v>54</v>
      </c>
      <c r="B1401" t="s">
        <v>55</v>
      </c>
      <c r="C1401" t="s">
        <v>32</v>
      </c>
      <c r="D1401" t="s">
        <v>33</v>
      </c>
      <c r="E1401">
        <v>2004</v>
      </c>
      <c r="F1401" t="s">
        <v>20</v>
      </c>
      <c r="G1401" t="s">
        <v>19</v>
      </c>
      <c r="H1401" s="2">
        <v>0</v>
      </c>
    </row>
    <row r="1402" spans="1:8">
      <c r="A1402" t="s">
        <v>54</v>
      </c>
      <c r="B1402" t="s">
        <v>55</v>
      </c>
      <c r="C1402" t="s">
        <v>32</v>
      </c>
      <c r="D1402" t="s">
        <v>33</v>
      </c>
      <c r="E1402">
        <v>2005</v>
      </c>
      <c r="F1402" t="s">
        <v>12</v>
      </c>
      <c r="G1402" t="s">
        <v>17</v>
      </c>
      <c r="H1402" s="2">
        <v>4355.3599999999997</v>
      </c>
    </row>
    <row r="1403" spans="1:8">
      <c r="A1403" t="s">
        <v>54</v>
      </c>
      <c r="B1403" t="s">
        <v>55</v>
      </c>
      <c r="C1403" t="s">
        <v>32</v>
      </c>
      <c r="D1403" t="s">
        <v>33</v>
      </c>
      <c r="E1403">
        <v>2005</v>
      </c>
      <c r="F1403" t="s">
        <v>14</v>
      </c>
      <c r="G1403" t="s">
        <v>17</v>
      </c>
      <c r="H1403" s="2">
        <v>8030</v>
      </c>
    </row>
    <row r="1404" spans="1:8">
      <c r="A1404" t="s">
        <v>54</v>
      </c>
      <c r="B1404" t="s">
        <v>55</v>
      </c>
      <c r="C1404" t="s">
        <v>32</v>
      </c>
      <c r="D1404" t="s">
        <v>33</v>
      </c>
      <c r="E1404">
        <v>2005</v>
      </c>
      <c r="F1404" t="s">
        <v>21</v>
      </c>
      <c r="G1404" t="s">
        <v>19</v>
      </c>
      <c r="H1404" s="2">
        <v>0</v>
      </c>
    </row>
    <row r="1405" spans="1:8">
      <c r="A1405" t="s">
        <v>54</v>
      </c>
      <c r="B1405" t="s">
        <v>55</v>
      </c>
      <c r="C1405" t="s">
        <v>32</v>
      </c>
      <c r="D1405" t="s">
        <v>33</v>
      </c>
      <c r="E1405">
        <v>2005</v>
      </c>
      <c r="F1405" t="s">
        <v>16</v>
      </c>
      <c r="G1405" t="s">
        <v>17</v>
      </c>
      <c r="H1405" s="2">
        <v>11671.76</v>
      </c>
    </row>
    <row r="1406" spans="1:8">
      <c r="A1406" t="s">
        <v>54</v>
      </c>
      <c r="B1406" t="s">
        <v>55</v>
      </c>
      <c r="C1406" t="s">
        <v>32</v>
      </c>
      <c r="D1406" t="s">
        <v>33</v>
      </c>
      <c r="E1406">
        <v>2006</v>
      </c>
      <c r="F1406" t="s">
        <v>14</v>
      </c>
      <c r="G1406" t="s">
        <v>13</v>
      </c>
      <c r="H1406" s="2">
        <v>403807.02</v>
      </c>
    </row>
    <row r="1407" spans="1:8">
      <c r="A1407" t="s">
        <v>54</v>
      </c>
      <c r="B1407" t="s">
        <v>55</v>
      </c>
      <c r="C1407" t="s">
        <v>32</v>
      </c>
      <c r="D1407" t="s">
        <v>33</v>
      </c>
      <c r="E1407">
        <v>2007</v>
      </c>
      <c r="F1407" t="s">
        <v>14</v>
      </c>
      <c r="G1407" t="s">
        <v>13</v>
      </c>
      <c r="H1407" s="2">
        <v>415313.98</v>
      </c>
    </row>
    <row r="1408" spans="1:8">
      <c r="A1408" t="s">
        <v>54</v>
      </c>
      <c r="B1408" t="s">
        <v>55</v>
      </c>
      <c r="C1408" t="s">
        <v>32</v>
      </c>
      <c r="D1408" t="s">
        <v>33</v>
      </c>
      <c r="E1408">
        <v>2008</v>
      </c>
      <c r="F1408" t="s">
        <v>22</v>
      </c>
      <c r="G1408" t="s">
        <v>15</v>
      </c>
      <c r="H1408" s="2">
        <v>267655.83</v>
      </c>
    </row>
    <row r="1409" spans="1:8">
      <c r="A1409" t="s">
        <v>54</v>
      </c>
      <c r="B1409" t="s">
        <v>55</v>
      </c>
      <c r="C1409" t="s">
        <v>32</v>
      </c>
      <c r="D1409" t="s">
        <v>33</v>
      </c>
      <c r="E1409">
        <v>2008</v>
      </c>
      <c r="F1409" t="s">
        <v>18</v>
      </c>
      <c r="G1409" t="s">
        <v>17</v>
      </c>
      <c r="H1409" s="2">
        <v>3869.7</v>
      </c>
    </row>
    <row r="1410" spans="1:8">
      <c r="A1410" t="s">
        <v>54</v>
      </c>
      <c r="B1410" t="s">
        <v>55</v>
      </c>
      <c r="C1410" t="s">
        <v>32</v>
      </c>
      <c r="D1410" t="s">
        <v>33</v>
      </c>
      <c r="E1410">
        <v>2008</v>
      </c>
      <c r="F1410" t="s">
        <v>20</v>
      </c>
      <c r="G1410" t="s">
        <v>17</v>
      </c>
      <c r="H1410" s="2">
        <v>-2684.06</v>
      </c>
    </row>
    <row r="1411" spans="1:8">
      <c r="A1411" t="s">
        <v>54</v>
      </c>
      <c r="B1411" t="s">
        <v>55</v>
      </c>
      <c r="C1411" t="s">
        <v>32</v>
      </c>
      <c r="D1411" t="s">
        <v>33</v>
      </c>
      <c r="E1411">
        <v>2008</v>
      </c>
      <c r="F1411" t="s">
        <v>16</v>
      </c>
      <c r="G1411" t="s">
        <v>15</v>
      </c>
      <c r="H1411" s="2">
        <v>251050.7</v>
      </c>
    </row>
    <row r="1412" spans="1:8">
      <c r="A1412" t="s">
        <v>54</v>
      </c>
      <c r="B1412" t="s">
        <v>55</v>
      </c>
      <c r="C1412" t="s">
        <v>32</v>
      </c>
      <c r="D1412" t="s">
        <v>33</v>
      </c>
      <c r="E1412">
        <v>2009</v>
      </c>
      <c r="F1412" t="s">
        <v>14</v>
      </c>
      <c r="G1412" t="s">
        <v>17</v>
      </c>
      <c r="H1412" s="2">
        <v>9366.09</v>
      </c>
    </row>
    <row r="1413" spans="1:8">
      <c r="A1413" t="s">
        <v>54</v>
      </c>
      <c r="B1413" t="s">
        <v>55</v>
      </c>
      <c r="C1413" t="s">
        <v>32</v>
      </c>
      <c r="D1413" t="s">
        <v>33</v>
      </c>
      <c r="E1413">
        <v>2009</v>
      </c>
      <c r="F1413" t="s">
        <v>21</v>
      </c>
      <c r="G1413" t="s">
        <v>13</v>
      </c>
      <c r="H1413" s="2">
        <v>567101.41</v>
      </c>
    </row>
    <row r="1414" spans="1:8">
      <c r="A1414" t="s">
        <v>54</v>
      </c>
      <c r="B1414" t="s">
        <v>55</v>
      </c>
      <c r="C1414" t="s">
        <v>32</v>
      </c>
      <c r="D1414" t="s">
        <v>33</v>
      </c>
      <c r="E1414">
        <v>2011</v>
      </c>
      <c r="F1414" t="s">
        <v>22</v>
      </c>
      <c r="G1414" t="s">
        <v>17</v>
      </c>
      <c r="H1414" s="2">
        <v>75326.289999999994</v>
      </c>
    </row>
    <row r="1415" spans="1:8">
      <c r="A1415" t="s">
        <v>54</v>
      </c>
      <c r="B1415" t="s">
        <v>55</v>
      </c>
      <c r="C1415" t="s">
        <v>32</v>
      </c>
      <c r="D1415" t="s">
        <v>33</v>
      </c>
      <c r="E1415">
        <v>2011</v>
      </c>
      <c r="F1415" t="s">
        <v>14</v>
      </c>
      <c r="G1415" t="s">
        <v>13</v>
      </c>
      <c r="H1415" s="2">
        <v>471906.26</v>
      </c>
    </row>
    <row r="1416" spans="1:8">
      <c r="A1416" t="s">
        <v>54</v>
      </c>
      <c r="B1416" t="s">
        <v>55</v>
      </c>
      <c r="C1416" t="s">
        <v>32</v>
      </c>
      <c r="D1416" t="s">
        <v>33</v>
      </c>
      <c r="E1416">
        <v>2011</v>
      </c>
      <c r="F1416" t="s">
        <v>21</v>
      </c>
      <c r="G1416" t="s">
        <v>19</v>
      </c>
      <c r="H1416" s="2">
        <v>0</v>
      </c>
    </row>
    <row r="1417" spans="1:8">
      <c r="A1417" t="s">
        <v>54</v>
      </c>
      <c r="B1417" t="s">
        <v>55</v>
      </c>
      <c r="C1417" t="s">
        <v>32</v>
      </c>
      <c r="D1417" t="s">
        <v>33</v>
      </c>
      <c r="E1417">
        <v>2011</v>
      </c>
      <c r="F1417" t="s">
        <v>16</v>
      </c>
      <c r="G1417" t="s">
        <v>15</v>
      </c>
      <c r="H1417" s="2">
        <v>250992.01</v>
      </c>
    </row>
    <row r="1418" spans="1:8">
      <c r="A1418" t="s">
        <v>54</v>
      </c>
      <c r="B1418" t="s">
        <v>55</v>
      </c>
      <c r="C1418" t="s">
        <v>32</v>
      </c>
      <c r="D1418" t="s">
        <v>33</v>
      </c>
      <c r="E1418">
        <v>2012</v>
      </c>
      <c r="F1418" t="s">
        <v>18</v>
      </c>
      <c r="G1418" t="s">
        <v>19</v>
      </c>
      <c r="H1418" s="2">
        <v>3520.1</v>
      </c>
    </row>
    <row r="1419" spans="1:8">
      <c r="A1419" t="s">
        <v>54</v>
      </c>
      <c r="B1419" t="s">
        <v>55</v>
      </c>
      <c r="C1419" t="s">
        <v>32</v>
      </c>
      <c r="D1419" t="s">
        <v>33</v>
      </c>
      <c r="E1419">
        <v>2012</v>
      </c>
      <c r="F1419" t="s">
        <v>20</v>
      </c>
      <c r="G1419" t="s">
        <v>15</v>
      </c>
      <c r="H1419" s="2">
        <v>-2493.7399999999998</v>
      </c>
    </row>
    <row r="1420" spans="1:8">
      <c r="A1420" t="s">
        <v>54</v>
      </c>
      <c r="B1420" t="s">
        <v>55</v>
      </c>
      <c r="C1420" t="s">
        <v>32</v>
      </c>
      <c r="D1420" t="s">
        <v>33</v>
      </c>
      <c r="E1420">
        <v>2013</v>
      </c>
      <c r="F1420" t="s">
        <v>22</v>
      </c>
      <c r="G1420" t="s">
        <v>17</v>
      </c>
      <c r="H1420" s="2">
        <v>70589.45</v>
      </c>
    </row>
    <row r="1421" spans="1:8">
      <c r="A1421" t="s">
        <v>54</v>
      </c>
      <c r="B1421" t="s">
        <v>55</v>
      </c>
      <c r="C1421" t="s">
        <v>32</v>
      </c>
      <c r="D1421" t="s">
        <v>33</v>
      </c>
      <c r="E1421">
        <v>2013</v>
      </c>
      <c r="F1421" t="s">
        <v>18</v>
      </c>
      <c r="G1421" t="s">
        <v>15</v>
      </c>
      <c r="H1421" s="2">
        <v>3874.54</v>
      </c>
    </row>
    <row r="1422" spans="1:8">
      <c r="A1422" t="s">
        <v>54</v>
      </c>
      <c r="B1422" t="s">
        <v>55</v>
      </c>
      <c r="C1422" t="s">
        <v>32</v>
      </c>
      <c r="D1422" t="s">
        <v>33</v>
      </c>
      <c r="E1422">
        <v>2013</v>
      </c>
      <c r="F1422" t="s">
        <v>20</v>
      </c>
      <c r="G1422" t="s">
        <v>19</v>
      </c>
      <c r="H1422" s="2">
        <v>0</v>
      </c>
    </row>
    <row r="1423" spans="1:8">
      <c r="A1423" t="s">
        <v>54</v>
      </c>
      <c r="B1423" t="s">
        <v>55</v>
      </c>
      <c r="C1423" t="s">
        <v>32</v>
      </c>
      <c r="D1423" t="s">
        <v>33</v>
      </c>
      <c r="E1423">
        <v>2013</v>
      </c>
      <c r="F1423" t="s">
        <v>16</v>
      </c>
      <c r="G1423" t="s">
        <v>19</v>
      </c>
      <c r="H1423" s="2">
        <v>0</v>
      </c>
    </row>
    <row r="1424" spans="1:8">
      <c r="A1424" t="s">
        <v>54</v>
      </c>
      <c r="B1424" t="s">
        <v>55</v>
      </c>
      <c r="C1424" t="s">
        <v>32</v>
      </c>
      <c r="D1424" t="s">
        <v>33</v>
      </c>
      <c r="E1424">
        <v>2014</v>
      </c>
      <c r="F1424" t="s">
        <v>12</v>
      </c>
      <c r="G1424" t="s">
        <v>19</v>
      </c>
      <c r="H1424" s="2">
        <v>0</v>
      </c>
    </row>
    <row r="1425" spans="1:8">
      <c r="A1425" t="s">
        <v>54</v>
      </c>
      <c r="B1425" t="s">
        <v>55</v>
      </c>
      <c r="C1425" t="s">
        <v>32</v>
      </c>
      <c r="D1425" t="s">
        <v>33</v>
      </c>
      <c r="E1425">
        <v>2014</v>
      </c>
      <c r="F1425" t="s">
        <v>18</v>
      </c>
      <c r="G1425" t="s">
        <v>13</v>
      </c>
      <c r="H1425" s="2">
        <v>64710.81</v>
      </c>
    </row>
    <row r="1426" spans="1:8">
      <c r="A1426" t="s">
        <v>54</v>
      </c>
      <c r="B1426" t="s">
        <v>55</v>
      </c>
      <c r="C1426" t="s">
        <v>32</v>
      </c>
      <c r="D1426" t="s">
        <v>33</v>
      </c>
      <c r="E1426">
        <v>2014</v>
      </c>
      <c r="F1426" t="s">
        <v>20</v>
      </c>
      <c r="G1426" t="s">
        <v>15</v>
      </c>
      <c r="H1426" s="2">
        <v>-2878.48</v>
      </c>
    </row>
    <row r="1427" spans="1:8">
      <c r="A1427" t="s">
        <v>54</v>
      </c>
      <c r="B1427" t="s">
        <v>55</v>
      </c>
      <c r="C1427" t="s">
        <v>32</v>
      </c>
      <c r="D1427" t="s">
        <v>33</v>
      </c>
      <c r="E1427">
        <v>2014</v>
      </c>
      <c r="F1427" t="s">
        <v>20</v>
      </c>
      <c r="G1427" t="s">
        <v>13</v>
      </c>
      <c r="H1427" s="2">
        <v>-286864.06</v>
      </c>
    </row>
    <row r="1428" spans="1:8">
      <c r="A1428" t="s">
        <v>54</v>
      </c>
      <c r="B1428" t="s">
        <v>55</v>
      </c>
      <c r="C1428" t="s">
        <v>32</v>
      </c>
      <c r="D1428" t="s">
        <v>33</v>
      </c>
      <c r="E1428">
        <v>2015</v>
      </c>
      <c r="F1428" t="s">
        <v>12</v>
      </c>
      <c r="G1428" t="s">
        <v>19</v>
      </c>
      <c r="H1428" s="2">
        <v>0</v>
      </c>
    </row>
    <row r="1429" spans="1:8">
      <c r="A1429" t="s">
        <v>54</v>
      </c>
      <c r="B1429" t="s">
        <v>55</v>
      </c>
      <c r="C1429" t="s">
        <v>32</v>
      </c>
      <c r="D1429" t="s">
        <v>33</v>
      </c>
      <c r="E1429">
        <v>2016</v>
      </c>
      <c r="F1429" t="s">
        <v>18</v>
      </c>
      <c r="G1429" t="s">
        <v>19</v>
      </c>
      <c r="H1429" s="2">
        <v>4488.53</v>
      </c>
    </row>
    <row r="1430" spans="1:8">
      <c r="A1430" t="s">
        <v>54</v>
      </c>
      <c r="B1430" t="s">
        <v>55</v>
      </c>
      <c r="C1430" t="s">
        <v>32</v>
      </c>
      <c r="D1430" t="s">
        <v>33</v>
      </c>
      <c r="E1430">
        <v>2016</v>
      </c>
      <c r="F1430" t="s">
        <v>16</v>
      </c>
      <c r="G1430" t="s">
        <v>15</v>
      </c>
      <c r="H1430" s="2">
        <v>269797.55</v>
      </c>
    </row>
    <row r="1431" spans="1:8">
      <c r="A1431" t="s">
        <v>54</v>
      </c>
      <c r="B1431" t="s">
        <v>55</v>
      </c>
      <c r="C1431" t="s">
        <v>32</v>
      </c>
      <c r="D1431" t="s">
        <v>33</v>
      </c>
      <c r="E1431">
        <v>2017</v>
      </c>
      <c r="F1431" t="s">
        <v>12</v>
      </c>
      <c r="G1431" t="s">
        <v>17</v>
      </c>
      <c r="H1431" s="2">
        <v>5464.7</v>
      </c>
    </row>
    <row r="1432" spans="1:8">
      <c r="A1432" t="s">
        <v>54</v>
      </c>
      <c r="B1432" t="s">
        <v>55</v>
      </c>
      <c r="C1432" t="s">
        <v>32</v>
      </c>
      <c r="D1432" t="s">
        <v>33</v>
      </c>
      <c r="E1432">
        <v>2017</v>
      </c>
      <c r="F1432" t="s">
        <v>14</v>
      </c>
      <c r="G1432" t="s">
        <v>15</v>
      </c>
      <c r="H1432" s="2">
        <v>14953.32</v>
      </c>
    </row>
    <row r="1433" spans="1:8">
      <c r="A1433" t="s">
        <v>54</v>
      </c>
      <c r="B1433" t="s">
        <v>55</v>
      </c>
      <c r="C1433" t="s">
        <v>32</v>
      </c>
      <c r="D1433" t="s">
        <v>33</v>
      </c>
      <c r="E1433">
        <v>2017</v>
      </c>
      <c r="F1433" t="s">
        <v>16</v>
      </c>
      <c r="G1433" t="s">
        <v>19</v>
      </c>
      <c r="H1433" s="2">
        <v>0</v>
      </c>
    </row>
    <row r="1434" spans="1:8">
      <c r="A1434" t="s">
        <v>54</v>
      </c>
      <c r="B1434" t="s">
        <v>55</v>
      </c>
      <c r="C1434" t="s">
        <v>32</v>
      </c>
      <c r="D1434" t="s">
        <v>33</v>
      </c>
      <c r="E1434">
        <v>2019</v>
      </c>
      <c r="F1434" t="s">
        <v>22</v>
      </c>
      <c r="G1434" t="s">
        <v>15</v>
      </c>
      <c r="H1434" s="2">
        <v>326287.73</v>
      </c>
    </row>
    <row r="1435" spans="1:8">
      <c r="A1435" t="s">
        <v>54</v>
      </c>
      <c r="B1435" t="s">
        <v>55</v>
      </c>
      <c r="C1435" t="s">
        <v>32</v>
      </c>
      <c r="D1435" t="s">
        <v>33</v>
      </c>
      <c r="E1435">
        <v>2019</v>
      </c>
      <c r="F1435" t="s">
        <v>21</v>
      </c>
      <c r="G1435" t="s">
        <v>15</v>
      </c>
      <c r="H1435" s="2">
        <v>14593.07</v>
      </c>
    </row>
    <row r="1436" spans="1:8">
      <c r="A1436" t="s">
        <v>54</v>
      </c>
      <c r="B1436" t="s">
        <v>55</v>
      </c>
      <c r="C1436" t="s">
        <v>32</v>
      </c>
      <c r="D1436" t="s">
        <v>33</v>
      </c>
      <c r="E1436">
        <v>2019</v>
      </c>
      <c r="F1436" t="s">
        <v>21</v>
      </c>
      <c r="G1436" t="s">
        <v>13</v>
      </c>
      <c r="H1436" s="2">
        <v>772214.14</v>
      </c>
    </row>
    <row r="1437" spans="1:8">
      <c r="A1437" t="s">
        <v>54</v>
      </c>
      <c r="B1437" t="s">
        <v>55</v>
      </c>
      <c r="C1437" t="s">
        <v>32</v>
      </c>
      <c r="D1437" t="s">
        <v>33</v>
      </c>
      <c r="E1437">
        <v>2019</v>
      </c>
      <c r="F1437" t="s">
        <v>21</v>
      </c>
      <c r="G1437" t="s">
        <v>17</v>
      </c>
      <c r="H1437" s="2">
        <v>8221.24</v>
      </c>
    </row>
    <row r="1438" spans="1:8">
      <c r="A1438" t="s">
        <v>54</v>
      </c>
      <c r="B1438" t="s">
        <v>55</v>
      </c>
      <c r="C1438" t="s">
        <v>32</v>
      </c>
      <c r="D1438" t="s">
        <v>33</v>
      </c>
      <c r="E1438">
        <v>2020</v>
      </c>
      <c r="F1438" t="s">
        <v>12</v>
      </c>
      <c r="G1438" t="s">
        <v>17</v>
      </c>
      <c r="H1438" s="2">
        <v>5286.02</v>
      </c>
    </row>
    <row r="1439" spans="1:8">
      <c r="A1439" t="s">
        <v>54</v>
      </c>
      <c r="B1439" t="s">
        <v>55</v>
      </c>
      <c r="C1439" t="s">
        <v>32</v>
      </c>
      <c r="D1439" t="s">
        <v>33</v>
      </c>
      <c r="E1439">
        <v>2020</v>
      </c>
      <c r="F1439" t="s">
        <v>21</v>
      </c>
      <c r="G1439" t="s">
        <v>17</v>
      </c>
      <c r="H1439" s="2">
        <v>7403.01</v>
      </c>
    </row>
    <row r="1440" spans="1:8">
      <c r="A1440" t="s">
        <v>54</v>
      </c>
      <c r="B1440" t="s">
        <v>55</v>
      </c>
      <c r="C1440" t="s">
        <v>32</v>
      </c>
      <c r="D1440" t="s">
        <v>33</v>
      </c>
      <c r="E1440">
        <v>2020</v>
      </c>
      <c r="F1440" t="s">
        <v>16</v>
      </c>
      <c r="G1440" t="s">
        <v>19</v>
      </c>
      <c r="H1440" s="2">
        <v>0</v>
      </c>
    </row>
    <row r="1441" spans="1:8">
      <c r="A1441" t="s">
        <v>54</v>
      </c>
      <c r="B1441" t="s">
        <v>55</v>
      </c>
      <c r="C1441" t="s">
        <v>32</v>
      </c>
      <c r="D1441" t="s">
        <v>33</v>
      </c>
      <c r="E1441">
        <v>2021</v>
      </c>
      <c r="F1441" t="s">
        <v>12</v>
      </c>
      <c r="G1441" t="s">
        <v>19</v>
      </c>
      <c r="H1441" s="2">
        <v>0</v>
      </c>
    </row>
    <row r="1442" spans="1:8">
      <c r="A1442" t="s">
        <v>54</v>
      </c>
      <c r="B1442" t="s">
        <v>55</v>
      </c>
      <c r="C1442" t="s">
        <v>32</v>
      </c>
      <c r="D1442" t="s">
        <v>33</v>
      </c>
      <c r="E1442">
        <v>2021</v>
      </c>
      <c r="F1442" t="s">
        <v>14</v>
      </c>
      <c r="G1442" t="s">
        <v>19</v>
      </c>
      <c r="H1442" s="2">
        <v>0</v>
      </c>
    </row>
    <row r="1443" spans="1:8">
      <c r="A1443" t="s">
        <v>54</v>
      </c>
      <c r="B1443" t="s">
        <v>55</v>
      </c>
      <c r="C1443" t="s">
        <v>32</v>
      </c>
      <c r="D1443" t="s">
        <v>33</v>
      </c>
      <c r="E1443">
        <v>2021</v>
      </c>
      <c r="F1443" t="s">
        <v>16</v>
      </c>
      <c r="G1443" t="s">
        <v>19</v>
      </c>
      <c r="H1443" s="2">
        <v>0</v>
      </c>
    </row>
    <row r="1444" spans="1:8">
      <c r="A1444" t="s">
        <v>54</v>
      </c>
      <c r="B1444" t="s">
        <v>55</v>
      </c>
      <c r="C1444" t="s">
        <v>32</v>
      </c>
      <c r="D1444" t="s">
        <v>33</v>
      </c>
      <c r="E1444">
        <v>2022</v>
      </c>
      <c r="F1444" t="s">
        <v>22</v>
      </c>
      <c r="G1444" t="s">
        <v>13</v>
      </c>
      <c r="H1444" s="2">
        <v>37886.629999999997</v>
      </c>
    </row>
    <row r="1445" spans="1:8">
      <c r="A1445" t="s">
        <v>54</v>
      </c>
      <c r="B1445" t="s">
        <v>55</v>
      </c>
      <c r="C1445" t="s">
        <v>32</v>
      </c>
      <c r="D1445" t="s">
        <v>33</v>
      </c>
      <c r="E1445">
        <v>2022</v>
      </c>
      <c r="F1445" t="s">
        <v>22</v>
      </c>
      <c r="G1445" t="s">
        <v>17</v>
      </c>
      <c r="H1445" s="2">
        <v>79636.12</v>
      </c>
    </row>
    <row r="1446" spans="1:8">
      <c r="A1446" t="s">
        <v>54</v>
      </c>
      <c r="B1446" t="s">
        <v>55</v>
      </c>
      <c r="C1446" t="s">
        <v>32</v>
      </c>
      <c r="D1446" t="s">
        <v>33</v>
      </c>
      <c r="E1446">
        <v>2022</v>
      </c>
      <c r="F1446" t="s">
        <v>18</v>
      </c>
      <c r="G1446" t="s">
        <v>15</v>
      </c>
      <c r="H1446" s="2">
        <v>4430.3</v>
      </c>
    </row>
    <row r="1447" spans="1:8">
      <c r="A1447" t="s">
        <v>54</v>
      </c>
      <c r="B1447" t="s">
        <v>55</v>
      </c>
      <c r="C1447" t="s">
        <v>32</v>
      </c>
      <c r="D1447" t="s">
        <v>33</v>
      </c>
      <c r="E1447">
        <v>2022</v>
      </c>
      <c r="F1447" t="s">
        <v>14</v>
      </c>
      <c r="G1447" t="s">
        <v>19</v>
      </c>
      <c r="H1447" s="2">
        <v>0</v>
      </c>
    </row>
    <row r="1448" spans="1:8">
      <c r="A1448" t="s">
        <v>54</v>
      </c>
      <c r="B1448" t="s">
        <v>55</v>
      </c>
      <c r="C1448" t="s">
        <v>32</v>
      </c>
      <c r="D1448" t="s">
        <v>33</v>
      </c>
      <c r="E1448">
        <v>2022</v>
      </c>
      <c r="F1448" t="s">
        <v>21</v>
      </c>
      <c r="G1448" t="s">
        <v>19</v>
      </c>
      <c r="H1448" s="2">
        <v>0</v>
      </c>
    </row>
    <row r="1449" spans="1:8">
      <c r="A1449" t="s">
        <v>54</v>
      </c>
      <c r="B1449" t="s">
        <v>55</v>
      </c>
      <c r="C1449" t="s">
        <v>32</v>
      </c>
      <c r="D1449" t="s">
        <v>33</v>
      </c>
      <c r="E1449">
        <v>2023</v>
      </c>
      <c r="F1449" t="s">
        <v>14</v>
      </c>
      <c r="G1449" t="s">
        <v>17</v>
      </c>
      <c r="H1449" s="2">
        <v>10171.56</v>
      </c>
    </row>
    <row r="1450" spans="1:8">
      <c r="A1450" t="s">
        <v>54</v>
      </c>
      <c r="B1450" t="s">
        <v>55</v>
      </c>
      <c r="C1450" t="s">
        <v>32</v>
      </c>
      <c r="D1450" t="s">
        <v>33</v>
      </c>
      <c r="E1450">
        <v>2024</v>
      </c>
      <c r="F1450" t="s">
        <v>18</v>
      </c>
      <c r="G1450" t="s">
        <v>19</v>
      </c>
      <c r="H1450" s="2">
        <v>5040.08</v>
      </c>
    </row>
    <row r="1451" spans="1:8">
      <c r="A1451" t="s">
        <v>54</v>
      </c>
      <c r="B1451" t="s">
        <v>55</v>
      </c>
      <c r="C1451" t="s">
        <v>32</v>
      </c>
      <c r="D1451" t="s">
        <v>33</v>
      </c>
      <c r="E1451">
        <v>2024</v>
      </c>
      <c r="F1451" t="s">
        <v>21</v>
      </c>
      <c r="G1451" t="s">
        <v>17</v>
      </c>
      <c r="H1451" s="2">
        <v>7680.64</v>
      </c>
    </row>
    <row r="1452" spans="1:8">
      <c r="A1452" t="s">
        <v>56</v>
      </c>
      <c r="B1452" t="s">
        <v>57</v>
      </c>
      <c r="C1452" t="s">
        <v>32</v>
      </c>
      <c r="D1452" t="s">
        <v>33</v>
      </c>
      <c r="E1452">
        <v>1990</v>
      </c>
      <c r="F1452" t="s">
        <v>22</v>
      </c>
      <c r="G1452" t="s">
        <v>19</v>
      </c>
      <c r="H1452" s="2">
        <v>0</v>
      </c>
    </row>
    <row r="1453" spans="1:8">
      <c r="A1453" t="s">
        <v>56</v>
      </c>
      <c r="B1453" t="s">
        <v>57</v>
      </c>
      <c r="C1453" t="s">
        <v>32</v>
      </c>
      <c r="D1453" t="s">
        <v>33</v>
      </c>
      <c r="E1453">
        <v>1990</v>
      </c>
      <c r="F1453" t="s">
        <v>14</v>
      </c>
      <c r="G1453" t="s">
        <v>17</v>
      </c>
      <c r="H1453" s="2">
        <v>3004.53</v>
      </c>
    </row>
    <row r="1454" spans="1:8">
      <c r="A1454" t="s">
        <v>56</v>
      </c>
      <c r="B1454" t="s">
        <v>57</v>
      </c>
      <c r="C1454" t="s">
        <v>32</v>
      </c>
      <c r="D1454" t="s">
        <v>33</v>
      </c>
      <c r="E1454">
        <v>1990</v>
      </c>
      <c r="F1454" t="s">
        <v>21</v>
      </c>
      <c r="G1454" t="s">
        <v>15</v>
      </c>
      <c r="H1454" s="2">
        <v>803.67</v>
      </c>
    </row>
    <row r="1455" spans="1:8">
      <c r="A1455" t="s">
        <v>56</v>
      </c>
      <c r="B1455" t="s">
        <v>57</v>
      </c>
      <c r="C1455" t="s">
        <v>32</v>
      </c>
      <c r="D1455" t="s">
        <v>33</v>
      </c>
      <c r="E1455">
        <v>1990</v>
      </c>
      <c r="F1455" t="s">
        <v>16</v>
      </c>
      <c r="G1455" t="s">
        <v>13</v>
      </c>
      <c r="H1455" s="2">
        <v>9285.7199999999993</v>
      </c>
    </row>
    <row r="1456" spans="1:8">
      <c r="A1456" t="s">
        <v>56</v>
      </c>
      <c r="B1456" t="s">
        <v>57</v>
      </c>
      <c r="C1456" t="s">
        <v>32</v>
      </c>
      <c r="D1456" t="s">
        <v>33</v>
      </c>
      <c r="E1456">
        <v>1991</v>
      </c>
      <c r="F1456" t="s">
        <v>18</v>
      </c>
      <c r="G1456" t="s">
        <v>17</v>
      </c>
      <c r="H1456" s="2">
        <v>4436.09</v>
      </c>
    </row>
    <row r="1457" spans="1:8">
      <c r="A1457" t="s">
        <v>56</v>
      </c>
      <c r="B1457" t="s">
        <v>57</v>
      </c>
      <c r="C1457" t="s">
        <v>32</v>
      </c>
      <c r="D1457" t="s">
        <v>33</v>
      </c>
      <c r="E1457">
        <v>1991</v>
      </c>
      <c r="F1457" t="s">
        <v>14</v>
      </c>
      <c r="G1457" t="s">
        <v>17</v>
      </c>
      <c r="H1457" s="2">
        <v>2847.71</v>
      </c>
    </row>
    <row r="1458" spans="1:8">
      <c r="A1458" t="s">
        <v>56</v>
      </c>
      <c r="B1458" t="s">
        <v>57</v>
      </c>
      <c r="C1458" t="s">
        <v>32</v>
      </c>
      <c r="D1458" t="s">
        <v>33</v>
      </c>
      <c r="E1458">
        <v>1992</v>
      </c>
      <c r="F1458" t="s">
        <v>22</v>
      </c>
      <c r="G1458" t="s">
        <v>19</v>
      </c>
      <c r="H1458" s="2">
        <v>0</v>
      </c>
    </row>
    <row r="1459" spans="1:8">
      <c r="A1459" t="s">
        <v>56</v>
      </c>
      <c r="B1459" t="s">
        <v>57</v>
      </c>
      <c r="C1459" t="s">
        <v>32</v>
      </c>
      <c r="D1459" t="s">
        <v>33</v>
      </c>
      <c r="E1459">
        <v>1992</v>
      </c>
      <c r="F1459" t="s">
        <v>12</v>
      </c>
      <c r="G1459" t="s">
        <v>17</v>
      </c>
      <c r="H1459" s="2">
        <v>461.68</v>
      </c>
    </row>
    <row r="1460" spans="1:8">
      <c r="A1460" t="s">
        <v>56</v>
      </c>
      <c r="B1460" t="s">
        <v>57</v>
      </c>
      <c r="C1460" t="s">
        <v>32</v>
      </c>
      <c r="D1460" t="s">
        <v>33</v>
      </c>
      <c r="E1460">
        <v>1992</v>
      </c>
      <c r="F1460" t="s">
        <v>18</v>
      </c>
      <c r="G1460" t="s">
        <v>15</v>
      </c>
      <c r="H1460" s="2">
        <v>4559.92</v>
      </c>
    </row>
    <row r="1461" spans="1:8">
      <c r="A1461" t="s">
        <v>56</v>
      </c>
      <c r="B1461" t="s">
        <v>57</v>
      </c>
      <c r="C1461" t="s">
        <v>32</v>
      </c>
      <c r="D1461" t="s">
        <v>33</v>
      </c>
      <c r="E1461">
        <v>1992</v>
      </c>
      <c r="F1461" t="s">
        <v>21</v>
      </c>
      <c r="G1461" t="s">
        <v>15</v>
      </c>
      <c r="H1461" s="2">
        <v>864.7</v>
      </c>
    </row>
    <row r="1462" spans="1:8">
      <c r="A1462" t="s">
        <v>56</v>
      </c>
      <c r="B1462" t="s">
        <v>57</v>
      </c>
      <c r="C1462" t="s">
        <v>32</v>
      </c>
      <c r="D1462" t="s">
        <v>33</v>
      </c>
      <c r="E1462">
        <v>1993</v>
      </c>
      <c r="F1462" t="s">
        <v>22</v>
      </c>
      <c r="G1462" t="s">
        <v>17</v>
      </c>
      <c r="H1462" s="2">
        <v>10319.31</v>
      </c>
    </row>
    <row r="1463" spans="1:8">
      <c r="A1463" t="s">
        <v>56</v>
      </c>
      <c r="B1463" t="s">
        <v>57</v>
      </c>
      <c r="C1463" t="s">
        <v>32</v>
      </c>
      <c r="D1463" t="s">
        <v>33</v>
      </c>
      <c r="E1463">
        <v>1993</v>
      </c>
      <c r="F1463" t="s">
        <v>18</v>
      </c>
      <c r="G1463" t="s">
        <v>15</v>
      </c>
      <c r="H1463" s="2">
        <v>4674.99</v>
      </c>
    </row>
    <row r="1464" spans="1:8">
      <c r="A1464" t="s">
        <v>56</v>
      </c>
      <c r="B1464" t="s">
        <v>57</v>
      </c>
      <c r="C1464" t="s">
        <v>32</v>
      </c>
      <c r="D1464" t="s">
        <v>33</v>
      </c>
      <c r="E1464">
        <v>1993</v>
      </c>
      <c r="F1464" t="s">
        <v>18</v>
      </c>
      <c r="G1464" t="s">
        <v>13</v>
      </c>
      <c r="H1464" s="2">
        <v>88016.1</v>
      </c>
    </row>
    <row r="1465" spans="1:8">
      <c r="A1465" t="s">
        <v>56</v>
      </c>
      <c r="B1465" t="s">
        <v>57</v>
      </c>
      <c r="C1465" t="s">
        <v>32</v>
      </c>
      <c r="D1465" t="s">
        <v>33</v>
      </c>
      <c r="E1465">
        <v>1993</v>
      </c>
      <c r="F1465" t="s">
        <v>18</v>
      </c>
      <c r="G1465" t="s">
        <v>19</v>
      </c>
      <c r="H1465" s="2">
        <v>5083.8100000000004</v>
      </c>
    </row>
    <row r="1466" spans="1:8">
      <c r="A1466" t="s">
        <v>56</v>
      </c>
      <c r="B1466" t="s">
        <v>57</v>
      </c>
      <c r="C1466" t="s">
        <v>32</v>
      </c>
      <c r="D1466" t="s">
        <v>33</v>
      </c>
      <c r="E1466">
        <v>1993</v>
      </c>
      <c r="F1466" t="s">
        <v>20</v>
      </c>
      <c r="G1466" t="s">
        <v>13</v>
      </c>
      <c r="H1466" s="2">
        <v>37226.959999999999</v>
      </c>
    </row>
    <row r="1467" spans="1:8">
      <c r="A1467" t="s">
        <v>56</v>
      </c>
      <c r="B1467" t="s">
        <v>57</v>
      </c>
      <c r="C1467" t="s">
        <v>32</v>
      </c>
      <c r="D1467" t="s">
        <v>33</v>
      </c>
      <c r="E1467">
        <v>1993</v>
      </c>
      <c r="F1467" t="s">
        <v>14</v>
      </c>
      <c r="G1467" t="s">
        <v>15</v>
      </c>
      <c r="H1467" s="2">
        <v>5381.85</v>
      </c>
    </row>
    <row r="1468" spans="1:8">
      <c r="A1468" t="s">
        <v>56</v>
      </c>
      <c r="B1468" t="s">
        <v>57</v>
      </c>
      <c r="C1468" t="s">
        <v>32</v>
      </c>
      <c r="D1468" t="s">
        <v>33</v>
      </c>
      <c r="E1468">
        <v>1995</v>
      </c>
      <c r="F1468" t="s">
        <v>22</v>
      </c>
      <c r="G1468" t="s">
        <v>17</v>
      </c>
      <c r="H1468" s="2">
        <v>9772.8799999999992</v>
      </c>
    </row>
    <row r="1469" spans="1:8">
      <c r="A1469" t="s">
        <v>56</v>
      </c>
      <c r="B1469" t="s">
        <v>57</v>
      </c>
      <c r="C1469" t="s">
        <v>32</v>
      </c>
      <c r="D1469" t="s">
        <v>33</v>
      </c>
      <c r="E1469">
        <v>1995</v>
      </c>
      <c r="F1469" t="s">
        <v>18</v>
      </c>
      <c r="G1469" t="s">
        <v>19</v>
      </c>
      <c r="H1469" s="2">
        <v>4700.57</v>
      </c>
    </row>
    <row r="1470" spans="1:8">
      <c r="A1470" t="s">
        <v>56</v>
      </c>
      <c r="B1470" t="s">
        <v>57</v>
      </c>
      <c r="C1470" t="s">
        <v>32</v>
      </c>
      <c r="D1470" t="s">
        <v>33</v>
      </c>
      <c r="E1470">
        <v>1995</v>
      </c>
      <c r="F1470" t="s">
        <v>14</v>
      </c>
      <c r="G1470" t="s">
        <v>13</v>
      </c>
      <c r="H1470" s="2">
        <v>175533.58</v>
      </c>
    </row>
    <row r="1471" spans="1:8">
      <c r="A1471" t="s">
        <v>56</v>
      </c>
      <c r="B1471" t="s">
        <v>57</v>
      </c>
      <c r="C1471" t="s">
        <v>32</v>
      </c>
      <c r="D1471" t="s">
        <v>33</v>
      </c>
      <c r="E1471">
        <v>1995</v>
      </c>
      <c r="F1471" t="s">
        <v>21</v>
      </c>
      <c r="G1471" t="s">
        <v>15</v>
      </c>
      <c r="H1471" s="2">
        <v>976.18</v>
      </c>
    </row>
    <row r="1472" spans="1:8">
      <c r="A1472" t="s">
        <v>56</v>
      </c>
      <c r="B1472" t="s">
        <v>57</v>
      </c>
      <c r="C1472" t="s">
        <v>32</v>
      </c>
      <c r="D1472" t="s">
        <v>33</v>
      </c>
      <c r="E1472">
        <v>1995</v>
      </c>
      <c r="F1472" t="s">
        <v>21</v>
      </c>
      <c r="G1472" t="s">
        <v>13</v>
      </c>
      <c r="H1472" s="2">
        <v>44507.98</v>
      </c>
    </row>
    <row r="1473" spans="1:8">
      <c r="A1473" t="s">
        <v>56</v>
      </c>
      <c r="B1473" t="s">
        <v>57</v>
      </c>
      <c r="C1473" t="s">
        <v>32</v>
      </c>
      <c r="D1473" t="s">
        <v>33</v>
      </c>
      <c r="E1473">
        <v>1995</v>
      </c>
      <c r="F1473" t="s">
        <v>16</v>
      </c>
      <c r="G1473" t="s">
        <v>19</v>
      </c>
      <c r="H1473" s="2">
        <v>0</v>
      </c>
    </row>
    <row r="1474" spans="1:8">
      <c r="A1474" t="s">
        <v>56</v>
      </c>
      <c r="B1474" t="s">
        <v>57</v>
      </c>
      <c r="C1474" t="s">
        <v>32</v>
      </c>
      <c r="D1474" t="s">
        <v>33</v>
      </c>
      <c r="E1474">
        <v>1996</v>
      </c>
      <c r="F1474" t="s">
        <v>12</v>
      </c>
      <c r="G1474" t="s">
        <v>15</v>
      </c>
      <c r="H1474" s="2">
        <v>1112.1199999999999</v>
      </c>
    </row>
    <row r="1475" spans="1:8">
      <c r="A1475" t="s">
        <v>56</v>
      </c>
      <c r="B1475" t="s">
        <v>57</v>
      </c>
      <c r="C1475" t="s">
        <v>32</v>
      </c>
      <c r="D1475" t="s">
        <v>33</v>
      </c>
      <c r="E1475">
        <v>1996</v>
      </c>
      <c r="F1475" t="s">
        <v>12</v>
      </c>
      <c r="G1475" t="s">
        <v>13</v>
      </c>
      <c r="H1475" s="2">
        <v>14917.8</v>
      </c>
    </row>
    <row r="1476" spans="1:8">
      <c r="A1476" t="s">
        <v>56</v>
      </c>
      <c r="B1476" t="s">
        <v>57</v>
      </c>
      <c r="C1476" t="s">
        <v>32</v>
      </c>
      <c r="D1476" t="s">
        <v>33</v>
      </c>
      <c r="E1476">
        <v>1997</v>
      </c>
      <c r="F1476" t="s">
        <v>22</v>
      </c>
      <c r="G1476" t="s">
        <v>13</v>
      </c>
      <c r="H1476" s="2">
        <v>4947.67</v>
      </c>
    </row>
    <row r="1477" spans="1:8">
      <c r="A1477" t="s">
        <v>56</v>
      </c>
      <c r="B1477" t="s">
        <v>57</v>
      </c>
      <c r="C1477" t="s">
        <v>32</v>
      </c>
      <c r="D1477" t="s">
        <v>33</v>
      </c>
      <c r="E1477">
        <v>1997</v>
      </c>
      <c r="F1477" t="s">
        <v>21</v>
      </c>
      <c r="G1477" t="s">
        <v>15</v>
      </c>
      <c r="H1477" s="2">
        <v>929.66</v>
      </c>
    </row>
    <row r="1478" spans="1:8">
      <c r="A1478" t="s">
        <v>56</v>
      </c>
      <c r="B1478" t="s">
        <v>57</v>
      </c>
      <c r="C1478" t="s">
        <v>32</v>
      </c>
      <c r="D1478" t="s">
        <v>33</v>
      </c>
      <c r="E1478">
        <v>1997</v>
      </c>
      <c r="F1478" t="s">
        <v>16</v>
      </c>
      <c r="G1478" t="s">
        <v>19</v>
      </c>
      <c r="H1478" s="2">
        <v>0</v>
      </c>
    </row>
    <row r="1479" spans="1:8">
      <c r="A1479" t="s">
        <v>56</v>
      </c>
      <c r="B1479" t="s">
        <v>57</v>
      </c>
      <c r="C1479" t="s">
        <v>32</v>
      </c>
      <c r="D1479" t="s">
        <v>33</v>
      </c>
      <c r="E1479">
        <v>1998</v>
      </c>
      <c r="F1479" t="s">
        <v>12</v>
      </c>
      <c r="G1479" t="s">
        <v>19</v>
      </c>
      <c r="H1479" s="2">
        <v>0</v>
      </c>
    </row>
    <row r="1480" spans="1:8">
      <c r="A1480" t="s">
        <v>56</v>
      </c>
      <c r="B1480" t="s">
        <v>57</v>
      </c>
      <c r="C1480" t="s">
        <v>32</v>
      </c>
      <c r="D1480" t="s">
        <v>33</v>
      </c>
      <c r="E1480">
        <v>1998</v>
      </c>
      <c r="F1480" t="s">
        <v>20</v>
      </c>
      <c r="G1480" t="s">
        <v>15</v>
      </c>
      <c r="H1480" s="2">
        <v>425.18</v>
      </c>
    </row>
    <row r="1481" spans="1:8">
      <c r="A1481" t="s">
        <v>56</v>
      </c>
      <c r="B1481" t="s">
        <v>57</v>
      </c>
      <c r="C1481" t="s">
        <v>32</v>
      </c>
      <c r="D1481" t="s">
        <v>33</v>
      </c>
      <c r="E1481">
        <v>1998</v>
      </c>
      <c r="F1481" t="s">
        <v>21</v>
      </c>
      <c r="G1481" t="s">
        <v>17</v>
      </c>
      <c r="H1481" s="2">
        <v>455.44</v>
      </c>
    </row>
    <row r="1482" spans="1:8">
      <c r="A1482" t="s">
        <v>56</v>
      </c>
      <c r="B1482" t="s">
        <v>57</v>
      </c>
      <c r="C1482" t="s">
        <v>32</v>
      </c>
      <c r="D1482" t="s">
        <v>33</v>
      </c>
      <c r="E1482">
        <v>1999</v>
      </c>
      <c r="F1482" t="s">
        <v>22</v>
      </c>
      <c r="G1482" t="s">
        <v>17</v>
      </c>
      <c r="H1482" s="2">
        <v>11222.92</v>
      </c>
    </row>
    <row r="1483" spans="1:8">
      <c r="A1483" t="s">
        <v>56</v>
      </c>
      <c r="B1483" t="s">
        <v>57</v>
      </c>
      <c r="C1483" t="s">
        <v>32</v>
      </c>
      <c r="D1483" t="s">
        <v>33</v>
      </c>
      <c r="E1483">
        <v>1999</v>
      </c>
      <c r="F1483" t="s">
        <v>20</v>
      </c>
      <c r="G1483" t="s">
        <v>17</v>
      </c>
      <c r="H1483" s="2">
        <v>378.44</v>
      </c>
    </row>
    <row r="1484" spans="1:8">
      <c r="A1484" t="s">
        <v>56</v>
      </c>
      <c r="B1484" t="s">
        <v>57</v>
      </c>
      <c r="C1484" t="s">
        <v>32</v>
      </c>
      <c r="D1484" t="s">
        <v>33</v>
      </c>
      <c r="E1484">
        <v>2001</v>
      </c>
      <c r="F1484" t="s">
        <v>14</v>
      </c>
      <c r="G1484" t="s">
        <v>13</v>
      </c>
      <c r="H1484" s="2">
        <v>188661.61</v>
      </c>
    </row>
    <row r="1485" spans="1:8">
      <c r="A1485" t="s">
        <v>56</v>
      </c>
      <c r="B1485" t="s">
        <v>57</v>
      </c>
      <c r="C1485" t="s">
        <v>32</v>
      </c>
      <c r="D1485" t="s">
        <v>33</v>
      </c>
      <c r="E1485">
        <v>2001</v>
      </c>
      <c r="F1485" t="s">
        <v>21</v>
      </c>
      <c r="G1485" t="s">
        <v>13</v>
      </c>
      <c r="H1485" s="2">
        <v>49134.66</v>
      </c>
    </row>
    <row r="1486" spans="1:8">
      <c r="A1486" t="s">
        <v>56</v>
      </c>
      <c r="B1486" t="s">
        <v>57</v>
      </c>
      <c r="C1486" t="s">
        <v>32</v>
      </c>
      <c r="D1486" t="s">
        <v>33</v>
      </c>
      <c r="E1486">
        <v>2002</v>
      </c>
      <c r="F1486" t="s">
        <v>22</v>
      </c>
      <c r="G1486" t="s">
        <v>13</v>
      </c>
      <c r="H1486" s="2">
        <v>6108.3</v>
      </c>
    </row>
    <row r="1487" spans="1:8">
      <c r="A1487" t="s">
        <v>56</v>
      </c>
      <c r="B1487" t="s">
        <v>57</v>
      </c>
      <c r="C1487" t="s">
        <v>32</v>
      </c>
      <c r="D1487" t="s">
        <v>33</v>
      </c>
      <c r="E1487">
        <v>2003</v>
      </c>
      <c r="F1487" t="s">
        <v>14</v>
      </c>
      <c r="G1487" t="s">
        <v>19</v>
      </c>
      <c r="H1487" s="2">
        <v>0</v>
      </c>
    </row>
    <row r="1488" spans="1:8">
      <c r="A1488" t="s">
        <v>56</v>
      </c>
      <c r="B1488" t="s">
        <v>57</v>
      </c>
      <c r="C1488" t="s">
        <v>32</v>
      </c>
      <c r="D1488" t="s">
        <v>33</v>
      </c>
      <c r="E1488">
        <v>2003</v>
      </c>
      <c r="F1488" t="s">
        <v>14</v>
      </c>
      <c r="G1488" t="s">
        <v>17</v>
      </c>
      <c r="H1488" s="2">
        <v>4290.13</v>
      </c>
    </row>
    <row r="1489" spans="1:8">
      <c r="A1489" t="s">
        <v>56</v>
      </c>
      <c r="B1489" t="s">
        <v>57</v>
      </c>
      <c r="C1489" t="s">
        <v>32</v>
      </c>
      <c r="D1489" t="s">
        <v>33</v>
      </c>
      <c r="E1489">
        <v>2003</v>
      </c>
      <c r="F1489" t="s">
        <v>16</v>
      </c>
      <c r="G1489" t="s">
        <v>19</v>
      </c>
      <c r="H1489" s="2">
        <v>0</v>
      </c>
    </row>
    <row r="1490" spans="1:8">
      <c r="A1490" t="s">
        <v>56</v>
      </c>
      <c r="B1490" t="s">
        <v>57</v>
      </c>
      <c r="C1490" t="s">
        <v>32</v>
      </c>
      <c r="D1490" t="s">
        <v>33</v>
      </c>
      <c r="E1490">
        <v>2004</v>
      </c>
      <c r="F1490" t="s">
        <v>18</v>
      </c>
      <c r="G1490" t="s">
        <v>13</v>
      </c>
      <c r="H1490" s="2">
        <v>98180.33</v>
      </c>
    </row>
    <row r="1491" spans="1:8">
      <c r="A1491" t="s">
        <v>56</v>
      </c>
      <c r="B1491" t="s">
        <v>57</v>
      </c>
      <c r="C1491" t="s">
        <v>32</v>
      </c>
      <c r="D1491" t="s">
        <v>33</v>
      </c>
      <c r="E1491">
        <v>2004</v>
      </c>
      <c r="F1491" t="s">
        <v>14</v>
      </c>
      <c r="G1491" t="s">
        <v>13</v>
      </c>
      <c r="H1491" s="2">
        <v>230261.43</v>
      </c>
    </row>
    <row r="1492" spans="1:8">
      <c r="A1492" t="s">
        <v>56</v>
      </c>
      <c r="B1492" t="s">
        <v>57</v>
      </c>
      <c r="C1492" t="s">
        <v>32</v>
      </c>
      <c r="D1492" t="s">
        <v>33</v>
      </c>
      <c r="E1492">
        <v>2004</v>
      </c>
      <c r="F1492" t="s">
        <v>21</v>
      </c>
      <c r="G1492" t="s">
        <v>19</v>
      </c>
      <c r="H1492" s="2">
        <v>0</v>
      </c>
    </row>
    <row r="1493" spans="1:8">
      <c r="A1493" t="s">
        <v>56</v>
      </c>
      <c r="B1493" t="s">
        <v>57</v>
      </c>
      <c r="C1493" t="s">
        <v>32</v>
      </c>
      <c r="D1493" t="s">
        <v>33</v>
      </c>
      <c r="E1493">
        <v>2005</v>
      </c>
      <c r="F1493" t="s">
        <v>20</v>
      </c>
      <c r="G1493" t="s">
        <v>19</v>
      </c>
      <c r="H1493" s="2">
        <v>0</v>
      </c>
    </row>
    <row r="1494" spans="1:8">
      <c r="A1494" t="s">
        <v>56</v>
      </c>
      <c r="B1494" t="s">
        <v>57</v>
      </c>
      <c r="C1494" t="s">
        <v>32</v>
      </c>
      <c r="D1494" t="s">
        <v>33</v>
      </c>
      <c r="E1494">
        <v>2005</v>
      </c>
      <c r="F1494" t="s">
        <v>14</v>
      </c>
      <c r="G1494" t="s">
        <v>17</v>
      </c>
      <c r="H1494" s="2">
        <v>3861.37</v>
      </c>
    </row>
    <row r="1495" spans="1:8">
      <c r="A1495" t="s">
        <v>56</v>
      </c>
      <c r="B1495" t="s">
        <v>57</v>
      </c>
      <c r="C1495" t="s">
        <v>32</v>
      </c>
      <c r="D1495" t="s">
        <v>33</v>
      </c>
      <c r="E1495">
        <v>2005</v>
      </c>
      <c r="F1495" t="s">
        <v>21</v>
      </c>
      <c r="G1495" t="s">
        <v>13</v>
      </c>
      <c r="H1495" s="2">
        <v>56607.28</v>
      </c>
    </row>
    <row r="1496" spans="1:8">
      <c r="A1496" t="s">
        <v>56</v>
      </c>
      <c r="B1496" t="s">
        <v>57</v>
      </c>
      <c r="C1496" t="s">
        <v>32</v>
      </c>
      <c r="D1496" t="s">
        <v>33</v>
      </c>
      <c r="E1496">
        <v>2006</v>
      </c>
      <c r="F1496" t="s">
        <v>16</v>
      </c>
      <c r="G1496" t="s">
        <v>15</v>
      </c>
      <c r="H1496" s="2">
        <v>74145.429999999993</v>
      </c>
    </row>
    <row r="1497" spans="1:8">
      <c r="A1497" t="s">
        <v>56</v>
      </c>
      <c r="B1497" t="s">
        <v>57</v>
      </c>
      <c r="C1497" t="s">
        <v>32</v>
      </c>
      <c r="D1497" t="s">
        <v>33</v>
      </c>
      <c r="E1497">
        <v>2007</v>
      </c>
      <c r="F1497" t="s">
        <v>12</v>
      </c>
      <c r="G1497" t="s">
        <v>19</v>
      </c>
      <c r="H1497" s="2">
        <v>0</v>
      </c>
    </row>
    <row r="1498" spans="1:8">
      <c r="A1498" t="s">
        <v>56</v>
      </c>
      <c r="B1498" t="s">
        <v>57</v>
      </c>
      <c r="C1498" t="s">
        <v>32</v>
      </c>
      <c r="D1498" t="s">
        <v>33</v>
      </c>
      <c r="E1498">
        <v>2007</v>
      </c>
      <c r="F1498" t="s">
        <v>20</v>
      </c>
      <c r="G1498" t="s">
        <v>17</v>
      </c>
      <c r="H1498" s="2">
        <v>511.65</v>
      </c>
    </row>
    <row r="1499" spans="1:8">
      <c r="A1499" t="s">
        <v>56</v>
      </c>
      <c r="B1499" t="s">
        <v>57</v>
      </c>
      <c r="C1499" t="s">
        <v>32</v>
      </c>
      <c r="D1499" t="s">
        <v>33</v>
      </c>
      <c r="E1499">
        <v>2007</v>
      </c>
      <c r="F1499" t="s">
        <v>21</v>
      </c>
      <c r="G1499" t="s">
        <v>19</v>
      </c>
      <c r="H1499" s="2">
        <v>0</v>
      </c>
    </row>
    <row r="1500" spans="1:8">
      <c r="A1500" t="s">
        <v>56</v>
      </c>
      <c r="B1500" t="s">
        <v>57</v>
      </c>
      <c r="C1500" t="s">
        <v>32</v>
      </c>
      <c r="D1500" t="s">
        <v>33</v>
      </c>
      <c r="E1500">
        <v>2008</v>
      </c>
      <c r="F1500" t="s">
        <v>20</v>
      </c>
      <c r="G1500" t="s">
        <v>13</v>
      </c>
      <c r="H1500" s="2">
        <v>58710.46</v>
      </c>
    </row>
    <row r="1501" spans="1:8">
      <c r="A1501" t="s">
        <v>56</v>
      </c>
      <c r="B1501" t="s">
        <v>57</v>
      </c>
      <c r="C1501" t="s">
        <v>32</v>
      </c>
      <c r="D1501" t="s">
        <v>33</v>
      </c>
      <c r="E1501">
        <v>2008</v>
      </c>
      <c r="F1501" t="s">
        <v>20</v>
      </c>
      <c r="G1501" t="s">
        <v>17</v>
      </c>
      <c r="H1501" s="2">
        <v>619.24</v>
      </c>
    </row>
    <row r="1502" spans="1:8">
      <c r="A1502" t="s">
        <v>56</v>
      </c>
      <c r="B1502" t="s">
        <v>57</v>
      </c>
      <c r="C1502" t="s">
        <v>32</v>
      </c>
      <c r="D1502" t="s">
        <v>33</v>
      </c>
      <c r="E1502">
        <v>2008</v>
      </c>
      <c r="F1502" t="s">
        <v>21</v>
      </c>
      <c r="G1502" t="s">
        <v>19</v>
      </c>
      <c r="H1502" s="2">
        <v>0</v>
      </c>
    </row>
    <row r="1503" spans="1:8">
      <c r="A1503" t="s">
        <v>56</v>
      </c>
      <c r="B1503" t="s">
        <v>57</v>
      </c>
      <c r="C1503" t="s">
        <v>32</v>
      </c>
      <c r="D1503" t="s">
        <v>33</v>
      </c>
      <c r="E1503">
        <v>2009</v>
      </c>
      <c r="F1503" t="s">
        <v>18</v>
      </c>
      <c r="G1503" t="s">
        <v>17</v>
      </c>
      <c r="H1503" s="2">
        <v>7445.16</v>
      </c>
    </row>
    <row r="1504" spans="1:8">
      <c r="A1504" t="s">
        <v>56</v>
      </c>
      <c r="B1504" t="s">
        <v>57</v>
      </c>
      <c r="C1504" t="s">
        <v>32</v>
      </c>
      <c r="D1504" t="s">
        <v>33</v>
      </c>
      <c r="E1504">
        <v>2009</v>
      </c>
      <c r="F1504" t="s">
        <v>20</v>
      </c>
      <c r="G1504" t="s">
        <v>17</v>
      </c>
      <c r="H1504" s="2">
        <v>610.08000000000004</v>
      </c>
    </row>
    <row r="1505" spans="1:8">
      <c r="A1505" t="s">
        <v>56</v>
      </c>
      <c r="B1505" t="s">
        <v>57</v>
      </c>
      <c r="C1505" t="s">
        <v>32</v>
      </c>
      <c r="D1505" t="s">
        <v>33</v>
      </c>
      <c r="E1505">
        <v>2009</v>
      </c>
      <c r="F1505" t="s">
        <v>21</v>
      </c>
      <c r="G1505" t="s">
        <v>15</v>
      </c>
      <c r="H1505" s="2">
        <v>1333.95</v>
      </c>
    </row>
    <row r="1506" spans="1:8">
      <c r="A1506" t="s">
        <v>56</v>
      </c>
      <c r="B1506" t="s">
        <v>57</v>
      </c>
      <c r="C1506" t="s">
        <v>32</v>
      </c>
      <c r="D1506" t="s">
        <v>33</v>
      </c>
      <c r="E1506">
        <v>2009</v>
      </c>
      <c r="F1506" t="s">
        <v>21</v>
      </c>
      <c r="G1506" t="s">
        <v>19</v>
      </c>
      <c r="H1506" s="2">
        <v>0</v>
      </c>
    </row>
    <row r="1507" spans="1:8">
      <c r="A1507" t="s">
        <v>56</v>
      </c>
      <c r="B1507" t="s">
        <v>57</v>
      </c>
      <c r="C1507" t="s">
        <v>32</v>
      </c>
      <c r="D1507" t="s">
        <v>33</v>
      </c>
      <c r="E1507">
        <v>2009</v>
      </c>
      <c r="F1507" t="s">
        <v>16</v>
      </c>
      <c r="G1507" t="s">
        <v>17</v>
      </c>
      <c r="H1507" s="2">
        <v>5042.96</v>
      </c>
    </row>
    <row r="1508" spans="1:8">
      <c r="A1508" t="s">
        <v>56</v>
      </c>
      <c r="B1508" t="s">
        <v>57</v>
      </c>
      <c r="C1508" t="s">
        <v>32</v>
      </c>
      <c r="D1508" t="s">
        <v>33</v>
      </c>
      <c r="E1508">
        <v>2010</v>
      </c>
      <c r="F1508" t="s">
        <v>12</v>
      </c>
      <c r="G1508" t="s">
        <v>19</v>
      </c>
      <c r="H1508" s="2">
        <v>0</v>
      </c>
    </row>
    <row r="1509" spans="1:8">
      <c r="A1509" t="s">
        <v>56</v>
      </c>
      <c r="B1509" t="s">
        <v>57</v>
      </c>
      <c r="C1509" t="s">
        <v>32</v>
      </c>
      <c r="D1509" t="s">
        <v>33</v>
      </c>
      <c r="E1509">
        <v>2010</v>
      </c>
      <c r="F1509" t="s">
        <v>18</v>
      </c>
      <c r="G1509" t="s">
        <v>15</v>
      </c>
      <c r="H1509" s="2">
        <v>6746.19</v>
      </c>
    </row>
    <row r="1510" spans="1:8">
      <c r="A1510" t="s">
        <v>56</v>
      </c>
      <c r="B1510" t="s">
        <v>57</v>
      </c>
      <c r="C1510" t="s">
        <v>32</v>
      </c>
      <c r="D1510" t="s">
        <v>33</v>
      </c>
      <c r="E1510">
        <v>2010</v>
      </c>
      <c r="F1510" t="s">
        <v>21</v>
      </c>
      <c r="G1510" t="s">
        <v>13</v>
      </c>
      <c r="H1510" s="2">
        <v>65056.26</v>
      </c>
    </row>
    <row r="1511" spans="1:8">
      <c r="A1511" t="s">
        <v>56</v>
      </c>
      <c r="B1511" t="s">
        <v>57</v>
      </c>
      <c r="C1511" t="s">
        <v>32</v>
      </c>
      <c r="D1511" t="s">
        <v>33</v>
      </c>
      <c r="E1511">
        <v>2010</v>
      </c>
      <c r="F1511" t="s">
        <v>21</v>
      </c>
      <c r="G1511" t="s">
        <v>17</v>
      </c>
      <c r="H1511" s="2">
        <v>727.83</v>
      </c>
    </row>
    <row r="1512" spans="1:8">
      <c r="A1512" t="s">
        <v>56</v>
      </c>
      <c r="B1512" t="s">
        <v>57</v>
      </c>
      <c r="C1512" t="s">
        <v>32</v>
      </c>
      <c r="D1512" t="s">
        <v>33</v>
      </c>
      <c r="E1512">
        <v>2011</v>
      </c>
      <c r="F1512" t="s">
        <v>22</v>
      </c>
      <c r="G1512" t="s">
        <v>17</v>
      </c>
      <c r="H1512" s="2">
        <v>13558.27</v>
      </c>
    </row>
    <row r="1513" spans="1:8">
      <c r="A1513" t="s">
        <v>56</v>
      </c>
      <c r="B1513" t="s">
        <v>57</v>
      </c>
      <c r="C1513" t="s">
        <v>32</v>
      </c>
      <c r="D1513" t="s">
        <v>33</v>
      </c>
      <c r="E1513">
        <v>2012</v>
      </c>
      <c r="F1513" t="s">
        <v>20</v>
      </c>
      <c r="G1513" t="s">
        <v>15</v>
      </c>
      <c r="H1513" s="2">
        <v>597.52</v>
      </c>
    </row>
    <row r="1514" spans="1:8">
      <c r="A1514" t="s">
        <v>56</v>
      </c>
      <c r="B1514" t="s">
        <v>57</v>
      </c>
      <c r="C1514" t="s">
        <v>32</v>
      </c>
      <c r="D1514" t="s">
        <v>33</v>
      </c>
      <c r="E1514">
        <v>2012</v>
      </c>
      <c r="F1514" t="s">
        <v>20</v>
      </c>
      <c r="G1514" t="s">
        <v>19</v>
      </c>
      <c r="H1514" s="2">
        <v>0</v>
      </c>
    </row>
    <row r="1515" spans="1:8">
      <c r="A1515" t="s">
        <v>56</v>
      </c>
      <c r="B1515" t="s">
        <v>57</v>
      </c>
      <c r="C1515" t="s">
        <v>32</v>
      </c>
      <c r="D1515" t="s">
        <v>33</v>
      </c>
      <c r="E1515">
        <v>2012</v>
      </c>
      <c r="F1515" t="s">
        <v>16</v>
      </c>
      <c r="G1515" t="s">
        <v>15</v>
      </c>
      <c r="H1515" s="2">
        <v>78823.679999999993</v>
      </c>
    </row>
    <row r="1516" spans="1:8">
      <c r="A1516" t="s">
        <v>56</v>
      </c>
      <c r="B1516" t="s">
        <v>57</v>
      </c>
      <c r="C1516" t="s">
        <v>32</v>
      </c>
      <c r="D1516" t="s">
        <v>33</v>
      </c>
      <c r="E1516">
        <v>2013</v>
      </c>
      <c r="F1516" t="s">
        <v>21</v>
      </c>
      <c r="G1516" t="s">
        <v>13</v>
      </c>
      <c r="H1516" s="2">
        <v>62173.53</v>
      </c>
    </row>
    <row r="1517" spans="1:8">
      <c r="A1517" t="s">
        <v>56</v>
      </c>
      <c r="B1517" t="s">
        <v>57</v>
      </c>
      <c r="C1517" t="s">
        <v>32</v>
      </c>
      <c r="D1517" t="s">
        <v>33</v>
      </c>
      <c r="E1517">
        <v>2014</v>
      </c>
      <c r="F1517" t="s">
        <v>12</v>
      </c>
      <c r="G1517" t="s">
        <v>15</v>
      </c>
      <c r="H1517" s="2">
        <v>1658.87</v>
      </c>
    </row>
    <row r="1518" spans="1:8">
      <c r="A1518" t="s">
        <v>56</v>
      </c>
      <c r="B1518" t="s">
        <v>57</v>
      </c>
      <c r="C1518" t="s">
        <v>32</v>
      </c>
      <c r="D1518" t="s">
        <v>33</v>
      </c>
      <c r="E1518">
        <v>2014</v>
      </c>
      <c r="F1518" t="s">
        <v>14</v>
      </c>
      <c r="G1518" t="s">
        <v>17</v>
      </c>
      <c r="H1518" s="2">
        <v>5033.7</v>
      </c>
    </row>
    <row r="1519" spans="1:8">
      <c r="A1519" t="s">
        <v>56</v>
      </c>
      <c r="B1519" t="s">
        <v>57</v>
      </c>
      <c r="C1519" t="s">
        <v>32</v>
      </c>
      <c r="D1519" t="s">
        <v>33</v>
      </c>
      <c r="E1519">
        <v>2015</v>
      </c>
      <c r="F1519" t="s">
        <v>22</v>
      </c>
      <c r="G1519" t="s">
        <v>15</v>
      </c>
      <c r="H1519" s="2">
        <v>48881.29</v>
      </c>
    </row>
    <row r="1520" spans="1:8">
      <c r="A1520" t="s">
        <v>56</v>
      </c>
      <c r="B1520" t="s">
        <v>57</v>
      </c>
      <c r="C1520" t="s">
        <v>32</v>
      </c>
      <c r="D1520" t="s">
        <v>33</v>
      </c>
      <c r="E1520">
        <v>2015</v>
      </c>
      <c r="F1520" t="s">
        <v>20</v>
      </c>
      <c r="G1520" t="s">
        <v>13</v>
      </c>
      <c r="H1520" s="2">
        <v>51002.37</v>
      </c>
    </row>
    <row r="1521" spans="1:8">
      <c r="A1521" t="s">
        <v>56</v>
      </c>
      <c r="B1521" t="s">
        <v>57</v>
      </c>
      <c r="C1521" t="s">
        <v>32</v>
      </c>
      <c r="D1521" t="s">
        <v>33</v>
      </c>
      <c r="E1521">
        <v>2015</v>
      </c>
      <c r="F1521" t="s">
        <v>16</v>
      </c>
      <c r="G1521" t="s">
        <v>15</v>
      </c>
      <c r="H1521" s="2">
        <v>70884.62</v>
      </c>
    </row>
    <row r="1522" spans="1:8">
      <c r="A1522" t="s">
        <v>56</v>
      </c>
      <c r="B1522" t="s">
        <v>57</v>
      </c>
      <c r="C1522" t="s">
        <v>32</v>
      </c>
      <c r="D1522" t="s">
        <v>33</v>
      </c>
      <c r="E1522">
        <v>2016</v>
      </c>
      <c r="F1522" t="s">
        <v>22</v>
      </c>
      <c r="G1522" t="s">
        <v>13</v>
      </c>
      <c r="H1522" s="2">
        <v>6894.24</v>
      </c>
    </row>
    <row r="1523" spans="1:8">
      <c r="A1523" t="s">
        <v>56</v>
      </c>
      <c r="B1523" t="s">
        <v>57</v>
      </c>
      <c r="C1523" t="s">
        <v>32</v>
      </c>
      <c r="D1523" t="s">
        <v>33</v>
      </c>
      <c r="E1523">
        <v>2016</v>
      </c>
      <c r="F1523" t="s">
        <v>12</v>
      </c>
      <c r="G1523" t="s">
        <v>15</v>
      </c>
      <c r="H1523" s="2">
        <v>1963.54</v>
      </c>
    </row>
    <row r="1524" spans="1:8">
      <c r="A1524" t="s">
        <v>56</v>
      </c>
      <c r="B1524" t="s">
        <v>57</v>
      </c>
      <c r="C1524" t="s">
        <v>32</v>
      </c>
      <c r="D1524" t="s">
        <v>33</v>
      </c>
      <c r="E1524">
        <v>2017</v>
      </c>
      <c r="F1524" t="s">
        <v>12</v>
      </c>
      <c r="G1524" t="s">
        <v>19</v>
      </c>
      <c r="H1524" s="2">
        <v>0</v>
      </c>
    </row>
    <row r="1525" spans="1:8">
      <c r="A1525" t="s">
        <v>56</v>
      </c>
      <c r="B1525" t="s">
        <v>57</v>
      </c>
      <c r="C1525" t="s">
        <v>32</v>
      </c>
      <c r="D1525" t="s">
        <v>33</v>
      </c>
      <c r="E1525">
        <v>2017</v>
      </c>
      <c r="F1525" t="s">
        <v>18</v>
      </c>
      <c r="G1525" t="s">
        <v>17</v>
      </c>
      <c r="H1525" s="2">
        <v>7819.43</v>
      </c>
    </row>
    <row r="1526" spans="1:8">
      <c r="A1526" t="s">
        <v>56</v>
      </c>
      <c r="B1526" t="s">
        <v>57</v>
      </c>
      <c r="C1526" t="s">
        <v>32</v>
      </c>
      <c r="D1526" t="s">
        <v>33</v>
      </c>
      <c r="E1526">
        <v>2017</v>
      </c>
      <c r="F1526" t="s">
        <v>20</v>
      </c>
      <c r="G1526" t="s">
        <v>17</v>
      </c>
      <c r="H1526" s="2">
        <v>598.24</v>
      </c>
    </row>
    <row r="1527" spans="1:8">
      <c r="A1527" t="s">
        <v>56</v>
      </c>
      <c r="B1527" t="s">
        <v>57</v>
      </c>
      <c r="C1527" t="s">
        <v>32</v>
      </c>
      <c r="D1527" t="s">
        <v>33</v>
      </c>
      <c r="E1527">
        <v>2017</v>
      </c>
      <c r="F1527" t="s">
        <v>14</v>
      </c>
      <c r="G1527" t="s">
        <v>19</v>
      </c>
      <c r="H1527" s="2">
        <v>0</v>
      </c>
    </row>
    <row r="1528" spans="1:8">
      <c r="A1528" t="s">
        <v>56</v>
      </c>
      <c r="B1528" t="s">
        <v>57</v>
      </c>
      <c r="C1528" t="s">
        <v>32</v>
      </c>
      <c r="D1528" t="s">
        <v>33</v>
      </c>
      <c r="E1528">
        <v>2018</v>
      </c>
      <c r="F1528" t="s">
        <v>18</v>
      </c>
      <c r="G1528" t="s">
        <v>19</v>
      </c>
      <c r="H1528" s="2">
        <v>7641.36</v>
      </c>
    </row>
    <row r="1529" spans="1:8">
      <c r="A1529" t="s">
        <v>56</v>
      </c>
      <c r="B1529" t="s">
        <v>57</v>
      </c>
      <c r="C1529" t="s">
        <v>32</v>
      </c>
      <c r="D1529" t="s">
        <v>33</v>
      </c>
      <c r="E1529">
        <v>2018</v>
      </c>
      <c r="F1529" t="s">
        <v>14</v>
      </c>
      <c r="G1529" t="s">
        <v>15</v>
      </c>
      <c r="H1529" s="2">
        <v>8142.33</v>
      </c>
    </row>
    <row r="1530" spans="1:8">
      <c r="A1530" t="s">
        <v>56</v>
      </c>
      <c r="B1530" t="s">
        <v>57</v>
      </c>
      <c r="C1530" t="s">
        <v>32</v>
      </c>
      <c r="D1530" t="s">
        <v>33</v>
      </c>
      <c r="E1530">
        <v>2018</v>
      </c>
      <c r="F1530" t="s">
        <v>14</v>
      </c>
      <c r="G1530" t="s">
        <v>17</v>
      </c>
      <c r="H1530" s="2">
        <v>5378.04</v>
      </c>
    </row>
    <row r="1531" spans="1:8">
      <c r="A1531" t="s">
        <v>56</v>
      </c>
      <c r="B1531" t="s">
        <v>57</v>
      </c>
      <c r="C1531" t="s">
        <v>32</v>
      </c>
      <c r="D1531" t="s">
        <v>33</v>
      </c>
      <c r="E1531">
        <v>2018</v>
      </c>
      <c r="F1531" t="s">
        <v>21</v>
      </c>
      <c r="G1531" t="s">
        <v>15</v>
      </c>
      <c r="H1531" s="2">
        <v>1425.57</v>
      </c>
    </row>
    <row r="1532" spans="1:8">
      <c r="A1532" t="s">
        <v>56</v>
      </c>
      <c r="B1532" t="s">
        <v>57</v>
      </c>
      <c r="C1532" t="s">
        <v>32</v>
      </c>
      <c r="D1532" t="s">
        <v>33</v>
      </c>
      <c r="E1532">
        <v>2018</v>
      </c>
      <c r="F1532" t="s">
        <v>16</v>
      </c>
      <c r="G1532" t="s">
        <v>15</v>
      </c>
      <c r="H1532" s="2">
        <v>80471.649999999994</v>
      </c>
    </row>
    <row r="1533" spans="1:8">
      <c r="A1533" t="s">
        <v>56</v>
      </c>
      <c r="B1533" t="s">
        <v>57</v>
      </c>
      <c r="C1533" t="s">
        <v>32</v>
      </c>
      <c r="D1533" t="s">
        <v>33</v>
      </c>
      <c r="E1533">
        <v>2019</v>
      </c>
      <c r="F1533" t="s">
        <v>22</v>
      </c>
      <c r="G1533" t="s">
        <v>13</v>
      </c>
      <c r="H1533" s="2">
        <v>7081.32</v>
      </c>
    </row>
    <row r="1534" spans="1:8">
      <c r="A1534" t="s">
        <v>56</v>
      </c>
      <c r="B1534" t="s">
        <v>57</v>
      </c>
      <c r="C1534" t="s">
        <v>32</v>
      </c>
      <c r="D1534" t="s">
        <v>33</v>
      </c>
      <c r="E1534">
        <v>2019</v>
      </c>
      <c r="F1534" t="s">
        <v>22</v>
      </c>
      <c r="G1534" t="s">
        <v>19</v>
      </c>
      <c r="H1534" s="2">
        <v>0</v>
      </c>
    </row>
    <row r="1535" spans="1:8">
      <c r="A1535" t="s">
        <v>56</v>
      </c>
      <c r="B1535" t="s">
        <v>57</v>
      </c>
      <c r="C1535" t="s">
        <v>32</v>
      </c>
      <c r="D1535" t="s">
        <v>33</v>
      </c>
      <c r="E1535">
        <v>2020</v>
      </c>
      <c r="F1535" t="s">
        <v>14</v>
      </c>
      <c r="G1535" t="s">
        <v>13</v>
      </c>
      <c r="H1535" s="2">
        <v>256251.7</v>
      </c>
    </row>
    <row r="1536" spans="1:8">
      <c r="A1536" t="s">
        <v>56</v>
      </c>
      <c r="B1536" t="s">
        <v>57</v>
      </c>
      <c r="C1536" t="s">
        <v>32</v>
      </c>
      <c r="D1536" t="s">
        <v>33</v>
      </c>
      <c r="E1536">
        <v>2021</v>
      </c>
      <c r="F1536" t="s">
        <v>12</v>
      </c>
      <c r="G1536" t="s">
        <v>19</v>
      </c>
      <c r="H1536" s="2">
        <v>0</v>
      </c>
    </row>
    <row r="1537" spans="1:8">
      <c r="A1537" t="s">
        <v>56</v>
      </c>
      <c r="B1537" t="s">
        <v>57</v>
      </c>
      <c r="C1537" t="s">
        <v>32</v>
      </c>
      <c r="D1537" t="s">
        <v>33</v>
      </c>
      <c r="E1537">
        <v>2021</v>
      </c>
      <c r="F1537" t="s">
        <v>21</v>
      </c>
      <c r="G1537" t="s">
        <v>17</v>
      </c>
      <c r="H1537" s="2">
        <v>573.24</v>
      </c>
    </row>
    <row r="1538" spans="1:8">
      <c r="A1538" t="s">
        <v>56</v>
      </c>
      <c r="B1538" t="s">
        <v>57</v>
      </c>
      <c r="C1538" t="s">
        <v>32</v>
      </c>
      <c r="D1538" t="s">
        <v>33</v>
      </c>
      <c r="E1538">
        <v>2022</v>
      </c>
      <c r="F1538" t="s">
        <v>22</v>
      </c>
      <c r="G1538" t="s">
        <v>15</v>
      </c>
      <c r="H1538" s="2">
        <v>54554.879999999997</v>
      </c>
    </row>
    <row r="1539" spans="1:8">
      <c r="A1539" t="s">
        <v>56</v>
      </c>
      <c r="B1539" t="s">
        <v>57</v>
      </c>
      <c r="C1539" t="s">
        <v>32</v>
      </c>
      <c r="D1539" t="s">
        <v>33</v>
      </c>
      <c r="E1539">
        <v>2022</v>
      </c>
      <c r="F1539" t="s">
        <v>12</v>
      </c>
      <c r="G1539" t="s">
        <v>17</v>
      </c>
      <c r="H1539" s="2">
        <v>866.32</v>
      </c>
    </row>
    <row r="1540" spans="1:8">
      <c r="A1540" t="s">
        <v>56</v>
      </c>
      <c r="B1540" t="s">
        <v>57</v>
      </c>
      <c r="C1540" t="s">
        <v>32</v>
      </c>
      <c r="D1540" t="s">
        <v>33</v>
      </c>
      <c r="E1540">
        <v>2022</v>
      </c>
      <c r="F1540" t="s">
        <v>16</v>
      </c>
      <c r="G1540" t="s">
        <v>13</v>
      </c>
      <c r="H1540" s="2">
        <v>16230.07</v>
      </c>
    </row>
    <row r="1541" spans="1:8">
      <c r="A1541" t="s">
        <v>56</v>
      </c>
      <c r="B1541" t="s">
        <v>57</v>
      </c>
      <c r="C1541" t="s">
        <v>32</v>
      </c>
      <c r="D1541" t="s">
        <v>33</v>
      </c>
      <c r="E1541">
        <v>2023</v>
      </c>
      <c r="F1541" t="s">
        <v>18</v>
      </c>
      <c r="G1541" t="s">
        <v>15</v>
      </c>
      <c r="H1541" s="2">
        <v>7636.67</v>
      </c>
    </row>
    <row r="1542" spans="1:8">
      <c r="A1542" t="s">
        <v>56</v>
      </c>
      <c r="B1542" t="s">
        <v>57</v>
      </c>
      <c r="C1542" t="s">
        <v>32</v>
      </c>
      <c r="D1542" t="s">
        <v>33</v>
      </c>
      <c r="E1542">
        <v>2023</v>
      </c>
      <c r="F1542" t="s">
        <v>21</v>
      </c>
      <c r="G1542" t="s">
        <v>13</v>
      </c>
      <c r="H1542" s="2">
        <v>58674.07</v>
      </c>
    </row>
    <row r="1543" spans="1:8">
      <c r="A1543" t="s">
        <v>56</v>
      </c>
      <c r="B1543" t="s">
        <v>57</v>
      </c>
      <c r="C1543" t="s">
        <v>32</v>
      </c>
      <c r="D1543" t="s">
        <v>33</v>
      </c>
      <c r="E1543">
        <v>2024</v>
      </c>
      <c r="F1543" t="s">
        <v>22</v>
      </c>
      <c r="G1543" t="s">
        <v>19</v>
      </c>
      <c r="H1543" s="2">
        <v>0</v>
      </c>
    </row>
    <row r="1544" spans="1:8">
      <c r="A1544" t="s">
        <v>56</v>
      </c>
      <c r="B1544" t="s">
        <v>57</v>
      </c>
      <c r="C1544" t="s">
        <v>32</v>
      </c>
      <c r="D1544" t="s">
        <v>33</v>
      </c>
      <c r="E1544">
        <v>2024</v>
      </c>
      <c r="F1544" t="s">
        <v>20</v>
      </c>
      <c r="G1544" t="s">
        <v>19</v>
      </c>
      <c r="H1544" s="2">
        <v>0</v>
      </c>
    </row>
    <row r="1545" spans="1:8">
      <c r="A1545" t="s">
        <v>56</v>
      </c>
      <c r="B1545" t="s">
        <v>57</v>
      </c>
      <c r="C1545" t="s">
        <v>32</v>
      </c>
      <c r="D1545" t="s">
        <v>33</v>
      </c>
      <c r="E1545">
        <v>2024</v>
      </c>
      <c r="F1545" t="s">
        <v>16</v>
      </c>
      <c r="G1545" t="s">
        <v>17</v>
      </c>
      <c r="H1545" s="2">
        <v>4593.9399999999996</v>
      </c>
    </row>
    <row r="1546" spans="1:8">
      <c r="A1546" t="s">
        <v>58</v>
      </c>
      <c r="B1546" t="s">
        <v>59</v>
      </c>
      <c r="C1546" t="s">
        <v>32</v>
      </c>
      <c r="D1546" t="s">
        <v>11</v>
      </c>
      <c r="E1546">
        <v>1990</v>
      </c>
      <c r="F1546" t="s">
        <v>22</v>
      </c>
      <c r="G1546" t="s">
        <v>15</v>
      </c>
      <c r="H1546" s="2">
        <v>132204.38</v>
      </c>
    </row>
    <row r="1547" spans="1:8">
      <c r="A1547" t="s">
        <v>58</v>
      </c>
      <c r="B1547" t="s">
        <v>59</v>
      </c>
      <c r="C1547" t="s">
        <v>32</v>
      </c>
      <c r="D1547" t="s">
        <v>11</v>
      </c>
      <c r="E1547">
        <v>1990</v>
      </c>
      <c r="F1547" t="s">
        <v>22</v>
      </c>
      <c r="G1547" t="s">
        <v>19</v>
      </c>
      <c r="H1547" s="2">
        <v>0</v>
      </c>
    </row>
    <row r="1548" spans="1:8">
      <c r="A1548" t="s">
        <v>58</v>
      </c>
      <c r="B1548" t="s">
        <v>59</v>
      </c>
      <c r="C1548" t="s">
        <v>32</v>
      </c>
      <c r="D1548" t="s">
        <v>11</v>
      </c>
      <c r="E1548">
        <v>1990</v>
      </c>
      <c r="F1548" t="s">
        <v>22</v>
      </c>
      <c r="G1548" t="s">
        <v>17</v>
      </c>
      <c r="H1548" s="2">
        <v>36014.68</v>
      </c>
    </row>
    <row r="1549" spans="1:8">
      <c r="A1549" t="s">
        <v>58</v>
      </c>
      <c r="B1549" t="s">
        <v>59</v>
      </c>
      <c r="C1549" t="s">
        <v>32</v>
      </c>
      <c r="D1549" t="s">
        <v>11</v>
      </c>
      <c r="E1549">
        <v>1990</v>
      </c>
      <c r="F1549" t="s">
        <v>12</v>
      </c>
      <c r="G1549" t="s">
        <v>15</v>
      </c>
      <c r="H1549" s="2">
        <v>11173.51</v>
      </c>
    </row>
    <row r="1550" spans="1:8">
      <c r="A1550" t="s">
        <v>58</v>
      </c>
      <c r="B1550" t="s">
        <v>59</v>
      </c>
      <c r="C1550" t="s">
        <v>32</v>
      </c>
      <c r="D1550" t="s">
        <v>11</v>
      </c>
      <c r="E1550">
        <v>1990</v>
      </c>
      <c r="F1550" t="s">
        <v>12</v>
      </c>
      <c r="G1550" t="s">
        <v>13</v>
      </c>
      <c r="H1550" s="2">
        <v>144558.15</v>
      </c>
    </row>
    <row r="1551" spans="1:8">
      <c r="A1551" t="s">
        <v>58</v>
      </c>
      <c r="B1551" t="s">
        <v>59</v>
      </c>
      <c r="C1551" t="s">
        <v>32</v>
      </c>
      <c r="D1551" t="s">
        <v>11</v>
      </c>
      <c r="E1551">
        <v>1990</v>
      </c>
      <c r="F1551" t="s">
        <v>18</v>
      </c>
      <c r="G1551" t="s">
        <v>17</v>
      </c>
      <c r="H1551" s="2">
        <v>189.94</v>
      </c>
    </row>
    <row r="1552" spans="1:8">
      <c r="A1552" t="s">
        <v>58</v>
      </c>
      <c r="B1552" t="s">
        <v>59</v>
      </c>
      <c r="C1552" t="s">
        <v>32</v>
      </c>
      <c r="D1552" t="s">
        <v>11</v>
      </c>
      <c r="E1552">
        <v>1990</v>
      </c>
      <c r="F1552" t="s">
        <v>21</v>
      </c>
      <c r="G1552" t="s">
        <v>17</v>
      </c>
      <c r="H1552" s="2">
        <v>712.64</v>
      </c>
    </row>
    <row r="1553" spans="1:8">
      <c r="A1553" t="s">
        <v>58</v>
      </c>
      <c r="B1553" t="s">
        <v>59</v>
      </c>
      <c r="C1553" t="s">
        <v>32</v>
      </c>
      <c r="D1553" t="s">
        <v>11</v>
      </c>
      <c r="E1553">
        <v>1991</v>
      </c>
      <c r="F1553" t="s">
        <v>12</v>
      </c>
      <c r="G1553" t="s">
        <v>15</v>
      </c>
      <c r="H1553" s="2">
        <v>10063.76</v>
      </c>
    </row>
    <row r="1554" spans="1:8">
      <c r="A1554" t="s">
        <v>58</v>
      </c>
      <c r="B1554" t="s">
        <v>59</v>
      </c>
      <c r="C1554" t="s">
        <v>32</v>
      </c>
      <c r="D1554" t="s">
        <v>11</v>
      </c>
      <c r="E1554">
        <v>1991</v>
      </c>
      <c r="F1554" t="s">
        <v>20</v>
      </c>
      <c r="G1554" t="s">
        <v>15</v>
      </c>
      <c r="H1554" s="2">
        <v>118.75</v>
      </c>
    </row>
    <row r="1555" spans="1:8">
      <c r="A1555" t="s">
        <v>58</v>
      </c>
      <c r="B1555" t="s">
        <v>59</v>
      </c>
      <c r="C1555" t="s">
        <v>32</v>
      </c>
      <c r="D1555" t="s">
        <v>11</v>
      </c>
      <c r="E1555">
        <v>1991</v>
      </c>
      <c r="F1555" t="s">
        <v>14</v>
      </c>
      <c r="G1555" t="s">
        <v>15</v>
      </c>
      <c r="H1555" s="2">
        <v>4294.25</v>
      </c>
    </row>
    <row r="1556" spans="1:8">
      <c r="A1556" t="s">
        <v>58</v>
      </c>
      <c r="B1556" t="s">
        <v>59</v>
      </c>
      <c r="C1556" t="s">
        <v>32</v>
      </c>
      <c r="D1556" t="s">
        <v>11</v>
      </c>
      <c r="E1556">
        <v>1991</v>
      </c>
      <c r="F1556" t="s">
        <v>14</v>
      </c>
      <c r="G1556" t="s">
        <v>17</v>
      </c>
      <c r="H1556" s="2">
        <v>2659.91</v>
      </c>
    </row>
    <row r="1557" spans="1:8">
      <c r="A1557" t="s">
        <v>58</v>
      </c>
      <c r="B1557" t="s">
        <v>59</v>
      </c>
      <c r="C1557" t="s">
        <v>32</v>
      </c>
      <c r="D1557" t="s">
        <v>11</v>
      </c>
      <c r="E1557">
        <v>1992</v>
      </c>
      <c r="F1557" t="s">
        <v>22</v>
      </c>
      <c r="G1557" t="s">
        <v>13</v>
      </c>
      <c r="H1557" s="2">
        <v>17859.41</v>
      </c>
    </row>
    <row r="1558" spans="1:8">
      <c r="A1558" t="s">
        <v>58</v>
      </c>
      <c r="B1558" t="s">
        <v>59</v>
      </c>
      <c r="C1558" t="s">
        <v>32</v>
      </c>
      <c r="D1558" t="s">
        <v>11</v>
      </c>
      <c r="E1558">
        <v>1992</v>
      </c>
      <c r="F1558" t="s">
        <v>12</v>
      </c>
      <c r="G1558" t="s">
        <v>13</v>
      </c>
      <c r="H1558" s="2">
        <v>122000.24</v>
      </c>
    </row>
    <row r="1559" spans="1:8">
      <c r="A1559" t="s">
        <v>58</v>
      </c>
      <c r="B1559" t="s">
        <v>59</v>
      </c>
      <c r="C1559" t="s">
        <v>32</v>
      </c>
      <c r="D1559" t="s">
        <v>11</v>
      </c>
      <c r="E1559">
        <v>1992</v>
      </c>
      <c r="F1559" t="s">
        <v>18</v>
      </c>
      <c r="G1559" t="s">
        <v>17</v>
      </c>
      <c r="H1559" s="2">
        <v>206.55</v>
      </c>
    </row>
    <row r="1560" spans="1:8">
      <c r="A1560" t="s">
        <v>58</v>
      </c>
      <c r="B1560" t="s">
        <v>59</v>
      </c>
      <c r="C1560" t="s">
        <v>32</v>
      </c>
      <c r="D1560" t="s">
        <v>11</v>
      </c>
      <c r="E1560">
        <v>1992</v>
      </c>
      <c r="F1560" t="s">
        <v>14</v>
      </c>
      <c r="G1560" t="s">
        <v>19</v>
      </c>
      <c r="H1560" s="2">
        <v>0</v>
      </c>
    </row>
    <row r="1561" spans="1:8">
      <c r="A1561" t="s">
        <v>58</v>
      </c>
      <c r="B1561" t="s">
        <v>59</v>
      </c>
      <c r="C1561" t="s">
        <v>32</v>
      </c>
      <c r="D1561" t="s">
        <v>11</v>
      </c>
      <c r="E1561">
        <v>1993</v>
      </c>
      <c r="F1561" t="s">
        <v>18</v>
      </c>
      <c r="G1561" t="s">
        <v>17</v>
      </c>
      <c r="H1561" s="2">
        <v>231.09</v>
      </c>
    </row>
    <row r="1562" spans="1:8">
      <c r="A1562" t="s">
        <v>58</v>
      </c>
      <c r="B1562" t="s">
        <v>59</v>
      </c>
      <c r="C1562" t="s">
        <v>32</v>
      </c>
      <c r="D1562" t="s">
        <v>11</v>
      </c>
      <c r="E1562">
        <v>1994</v>
      </c>
      <c r="F1562" t="s">
        <v>22</v>
      </c>
      <c r="G1562" t="s">
        <v>19</v>
      </c>
      <c r="H1562" s="2">
        <v>0</v>
      </c>
    </row>
    <row r="1563" spans="1:8">
      <c r="A1563" t="s">
        <v>58</v>
      </c>
      <c r="B1563" t="s">
        <v>59</v>
      </c>
      <c r="C1563" t="s">
        <v>32</v>
      </c>
      <c r="D1563" t="s">
        <v>11</v>
      </c>
      <c r="E1563">
        <v>1994</v>
      </c>
      <c r="F1563" t="s">
        <v>12</v>
      </c>
      <c r="G1563" t="s">
        <v>19</v>
      </c>
      <c r="H1563" s="2">
        <v>0</v>
      </c>
    </row>
    <row r="1564" spans="1:8">
      <c r="A1564" t="s">
        <v>58</v>
      </c>
      <c r="B1564" t="s">
        <v>59</v>
      </c>
      <c r="C1564" t="s">
        <v>32</v>
      </c>
      <c r="D1564" t="s">
        <v>11</v>
      </c>
      <c r="E1564">
        <v>1994</v>
      </c>
      <c r="F1564" t="s">
        <v>18</v>
      </c>
      <c r="G1564" t="s">
        <v>19</v>
      </c>
      <c r="H1564" s="2">
        <v>224.11</v>
      </c>
    </row>
    <row r="1565" spans="1:8">
      <c r="A1565" t="s">
        <v>58</v>
      </c>
      <c r="B1565" t="s">
        <v>59</v>
      </c>
      <c r="C1565" t="s">
        <v>32</v>
      </c>
      <c r="D1565" t="s">
        <v>11</v>
      </c>
      <c r="E1565">
        <v>1994</v>
      </c>
      <c r="F1565" t="s">
        <v>14</v>
      </c>
      <c r="G1565" t="s">
        <v>15</v>
      </c>
      <c r="H1565" s="2">
        <v>4282.2700000000004</v>
      </c>
    </row>
    <row r="1566" spans="1:8">
      <c r="A1566" t="s">
        <v>58</v>
      </c>
      <c r="B1566" t="s">
        <v>59</v>
      </c>
      <c r="C1566" t="s">
        <v>32</v>
      </c>
      <c r="D1566" t="s">
        <v>11</v>
      </c>
      <c r="E1566">
        <v>1994</v>
      </c>
      <c r="F1566" t="s">
        <v>21</v>
      </c>
      <c r="G1566" t="s">
        <v>19</v>
      </c>
      <c r="H1566" s="2">
        <v>0</v>
      </c>
    </row>
    <row r="1567" spans="1:8">
      <c r="A1567" t="s">
        <v>58</v>
      </c>
      <c r="B1567" t="s">
        <v>59</v>
      </c>
      <c r="C1567" t="s">
        <v>32</v>
      </c>
      <c r="D1567" t="s">
        <v>11</v>
      </c>
      <c r="E1567">
        <v>1995</v>
      </c>
      <c r="F1567" t="s">
        <v>22</v>
      </c>
      <c r="G1567" t="s">
        <v>19</v>
      </c>
      <c r="H1567" s="2">
        <v>0</v>
      </c>
    </row>
    <row r="1568" spans="1:8">
      <c r="A1568" t="s">
        <v>58</v>
      </c>
      <c r="B1568" t="s">
        <v>59</v>
      </c>
      <c r="C1568" t="s">
        <v>32</v>
      </c>
      <c r="D1568" t="s">
        <v>11</v>
      </c>
      <c r="E1568">
        <v>1995</v>
      </c>
      <c r="F1568" t="s">
        <v>21</v>
      </c>
      <c r="G1568" t="s">
        <v>19</v>
      </c>
      <c r="H1568" s="2">
        <v>0</v>
      </c>
    </row>
    <row r="1569" spans="1:8">
      <c r="A1569" t="s">
        <v>58</v>
      </c>
      <c r="B1569" t="s">
        <v>59</v>
      </c>
      <c r="C1569" t="s">
        <v>32</v>
      </c>
      <c r="D1569" t="s">
        <v>11</v>
      </c>
      <c r="E1569">
        <v>1996</v>
      </c>
      <c r="F1569" t="s">
        <v>12</v>
      </c>
      <c r="G1569" t="s">
        <v>17</v>
      </c>
      <c r="H1569" s="2">
        <v>4361.49</v>
      </c>
    </row>
    <row r="1570" spans="1:8">
      <c r="A1570" t="s">
        <v>58</v>
      </c>
      <c r="B1570" t="s">
        <v>59</v>
      </c>
      <c r="C1570" t="s">
        <v>32</v>
      </c>
      <c r="D1570" t="s">
        <v>11</v>
      </c>
      <c r="E1570">
        <v>1996</v>
      </c>
      <c r="F1570" t="s">
        <v>14</v>
      </c>
      <c r="G1570" t="s">
        <v>17</v>
      </c>
      <c r="H1570" s="2">
        <v>2832.07</v>
      </c>
    </row>
    <row r="1571" spans="1:8">
      <c r="A1571" t="s">
        <v>58</v>
      </c>
      <c r="B1571" t="s">
        <v>59</v>
      </c>
      <c r="C1571" t="s">
        <v>32</v>
      </c>
      <c r="D1571" t="s">
        <v>11</v>
      </c>
      <c r="E1571">
        <v>1996</v>
      </c>
      <c r="F1571" t="s">
        <v>16</v>
      </c>
      <c r="G1571" t="s">
        <v>19</v>
      </c>
      <c r="H1571" s="2">
        <v>0</v>
      </c>
    </row>
    <row r="1572" spans="1:8">
      <c r="A1572" t="s">
        <v>58</v>
      </c>
      <c r="B1572" t="s">
        <v>59</v>
      </c>
      <c r="C1572" t="s">
        <v>32</v>
      </c>
      <c r="D1572" t="s">
        <v>11</v>
      </c>
      <c r="E1572">
        <v>1997</v>
      </c>
      <c r="F1572" t="s">
        <v>20</v>
      </c>
      <c r="G1572" t="s">
        <v>19</v>
      </c>
      <c r="H1572" s="2">
        <v>0</v>
      </c>
    </row>
    <row r="1573" spans="1:8">
      <c r="A1573" t="s">
        <v>58</v>
      </c>
      <c r="B1573" t="s">
        <v>59</v>
      </c>
      <c r="C1573" t="s">
        <v>32</v>
      </c>
      <c r="D1573" t="s">
        <v>11</v>
      </c>
      <c r="E1573">
        <v>1997</v>
      </c>
      <c r="F1573" t="s">
        <v>14</v>
      </c>
      <c r="G1573" t="s">
        <v>15</v>
      </c>
      <c r="H1573" s="2">
        <v>4951.4399999999996</v>
      </c>
    </row>
    <row r="1574" spans="1:8">
      <c r="A1574" t="s">
        <v>58</v>
      </c>
      <c r="B1574" t="s">
        <v>59</v>
      </c>
      <c r="C1574" t="s">
        <v>32</v>
      </c>
      <c r="D1574" t="s">
        <v>11</v>
      </c>
      <c r="E1574">
        <v>1998</v>
      </c>
      <c r="F1574" t="s">
        <v>12</v>
      </c>
      <c r="G1574" t="s">
        <v>19</v>
      </c>
      <c r="H1574" s="2">
        <v>0</v>
      </c>
    </row>
    <row r="1575" spans="1:8">
      <c r="A1575" t="s">
        <v>58</v>
      </c>
      <c r="B1575" t="s">
        <v>59</v>
      </c>
      <c r="C1575" t="s">
        <v>32</v>
      </c>
      <c r="D1575" t="s">
        <v>11</v>
      </c>
      <c r="E1575">
        <v>1998</v>
      </c>
      <c r="F1575" t="s">
        <v>18</v>
      </c>
      <c r="G1575" t="s">
        <v>13</v>
      </c>
      <c r="H1575" s="2">
        <v>3649.41</v>
      </c>
    </row>
    <row r="1576" spans="1:8">
      <c r="A1576" t="s">
        <v>58</v>
      </c>
      <c r="B1576" t="s">
        <v>59</v>
      </c>
      <c r="C1576" t="s">
        <v>32</v>
      </c>
      <c r="D1576" t="s">
        <v>11</v>
      </c>
      <c r="E1576">
        <v>1998</v>
      </c>
      <c r="F1576" t="s">
        <v>20</v>
      </c>
      <c r="G1576" t="s">
        <v>17</v>
      </c>
      <c r="H1576" s="2">
        <v>141.4</v>
      </c>
    </row>
    <row r="1577" spans="1:8">
      <c r="A1577" t="s">
        <v>58</v>
      </c>
      <c r="B1577" t="s">
        <v>59</v>
      </c>
      <c r="C1577" t="s">
        <v>32</v>
      </c>
      <c r="D1577" t="s">
        <v>11</v>
      </c>
      <c r="E1577">
        <v>1998</v>
      </c>
      <c r="F1577" t="s">
        <v>21</v>
      </c>
      <c r="G1577" t="s">
        <v>17</v>
      </c>
      <c r="H1577" s="2">
        <v>602.36</v>
      </c>
    </row>
    <row r="1578" spans="1:8">
      <c r="A1578" t="s">
        <v>58</v>
      </c>
      <c r="B1578" t="s">
        <v>59</v>
      </c>
      <c r="C1578" t="s">
        <v>32</v>
      </c>
      <c r="D1578" t="s">
        <v>11</v>
      </c>
      <c r="E1578">
        <v>1999</v>
      </c>
      <c r="F1578" t="s">
        <v>18</v>
      </c>
      <c r="G1578" t="s">
        <v>19</v>
      </c>
      <c r="H1578" s="2">
        <v>202.1</v>
      </c>
    </row>
    <row r="1579" spans="1:8">
      <c r="A1579" t="s">
        <v>58</v>
      </c>
      <c r="B1579" t="s">
        <v>59</v>
      </c>
      <c r="C1579" t="s">
        <v>32</v>
      </c>
      <c r="D1579" t="s">
        <v>11</v>
      </c>
      <c r="E1579">
        <v>1999</v>
      </c>
      <c r="F1579" t="s">
        <v>14</v>
      </c>
      <c r="G1579" t="s">
        <v>17</v>
      </c>
      <c r="H1579" s="2">
        <v>2711.84</v>
      </c>
    </row>
    <row r="1580" spans="1:8">
      <c r="A1580" t="s">
        <v>58</v>
      </c>
      <c r="B1580" t="s">
        <v>59</v>
      </c>
      <c r="C1580" t="s">
        <v>32</v>
      </c>
      <c r="D1580" t="s">
        <v>11</v>
      </c>
      <c r="E1580">
        <v>2001</v>
      </c>
      <c r="F1580" t="s">
        <v>22</v>
      </c>
      <c r="G1580" t="s">
        <v>15</v>
      </c>
      <c r="H1580" s="2">
        <v>139973.81</v>
      </c>
    </row>
    <row r="1581" spans="1:8">
      <c r="A1581" t="s">
        <v>58</v>
      </c>
      <c r="B1581" t="s">
        <v>59</v>
      </c>
      <c r="C1581" t="s">
        <v>32</v>
      </c>
      <c r="D1581" t="s">
        <v>11</v>
      </c>
      <c r="E1581">
        <v>2001</v>
      </c>
      <c r="F1581" t="s">
        <v>16</v>
      </c>
      <c r="G1581" t="s">
        <v>15</v>
      </c>
      <c r="H1581" s="2">
        <v>44664.93</v>
      </c>
    </row>
    <row r="1582" spans="1:8">
      <c r="A1582" t="s">
        <v>58</v>
      </c>
      <c r="B1582" t="s">
        <v>59</v>
      </c>
      <c r="C1582" t="s">
        <v>32</v>
      </c>
      <c r="D1582" t="s">
        <v>11</v>
      </c>
      <c r="E1582">
        <v>2002</v>
      </c>
      <c r="F1582" t="s">
        <v>22</v>
      </c>
      <c r="G1582" t="s">
        <v>13</v>
      </c>
      <c r="H1582" s="2">
        <v>22210.28</v>
      </c>
    </row>
    <row r="1583" spans="1:8">
      <c r="A1583" t="s">
        <v>58</v>
      </c>
      <c r="B1583" t="s">
        <v>59</v>
      </c>
      <c r="C1583" t="s">
        <v>32</v>
      </c>
      <c r="D1583" t="s">
        <v>11</v>
      </c>
      <c r="E1583">
        <v>2002</v>
      </c>
      <c r="F1583" t="s">
        <v>22</v>
      </c>
      <c r="G1583" t="s">
        <v>19</v>
      </c>
      <c r="H1583" s="2">
        <v>0</v>
      </c>
    </row>
    <row r="1584" spans="1:8">
      <c r="A1584" t="s">
        <v>58</v>
      </c>
      <c r="B1584" t="s">
        <v>59</v>
      </c>
      <c r="C1584" t="s">
        <v>32</v>
      </c>
      <c r="D1584" t="s">
        <v>11</v>
      </c>
      <c r="E1584">
        <v>2002</v>
      </c>
      <c r="F1584" t="s">
        <v>16</v>
      </c>
      <c r="G1584" t="s">
        <v>17</v>
      </c>
      <c r="H1584" s="2">
        <v>3131.78</v>
      </c>
    </row>
    <row r="1585" spans="1:8">
      <c r="A1585" t="s">
        <v>58</v>
      </c>
      <c r="B1585" t="s">
        <v>59</v>
      </c>
      <c r="C1585" t="s">
        <v>32</v>
      </c>
      <c r="D1585" t="s">
        <v>11</v>
      </c>
      <c r="E1585">
        <v>2003</v>
      </c>
      <c r="F1585" t="s">
        <v>18</v>
      </c>
      <c r="G1585" t="s">
        <v>13</v>
      </c>
      <c r="H1585" s="2">
        <v>4056.7</v>
      </c>
    </row>
    <row r="1586" spans="1:8">
      <c r="A1586" t="s">
        <v>58</v>
      </c>
      <c r="B1586" t="s">
        <v>59</v>
      </c>
      <c r="C1586" t="s">
        <v>32</v>
      </c>
      <c r="D1586" t="s">
        <v>11</v>
      </c>
      <c r="E1586">
        <v>2003</v>
      </c>
      <c r="F1586" t="s">
        <v>20</v>
      </c>
      <c r="G1586" t="s">
        <v>15</v>
      </c>
      <c r="H1586" s="2">
        <v>148.44999999999999</v>
      </c>
    </row>
    <row r="1587" spans="1:8">
      <c r="A1587" t="s">
        <v>58</v>
      </c>
      <c r="B1587" t="s">
        <v>59</v>
      </c>
      <c r="C1587" t="s">
        <v>32</v>
      </c>
      <c r="D1587" t="s">
        <v>11</v>
      </c>
      <c r="E1587">
        <v>2003</v>
      </c>
      <c r="F1587" t="s">
        <v>20</v>
      </c>
      <c r="G1587" t="s">
        <v>17</v>
      </c>
      <c r="H1587" s="2">
        <v>138.9</v>
      </c>
    </row>
    <row r="1588" spans="1:8">
      <c r="A1588" t="s">
        <v>58</v>
      </c>
      <c r="B1588" t="s">
        <v>59</v>
      </c>
      <c r="C1588" t="s">
        <v>32</v>
      </c>
      <c r="D1588" t="s">
        <v>11</v>
      </c>
      <c r="E1588">
        <v>2003</v>
      </c>
      <c r="F1588" t="s">
        <v>14</v>
      </c>
      <c r="G1588" t="s">
        <v>17</v>
      </c>
      <c r="H1588" s="2">
        <v>3337.44</v>
      </c>
    </row>
    <row r="1589" spans="1:8">
      <c r="A1589" t="s">
        <v>58</v>
      </c>
      <c r="B1589" t="s">
        <v>59</v>
      </c>
      <c r="C1589" t="s">
        <v>32</v>
      </c>
      <c r="D1589" t="s">
        <v>11</v>
      </c>
      <c r="E1589">
        <v>2004</v>
      </c>
      <c r="F1589" t="s">
        <v>18</v>
      </c>
      <c r="G1589" t="s">
        <v>15</v>
      </c>
      <c r="H1589" s="2">
        <v>284.88</v>
      </c>
    </row>
    <row r="1590" spans="1:8">
      <c r="A1590" t="s">
        <v>58</v>
      </c>
      <c r="B1590" t="s">
        <v>59</v>
      </c>
      <c r="C1590" t="s">
        <v>32</v>
      </c>
      <c r="D1590" t="s">
        <v>11</v>
      </c>
      <c r="E1590">
        <v>2004</v>
      </c>
      <c r="F1590" t="s">
        <v>18</v>
      </c>
      <c r="G1590" t="s">
        <v>17</v>
      </c>
      <c r="H1590" s="2">
        <v>262.63</v>
      </c>
    </row>
    <row r="1591" spans="1:8">
      <c r="A1591" t="s">
        <v>58</v>
      </c>
      <c r="B1591" t="s">
        <v>59</v>
      </c>
      <c r="C1591" t="s">
        <v>32</v>
      </c>
      <c r="D1591" t="s">
        <v>11</v>
      </c>
      <c r="E1591">
        <v>2004</v>
      </c>
      <c r="F1591" t="s">
        <v>20</v>
      </c>
      <c r="G1591" t="s">
        <v>19</v>
      </c>
      <c r="H1591" s="2">
        <v>0</v>
      </c>
    </row>
    <row r="1592" spans="1:8">
      <c r="A1592" t="s">
        <v>58</v>
      </c>
      <c r="B1592" t="s">
        <v>59</v>
      </c>
      <c r="C1592" t="s">
        <v>32</v>
      </c>
      <c r="D1592" t="s">
        <v>11</v>
      </c>
      <c r="E1592">
        <v>2004</v>
      </c>
      <c r="F1592" t="s">
        <v>14</v>
      </c>
      <c r="G1592" t="s">
        <v>19</v>
      </c>
      <c r="H1592" s="2">
        <v>0</v>
      </c>
    </row>
    <row r="1593" spans="1:8">
      <c r="A1593" t="s">
        <v>58</v>
      </c>
      <c r="B1593" t="s">
        <v>59</v>
      </c>
      <c r="C1593" t="s">
        <v>32</v>
      </c>
      <c r="D1593" t="s">
        <v>11</v>
      </c>
      <c r="E1593">
        <v>2005</v>
      </c>
      <c r="F1593" t="s">
        <v>20</v>
      </c>
      <c r="G1593" t="s">
        <v>19</v>
      </c>
      <c r="H1593" s="2">
        <v>0</v>
      </c>
    </row>
    <row r="1594" spans="1:8">
      <c r="A1594" t="s">
        <v>58</v>
      </c>
      <c r="B1594" t="s">
        <v>59</v>
      </c>
      <c r="C1594" t="s">
        <v>32</v>
      </c>
      <c r="D1594" t="s">
        <v>11</v>
      </c>
      <c r="E1594">
        <v>2005</v>
      </c>
      <c r="F1594" t="s">
        <v>14</v>
      </c>
      <c r="G1594" t="s">
        <v>15</v>
      </c>
      <c r="H1594" s="2">
        <v>4795.32</v>
      </c>
    </row>
    <row r="1595" spans="1:8">
      <c r="A1595" t="s">
        <v>58</v>
      </c>
      <c r="B1595" t="s">
        <v>59</v>
      </c>
      <c r="C1595" t="s">
        <v>32</v>
      </c>
      <c r="D1595" t="s">
        <v>11</v>
      </c>
      <c r="E1595">
        <v>2005</v>
      </c>
      <c r="F1595" t="s">
        <v>14</v>
      </c>
      <c r="G1595" t="s">
        <v>13</v>
      </c>
      <c r="H1595" s="2">
        <v>151579.20000000001</v>
      </c>
    </row>
    <row r="1596" spans="1:8">
      <c r="A1596" t="s">
        <v>58</v>
      </c>
      <c r="B1596" t="s">
        <v>59</v>
      </c>
      <c r="C1596" t="s">
        <v>32</v>
      </c>
      <c r="D1596" t="s">
        <v>11</v>
      </c>
      <c r="E1596">
        <v>2005</v>
      </c>
      <c r="F1596" t="s">
        <v>14</v>
      </c>
      <c r="G1596" t="s">
        <v>17</v>
      </c>
      <c r="H1596" s="2">
        <v>3209.09</v>
      </c>
    </row>
    <row r="1597" spans="1:8">
      <c r="A1597" t="s">
        <v>58</v>
      </c>
      <c r="B1597" t="s">
        <v>59</v>
      </c>
      <c r="C1597" t="s">
        <v>32</v>
      </c>
      <c r="D1597" t="s">
        <v>11</v>
      </c>
      <c r="E1597">
        <v>2006</v>
      </c>
      <c r="F1597" t="s">
        <v>22</v>
      </c>
      <c r="G1597" t="s">
        <v>17</v>
      </c>
      <c r="H1597" s="2">
        <v>45841.97</v>
      </c>
    </row>
    <row r="1598" spans="1:8">
      <c r="A1598" t="s">
        <v>58</v>
      </c>
      <c r="B1598" t="s">
        <v>59</v>
      </c>
      <c r="C1598" t="s">
        <v>32</v>
      </c>
      <c r="D1598" t="s">
        <v>11</v>
      </c>
      <c r="E1598">
        <v>2006</v>
      </c>
      <c r="F1598" t="s">
        <v>12</v>
      </c>
      <c r="G1598" t="s">
        <v>15</v>
      </c>
      <c r="H1598" s="2">
        <v>12487.17</v>
      </c>
    </row>
    <row r="1599" spans="1:8">
      <c r="A1599" t="s">
        <v>58</v>
      </c>
      <c r="B1599" t="s">
        <v>59</v>
      </c>
      <c r="C1599" t="s">
        <v>32</v>
      </c>
      <c r="D1599" t="s">
        <v>11</v>
      </c>
      <c r="E1599">
        <v>2006</v>
      </c>
      <c r="F1599" t="s">
        <v>20</v>
      </c>
      <c r="G1599" t="s">
        <v>17</v>
      </c>
      <c r="H1599" s="2">
        <v>174.62</v>
      </c>
    </row>
    <row r="1600" spans="1:8">
      <c r="A1600" t="s">
        <v>58</v>
      </c>
      <c r="B1600" t="s">
        <v>59</v>
      </c>
      <c r="C1600" t="s">
        <v>32</v>
      </c>
      <c r="D1600" t="s">
        <v>11</v>
      </c>
      <c r="E1600">
        <v>2007</v>
      </c>
      <c r="F1600" t="s">
        <v>22</v>
      </c>
      <c r="G1600" t="s">
        <v>13</v>
      </c>
      <c r="H1600" s="2">
        <v>21910.49</v>
      </c>
    </row>
    <row r="1601" spans="1:8">
      <c r="A1601" t="s">
        <v>58</v>
      </c>
      <c r="B1601" t="s">
        <v>59</v>
      </c>
      <c r="C1601" t="s">
        <v>32</v>
      </c>
      <c r="D1601" t="s">
        <v>11</v>
      </c>
      <c r="E1601">
        <v>2007</v>
      </c>
      <c r="F1601" t="s">
        <v>22</v>
      </c>
      <c r="G1601" t="s">
        <v>17</v>
      </c>
      <c r="H1601" s="2">
        <v>40394.85</v>
      </c>
    </row>
    <row r="1602" spans="1:8">
      <c r="A1602" t="s">
        <v>58</v>
      </c>
      <c r="B1602" t="s">
        <v>59</v>
      </c>
      <c r="C1602" t="s">
        <v>32</v>
      </c>
      <c r="D1602" t="s">
        <v>11</v>
      </c>
      <c r="E1602">
        <v>2007</v>
      </c>
      <c r="F1602" t="s">
        <v>12</v>
      </c>
      <c r="G1602" t="s">
        <v>19</v>
      </c>
      <c r="H1602" s="2">
        <v>0</v>
      </c>
    </row>
    <row r="1603" spans="1:8">
      <c r="A1603" t="s">
        <v>58</v>
      </c>
      <c r="B1603" t="s">
        <v>59</v>
      </c>
      <c r="C1603" t="s">
        <v>32</v>
      </c>
      <c r="D1603" t="s">
        <v>11</v>
      </c>
      <c r="E1603">
        <v>2008</v>
      </c>
      <c r="F1603" t="s">
        <v>20</v>
      </c>
      <c r="G1603" t="s">
        <v>15</v>
      </c>
      <c r="H1603" s="2">
        <v>162.24</v>
      </c>
    </row>
    <row r="1604" spans="1:8">
      <c r="A1604" t="s">
        <v>58</v>
      </c>
      <c r="B1604" t="s">
        <v>59</v>
      </c>
      <c r="C1604" t="s">
        <v>32</v>
      </c>
      <c r="D1604" t="s">
        <v>11</v>
      </c>
      <c r="E1604">
        <v>2008</v>
      </c>
      <c r="F1604" t="s">
        <v>20</v>
      </c>
      <c r="G1604" t="s">
        <v>17</v>
      </c>
      <c r="H1604" s="2">
        <v>183.04</v>
      </c>
    </row>
    <row r="1605" spans="1:8">
      <c r="A1605" t="s">
        <v>58</v>
      </c>
      <c r="B1605" t="s">
        <v>59</v>
      </c>
      <c r="C1605" t="s">
        <v>32</v>
      </c>
      <c r="D1605" t="s">
        <v>11</v>
      </c>
      <c r="E1605">
        <v>2008</v>
      </c>
      <c r="F1605" t="s">
        <v>14</v>
      </c>
      <c r="G1605" t="s">
        <v>19</v>
      </c>
      <c r="H1605" s="2">
        <v>0</v>
      </c>
    </row>
    <row r="1606" spans="1:8">
      <c r="A1606" t="s">
        <v>58</v>
      </c>
      <c r="B1606" t="s">
        <v>59</v>
      </c>
      <c r="C1606" t="s">
        <v>32</v>
      </c>
      <c r="D1606" t="s">
        <v>11</v>
      </c>
      <c r="E1606">
        <v>2008</v>
      </c>
      <c r="F1606" t="s">
        <v>21</v>
      </c>
      <c r="G1606" t="s">
        <v>15</v>
      </c>
      <c r="H1606" s="2">
        <v>1529.92</v>
      </c>
    </row>
    <row r="1607" spans="1:8">
      <c r="A1607" t="s">
        <v>58</v>
      </c>
      <c r="B1607" t="s">
        <v>59</v>
      </c>
      <c r="C1607" t="s">
        <v>32</v>
      </c>
      <c r="D1607" t="s">
        <v>11</v>
      </c>
      <c r="E1607">
        <v>2008</v>
      </c>
      <c r="F1607" t="s">
        <v>16</v>
      </c>
      <c r="G1607" t="s">
        <v>13</v>
      </c>
      <c r="H1607" s="2">
        <v>9856.9599999999991</v>
      </c>
    </row>
    <row r="1608" spans="1:8">
      <c r="A1608" t="s">
        <v>58</v>
      </c>
      <c r="B1608" t="s">
        <v>59</v>
      </c>
      <c r="C1608" t="s">
        <v>32</v>
      </c>
      <c r="D1608" t="s">
        <v>11</v>
      </c>
      <c r="E1608">
        <v>2009</v>
      </c>
      <c r="F1608" t="s">
        <v>22</v>
      </c>
      <c r="G1608" t="s">
        <v>15</v>
      </c>
      <c r="H1608" s="2">
        <v>152303.23000000001</v>
      </c>
    </row>
    <row r="1609" spans="1:8">
      <c r="A1609" t="s">
        <v>58</v>
      </c>
      <c r="B1609" t="s">
        <v>59</v>
      </c>
      <c r="C1609" t="s">
        <v>32</v>
      </c>
      <c r="D1609" t="s">
        <v>11</v>
      </c>
      <c r="E1609">
        <v>2009</v>
      </c>
      <c r="F1609" t="s">
        <v>14</v>
      </c>
      <c r="G1609" t="s">
        <v>17</v>
      </c>
      <c r="H1609" s="2">
        <v>3298.81</v>
      </c>
    </row>
    <row r="1610" spans="1:8">
      <c r="A1610" t="s">
        <v>58</v>
      </c>
      <c r="B1610" t="s">
        <v>59</v>
      </c>
      <c r="C1610" t="s">
        <v>32</v>
      </c>
      <c r="D1610" t="s">
        <v>11</v>
      </c>
      <c r="E1610">
        <v>2009</v>
      </c>
      <c r="F1610" t="s">
        <v>16</v>
      </c>
      <c r="G1610" t="s">
        <v>19</v>
      </c>
      <c r="H1610" s="2">
        <v>0</v>
      </c>
    </row>
    <row r="1611" spans="1:8">
      <c r="A1611" t="s">
        <v>58</v>
      </c>
      <c r="B1611" t="s">
        <v>59</v>
      </c>
      <c r="C1611" t="s">
        <v>32</v>
      </c>
      <c r="D1611" t="s">
        <v>11</v>
      </c>
      <c r="E1611">
        <v>2010</v>
      </c>
      <c r="F1611" t="s">
        <v>12</v>
      </c>
      <c r="G1611" t="s">
        <v>15</v>
      </c>
      <c r="H1611" s="2">
        <v>13359.1</v>
      </c>
    </row>
    <row r="1612" spans="1:8">
      <c r="A1612" t="s">
        <v>58</v>
      </c>
      <c r="B1612" t="s">
        <v>59</v>
      </c>
      <c r="C1612" t="s">
        <v>32</v>
      </c>
      <c r="D1612" t="s">
        <v>11</v>
      </c>
      <c r="E1612">
        <v>2010</v>
      </c>
      <c r="F1612" t="s">
        <v>18</v>
      </c>
      <c r="G1612" t="s">
        <v>15</v>
      </c>
      <c r="H1612" s="2">
        <v>274.17</v>
      </c>
    </row>
    <row r="1613" spans="1:8">
      <c r="A1613" t="s">
        <v>58</v>
      </c>
      <c r="B1613" t="s">
        <v>59</v>
      </c>
      <c r="C1613" t="s">
        <v>32</v>
      </c>
      <c r="D1613" t="s">
        <v>11</v>
      </c>
      <c r="E1613">
        <v>2010</v>
      </c>
      <c r="F1613" t="s">
        <v>20</v>
      </c>
      <c r="G1613" t="s">
        <v>15</v>
      </c>
      <c r="H1613" s="2">
        <v>200.38</v>
      </c>
    </row>
    <row r="1614" spans="1:8">
      <c r="A1614" t="s">
        <v>58</v>
      </c>
      <c r="B1614" t="s">
        <v>59</v>
      </c>
      <c r="C1614" t="s">
        <v>32</v>
      </c>
      <c r="D1614" t="s">
        <v>11</v>
      </c>
      <c r="E1614">
        <v>2011</v>
      </c>
      <c r="F1614" t="s">
        <v>14</v>
      </c>
      <c r="G1614" t="s">
        <v>17</v>
      </c>
      <c r="H1614" s="2">
        <v>3788.75</v>
      </c>
    </row>
    <row r="1615" spans="1:8">
      <c r="A1615" t="s">
        <v>58</v>
      </c>
      <c r="B1615" t="s">
        <v>59</v>
      </c>
      <c r="C1615" t="s">
        <v>32</v>
      </c>
      <c r="D1615" t="s">
        <v>11</v>
      </c>
      <c r="E1615">
        <v>2011</v>
      </c>
      <c r="F1615" t="s">
        <v>16</v>
      </c>
      <c r="G1615" t="s">
        <v>17</v>
      </c>
      <c r="H1615" s="2">
        <v>3791.28</v>
      </c>
    </row>
    <row r="1616" spans="1:8">
      <c r="A1616" t="s">
        <v>58</v>
      </c>
      <c r="B1616" t="s">
        <v>59</v>
      </c>
      <c r="C1616" t="s">
        <v>32</v>
      </c>
      <c r="D1616" t="s">
        <v>11</v>
      </c>
      <c r="E1616">
        <v>2012</v>
      </c>
      <c r="F1616" t="s">
        <v>16</v>
      </c>
      <c r="G1616" t="s">
        <v>19</v>
      </c>
      <c r="H1616" s="2">
        <v>0</v>
      </c>
    </row>
    <row r="1617" spans="1:8">
      <c r="A1617" t="s">
        <v>58</v>
      </c>
      <c r="B1617" t="s">
        <v>59</v>
      </c>
      <c r="C1617" t="s">
        <v>32</v>
      </c>
      <c r="D1617" t="s">
        <v>11</v>
      </c>
      <c r="E1617">
        <v>2013</v>
      </c>
      <c r="F1617" t="s">
        <v>18</v>
      </c>
      <c r="G1617" t="s">
        <v>13</v>
      </c>
      <c r="H1617" s="2">
        <v>4839.5600000000004</v>
      </c>
    </row>
    <row r="1618" spans="1:8">
      <c r="A1618" t="s">
        <v>58</v>
      </c>
      <c r="B1618" t="s">
        <v>59</v>
      </c>
      <c r="C1618" t="s">
        <v>32</v>
      </c>
      <c r="D1618" t="s">
        <v>11</v>
      </c>
      <c r="E1618">
        <v>2013</v>
      </c>
      <c r="F1618" t="s">
        <v>21</v>
      </c>
      <c r="G1618" t="s">
        <v>13</v>
      </c>
      <c r="H1618" s="2">
        <v>74308.23</v>
      </c>
    </row>
    <row r="1619" spans="1:8">
      <c r="A1619" t="s">
        <v>58</v>
      </c>
      <c r="B1619" t="s">
        <v>59</v>
      </c>
      <c r="C1619" t="s">
        <v>32</v>
      </c>
      <c r="D1619" t="s">
        <v>11</v>
      </c>
      <c r="E1619">
        <v>2014</v>
      </c>
      <c r="F1619" t="s">
        <v>12</v>
      </c>
      <c r="G1619" t="s">
        <v>17</v>
      </c>
      <c r="H1619" s="2">
        <v>5016.51</v>
      </c>
    </row>
    <row r="1620" spans="1:8">
      <c r="A1620" t="s">
        <v>58</v>
      </c>
      <c r="B1620" t="s">
        <v>59</v>
      </c>
      <c r="C1620" t="s">
        <v>32</v>
      </c>
      <c r="D1620" t="s">
        <v>11</v>
      </c>
      <c r="E1620">
        <v>2014</v>
      </c>
      <c r="F1620" t="s">
        <v>20</v>
      </c>
      <c r="G1620" t="s">
        <v>19</v>
      </c>
      <c r="H1620" s="2">
        <v>0</v>
      </c>
    </row>
    <row r="1621" spans="1:8">
      <c r="A1621" t="s">
        <v>58</v>
      </c>
      <c r="B1621" t="s">
        <v>59</v>
      </c>
      <c r="C1621" t="s">
        <v>32</v>
      </c>
      <c r="D1621" t="s">
        <v>11</v>
      </c>
      <c r="E1621">
        <v>2016</v>
      </c>
      <c r="F1621" t="s">
        <v>12</v>
      </c>
      <c r="G1621" t="s">
        <v>15</v>
      </c>
      <c r="H1621" s="2">
        <v>13307.34</v>
      </c>
    </row>
    <row r="1622" spans="1:8">
      <c r="A1622" t="s">
        <v>58</v>
      </c>
      <c r="B1622" t="s">
        <v>59</v>
      </c>
      <c r="C1622" t="s">
        <v>32</v>
      </c>
      <c r="D1622" t="s">
        <v>11</v>
      </c>
      <c r="E1622">
        <v>2016</v>
      </c>
      <c r="F1622" t="s">
        <v>18</v>
      </c>
      <c r="G1622" t="s">
        <v>15</v>
      </c>
      <c r="H1622" s="2">
        <v>253.15</v>
      </c>
    </row>
    <row r="1623" spans="1:8">
      <c r="A1623" t="s">
        <v>58</v>
      </c>
      <c r="B1623" t="s">
        <v>59</v>
      </c>
      <c r="C1623" t="s">
        <v>32</v>
      </c>
      <c r="D1623" t="s">
        <v>11</v>
      </c>
      <c r="E1623">
        <v>2016</v>
      </c>
      <c r="F1623" t="s">
        <v>20</v>
      </c>
      <c r="G1623" t="s">
        <v>13</v>
      </c>
      <c r="H1623" s="2">
        <v>16348.79</v>
      </c>
    </row>
    <row r="1624" spans="1:8">
      <c r="A1624" t="s">
        <v>58</v>
      </c>
      <c r="B1624" t="s">
        <v>59</v>
      </c>
      <c r="C1624" t="s">
        <v>32</v>
      </c>
      <c r="D1624" t="s">
        <v>11</v>
      </c>
      <c r="E1624">
        <v>2016</v>
      </c>
      <c r="F1624" t="s">
        <v>20</v>
      </c>
      <c r="G1624" t="s">
        <v>19</v>
      </c>
      <c r="H1624" s="2">
        <v>0</v>
      </c>
    </row>
    <row r="1625" spans="1:8">
      <c r="A1625" t="s">
        <v>58</v>
      </c>
      <c r="B1625" t="s">
        <v>59</v>
      </c>
      <c r="C1625" t="s">
        <v>32</v>
      </c>
      <c r="D1625" t="s">
        <v>11</v>
      </c>
      <c r="E1625">
        <v>2016</v>
      </c>
      <c r="F1625" t="s">
        <v>16</v>
      </c>
      <c r="G1625" t="s">
        <v>19</v>
      </c>
      <c r="H1625" s="2">
        <v>0</v>
      </c>
    </row>
    <row r="1626" spans="1:8">
      <c r="A1626" t="s">
        <v>58</v>
      </c>
      <c r="B1626" t="s">
        <v>59</v>
      </c>
      <c r="C1626" t="s">
        <v>32</v>
      </c>
      <c r="D1626" t="s">
        <v>11</v>
      </c>
      <c r="E1626">
        <v>2017</v>
      </c>
      <c r="F1626" t="s">
        <v>22</v>
      </c>
      <c r="G1626" t="s">
        <v>19</v>
      </c>
      <c r="H1626" s="2">
        <v>0</v>
      </c>
    </row>
    <row r="1627" spans="1:8">
      <c r="A1627" t="s">
        <v>58</v>
      </c>
      <c r="B1627" t="s">
        <v>59</v>
      </c>
      <c r="C1627" t="s">
        <v>32</v>
      </c>
      <c r="D1627" t="s">
        <v>11</v>
      </c>
      <c r="E1627">
        <v>2017</v>
      </c>
      <c r="F1627" t="s">
        <v>22</v>
      </c>
      <c r="G1627" t="s">
        <v>17</v>
      </c>
      <c r="H1627" s="2">
        <v>45197</v>
      </c>
    </row>
    <row r="1628" spans="1:8">
      <c r="A1628" t="s">
        <v>58</v>
      </c>
      <c r="B1628" t="s">
        <v>59</v>
      </c>
      <c r="C1628" t="s">
        <v>32</v>
      </c>
      <c r="D1628" t="s">
        <v>11</v>
      </c>
      <c r="E1628">
        <v>2018</v>
      </c>
      <c r="F1628" t="s">
        <v>20</v>
      </c>
      <c r="G1628" t="s">
        <v>15</v>
      </c>
      <c r="H1628" s="2">
        <v>184.83</v>
      </c>
    </row>
    <row r="1629" spans="1:8">
      <c r="A1629" t="s">
        <v>58</v>
      </c>
      <c r="B1629" t="s">
        <v>59</v>
      </c>
      <c r="C1629" t="s">
        <v>32</v>
      </c>
      <c r="D1629" t="s">
        <v>11</v>
      </c>
      <c r="E1629">
        <v>2018</v>
      </c>
      <c r="F1629" t="s">
        <v>14</v>
      </c>
      <c r="G1629" t="s">
        <v>19</v>
      </c>
      <c r="H1629" s="2">
        <v>0</v>
      </c>
    </row>
    <row r="1630" spans="1:8">
      <c r="A1630" t="s">
        <v>58</v>
      </c>
      <c r="B1630" t="s">
        <v>59</v>
      </c>
      <c r="C1630" t="s">
        <v>32</v>
      </c>
      <c r="D1630" t="s">
        <v>11</v>
      </c>
      <c r="E1630">
        <v>2018</v>
      </c>
      <c r="F1630" t="s">
        <v>21</v>
      </c>
      <c r="G1630" t="s">
        <v>13</v>
      </c>
      <c r="H1630" s="2">
        <v>80543.3</v>
      </c>
    </row>
    <row r="1631" spans="1:8">
      <c r="A1631" t="s">
        <v>58</v>
      </c>
      <c r="B1631" t="s">
        <v>59</v>
      </c>
      <c r="C1631" t="s">
        <v>32</v>
      </c>
      <c r="D1631" t="s">
        <v>11</v>
      </c>
      <c r="E1631">
        <v>2019</v>
      </c>
      <c r="F1631" t="s">
        <v>20</v>
      </c>
      <c r="G1631" t="s">
        <v>17</v>
      </c>
      <c r="H1631" s="2">
        <v>199.36</v>
      </c>
    </row>
    <row r="1632" spans="1:8">
      <c r="A1632" t="s">
        <v>58</v>
      </c>
      <c r="B1632" t="s">
        <v>59</v>
      </c>
      <c r="C1632" t="s">
        <v>32</v>
      </c>
      <c r="D1632" t="s">
        <v>11</v>
      </c>
      <c r="E1632">
        <v>2021</v>
      </c>
      <c r="F1632" t="s">
        <v>21</v>
      </c>
      <c r="G1632" t="s">
        <v>15</v>
      </c>
      <c r="H1632" s="2">
        <v>1601.24</v>
      </c>
    </row>
    <row r="1633" spans="1:8">
      <c r="A1633" t="s">
        <v>58</v>
      </c>
      <c r="B1633" t="s">
        <v>59</v>
      </c>
      <c r="C1633" t="s">
        <v>32</v>
      </c>
      <c r="D1633" t="s">
        <v>11</v>
      </c>
      <c r="E1633">
        <v>2021</v>
      </c>
      <c r="F1633" t="s">
        <v>16</v>
      </c>
      <c r="G1633" t="s">
        <v>15</v>
      </c>
      <c r="H1633" s="2">
        <v>54210.11</v>
      </c>
    </row>
    <row r="1634" spans="1:8">
      <c r="A1634" t="s">
        <v>58</v>
      </c>
      <c r="B1634" t="s">
        <v>59</v>
      </c>
      <c r="C1634" t="s">
        <v>32</v>
      </c>
      <c r="D1634" t="s">
        <v>11</v>
      </c>
      <c r="E1634">
        <v>2022</v>
      </c>
      <c r="F1634" t="s">
        <v>22</v>
      </c>
      <c r="G1634" t="s">
        <v>15</v>
      </c>
      <c r="H1634" s="2">
        <v>161016.5</v>
      </c>
    </row>
    <row r="1635" spans="1:8">
      <c r="A1635" t="s">
        <v>58</v>
      </c>
      <c r="B1635" t="s">
        <v>59</v>
      </c>
      <c r="C1635" t="s">
        <v>32</v>
      </c>
      <c r="D1635" t="s">
        <v>11</v>
      </c>
      <c r="E1635">
        <v>2022</v>
      </c>
      <c r="F1635" t="s">
        <v>22</v>
      </c>
      <c r="G1635" t="s">
        <v>17</v>
      </c>
      <c r="H1635" s="2">
        <v>46103.16</v>
      </c>
    </row>
    <row r="1636" spans="1:8">
      <c r="A1636" t="s">
        <v>58</v>
      </c>
      <c r="B1636" t="s">
        <v>59</v>
      </c>
      <c r="C1636" t="s">
        <v>32</v>
      </c>
      <c r="D1636" t="s">
        <v>11</v>
      </c>
      <c r="E1636">
        <v>2022</v>
      </c>
      <c r="F1636" t="s">
        <v>12</v>
      </c>
      <c r="G1636" t="s">
        <v>19</v>
      </c>
      <c r="H1636" s="2">
        <v>0</v>
      </c>
    </row>
    <row r="1637" spans="1:8">
      <c r="A1637" t="s">
        <v>58</v>
      </c>
      <c r="B1637" t="s">
        <v>59</v>
      </c>
      <c r="C1637" t="s">
        <v>32</v>
      </c>
      <c r="D1637" t="s">
        <v>11</v>
      </c>
      <c r="E1637">
        <v>2022</v>
      </c>
      <c r="F1637" t="s">
        <v>18</v>
      </c>
      <c r="G1637" t="s">
        <v>19</v>
      </c>
      <c r="H1637" s="2">
        <v>241.2</v>
      </c>
    </row>
    <row r="1638" spans="1:8">
      <c r="A1638" t="s">
        <v>58</v>
      </c>
      <c r="B1638" t="s">
        <v>59</v>
      </c>
      <c r="C1638" t="s">
        <v>32</v>
      </c>
      <c r="D1638" t="s">
        <v>11</v>
      </c>
      <c r="E1638">
        <v>2022</v>
      </c>
      <c r="F1638" t="s">
        <v>14</v>
      </c>
      <c r="G1638" t="s">
        <v>19</v>
      </c>
      <c r="H1638" s="2">
        <v>0</v>
      </c>
    </row>
    <row r="1639" spans="1:8">
      <c r="A1639" t="s">
        <v>58</v>
      </c>
      <c r="B1639" t="s">
        <v>59</v>
      </c>
      <c r="C1639" t="s">
        <v>32</v>
      </c>
      <c r="D1639" t="s">
        <v>11</v>
      </c>
      <c r="E1639">
        <v>2024</v>
      </c>
      <c r="F1639" t="s">
        <v>20</v>
      </c>
      <c r="G1639" t="s">
        <v>17</v>
      </c>
      <c r="H1639" s="2">
        <v>184.2</v>
      </c>
    </row>
    <row r="1640" spans="1:8">
      <c r="A1640" t="s">
        <v>60</v>
      </c>
      <c r="B1640" t="s">
        <v>61</v>
      </c>
      <c r="C1640" t="s">
        <v>32</v>
      </c>
      <c r="D1640" t="s">
        <v>11</v>
      </c>
      <c r="E1640">
        <v>1990</v>
      </c>
      <c r="F1640" t="s">
        <v>18</v>
      </c>
      <c r="G1640" t="s">
        <v>13</v>
      </c>
      <c r="H1640" s="2">
        <v>26748.880000000001</v>
      </c>
    </row>
    <row r="1641" spans="1:8">
      <c r="A1641" t="s">
        <v>60</v>
      </c>
      <c r="B1641" t="s">
        <v>61</v>
      </c>
      <c r="C1641" t="s">
        <v>32</v>
      </c>
      <c r="D1641" t="s">
        <v>11</v>
      </c>
      <c r="E1641">
        <v>1990</v>
      </c>
      <c r="F1641" t="s">
        <v>20</v>
      </c>
      <c r="G1641" t="s">
        <v>15</v>
      </c>
      <c r="H1641" s="2">
        <v>38.409999999999997</v>
      </c>
    </row>
    <row r="1642" spans="1:8">
      <c r="A1642" t="s">
        <v>60</v>
      </c>
      <c r="B1642" t="s">
        <v>61</v>
      </c>
      <c r="C1642" t="s">
        <v>32</v>
      </c>
      <c r="D1642" t="s">
        <v>11</v>
      </c>
      <c r="E1642">
        <v>1991</v>
      </c>
      <c r="F1642" t="s">
        <v>22</v>
      </c>
      <c r="G1642" t="s">
        <v>17</v>
      </c>
      <c r="H1642" s="2">
        <v>2443.1</v>
      </c>
    </row>
    <row r="1643" spans="1:8">
      <c r="A1643" t="s">
        <v>60</v>
      </c>
      <c r="B1643" t="s">
        <v>61</v>
      </c>
      <c r="C1643" t="s">
        <v>32</v>
      </c>
      <c r="D1643" t="s">
        <v>11</v>
      </c>
      <c r="E1643">
        <v>1991</v>
      </c>
      <c r="F1643" t="s">
        <v>20</v>
      </c>
      <c r="G1643" t="s">
        <v>17</v>
      </c>
      <c r="H1643" s="2">
        <v>33.9</v>
      </c>
    </row>
    <row r="1644" spans="1:8">
      <c r="A1644" t="s">
        <v>60</v>
      </c>
      <c r="B1644" t="s">
        <v>61</v>
      </c>
      <c r="C1644" t="s">
        <v>32</v>
      </c>
      <c r="D1644" t="s">
        <v>11</v>
      </c>
      <c r="E1644">
        <v>1991</v>
      </c>
      <c r="F1644" t="s">
        <v>14</v>
      </c>
      <c r="G1644" t="s">
        <v>13</v>
      </c>
      <c r="H1644" s="2">
        <v>25739.52</v>
      </c>
    </row>
    <row r="1645" spans="1:8">
      <c r="A1645" t="s">
        <v>60</v>
      </c>
      <c r="B1645" t="s">
        <v>61</v>
      </c>
      <c r="C1645" t="s">
        <v>32</v>
      </c>
      <c r="D1645" t="s">
        <v>11</v>
      </c>
      <c r="E1645">
        <v>1991</v>
      </c>
      <c r="F1645" t="s">
        <v>16</v>
      </c>
      <c r="G1645" t="s">
        <v>15</v>
      </c>
      <c r="H1645" s="2">
        <v>3011.39</v>
      </c>
    </row>
    <row r="1646" spans="1:8">
      <c r="A1646" t="s">
        <v>60</v>
      </c>
      <c r="B1646" t="s">
        <v>61</v>
      </c>
      <c r="C1646" t="s">
        <v>32</v>
      </c>
      <c r="D1646" t="s">
        <v>11</v>
      </c>
      <c r="E1646">
        <v>1992</v>
      </c>
      <c r="F1646" t="s">
        <v>22</v>
      </c>
      <c r="G1646" t="s">
        <v>19</v>
      </c>
      <c r="H1646" s="2">
        <v>0</v>
      </c>
    </row>
    <row r="1647" spans="1:8">
      <c r="A1647" t="s">
        <v>60</v>
      </c>
      <c r="B1647" t="s">
        <v>61</v>
      </c>
      <c r="C1647" t="s">
        <v>32</v>
      </c>
      <c r="D1647" t="s">
        <v>11</v>
      </c>
      <c r="E1647">
        <v>1992</v>
      </c>
      <c r="F1647" t="s">
        <v>21</v>
      </c>
      <c r="G1647" t="s">
        <v>19</v>
      </c>
      <c r="H1647" s="2">
        <v>0</v>
      </c>
    </row>
    <row r="1648" spans="1:8">
      <c r="A1648" t="s">
        <v>60</v>
      </c>
      <c r="B1648" t="s">
        <v>61</v>
      </c>
      <c r="C1648" t="s">
        <v>32</v>
      </c>
      <c r="D1648" t="s">
        <v>11</v>
      </c>
      <c r="E1648">
        <v>1992</v>
      </c>
      <c r="F1648" t="s">
        <v>16</v>
      </c>
      <c r="G1648" t="s">
        <v>15</v>
      </c>
      <c r="H1648" s="2">
        <v>3827.98</v>
      </c>
    </row>
    <row r="1649" spans="1:8">
      <c r="A1649" t="s">
        <v>60</v>
      </c>
      <c r="B1649" t="s">
        <v>61</v>
      </c>
      <c r="C1649" t="s">
        <v>32</v>
      </c>
      <c r="D1649" t="s">
        <v>11</v>
      </c>
      <c r="E1649">
        <v>1994</v>
      </c>
      <c r="F1649" t="s">
        <v>22</v>
      </c>
      <c r="G1649" t="s">
        <v>19</v>
      </c>
      <c r="H1649" s="2">
        <v>0</v>
      </c>
    </row>
    <row r="1650" spans="1:8">
      <c r="A1650" t="s">
        <v>60</v>
      </c>
      <c r="B1650" t="s">
        <v>61</v>
      </c>
      <c r="C1650" t="s">
        <v>32</v>
      </c>
      <c r="D1650" t="s">
        <v>11</v>
      </c>
      <c r="E1650">
        <v>1994</v>
      </c>
      <c r="F1650" t="s">
        <v>18</v>
      </c>
      <c r="G1650" t="s">
        <v>15</v>
      </c>
      <c r="H1650" s="2">
        <v>1800.87</v>
      </c>
    </row>
    <row r="1651" spans="1:8">
      <c r="A1651" t="s">
        <v>60</v>
      </c>
      <c r="B1651" t="s">
        <v>61</v>
      </c>
      <c r="C1651" t="s">
        <v>32</v>
      </c>
      <c r="D1651" t="s">
        <v>11</v>
      </c>
      <c r="E1651">
        <v>1994</v>
      </c>
      <c r="F1651" t="s">
        <v>20</v>
      </c>
      <c r="G1651" t="s">
        <v>15</v>
      </c>
      <c r="H1651" s="2">
        <v>48.53</v>
      </c>
    </row>
    <row r="1652" spans="1:8">
      <c r="A1652" t="s">
        <v>60</v>
      </c>
      <c r="B1652" t="s">
        <v>61</v>
      </c>
      <c r="C1652" t="s">
        <v>32</v>
      </c>
      <c r="D1652" t="s">
        <v>11</v>
      </c>
      <c r="E1652">
        <v>1994</v>
      </c>
      <c r="F1652" t="s">
        <v>20</v>
      </c>
      <c r="G1652" t="s">
        <v>17</v>
      </c>
      <c r="H1652" s="2">
        <v>45.07</v>
      </c>
    </row>
    <row r="1653" spans="1:8">
      <c r="A1653" t="s">
        <v>60</v>
      </c>
      <c r="B1653" t="s">
        <v>61</v>
      </c>
      <c r="C1653" t="s">
        <v>32</v>
      </c>
      <c r="D1653" t="s">
        <v>11</v>
      </c>
      <c r="E1653">
        <v>1994</v>
      </c>
      <c r="F1653" t="s">
        <v>14</v>
      </c>
      <c r="G1653" t="s">
        <v>17</v>
      </c>
      <c r="H1653" s="2">
        <v>654.20000000000005</v>
      </c>
    </row>
    <row r="1654" spans="1:8">
      <c r="A1654" t="s">
        <v>60</v>
      </c>
      <c r="B1654" t="s">
        <v>61</v>
      </c>
      <c r="C1654" t="s">
        <v>32</v>
      </c>
      <c r="D1654" t="s">
        <v>11</v>
      </c>
      <c r="E1654">
        <v>1994</v>
      </c>
      <c r="F1654" t="s">
        <v>21</v>
      </c>
      <c r="G1654" t="s">
        <v>13</v>
      </c>
      <c r="H1654" s="2">
        <v>10562.02</v>
      </c>
    </row>
    <row r="1655" spans="1:8">
      <c r="A1655" t="s">
        <v>60</v>
      </c>
      <c r="B1655" t="s">
        <v>61</v>
      </c>
      <c r="C1655" t="s">
        <v>32</v>
      </c>
      <c r="D1655" t="s">
        <v>11</v>
      </c>
      <c r="E1655">
        <v>1994</v>
      </c>
      <c r="F1655" t="s">
        <v>16</v>
      </c>
      <c r="G1655" t="s">
        <v>15</v>
      </c>
      <c r="H1655" s="2">
        <v>4279.66</v>
      </c>
    </row>
    <row r="1656" spans="1:8">
      <c r="A1656" t="s">
        <v>60</v>
      </c>
      <c r="B1656" t="s">
        <v>61</v>
      </c>
      <c r="C1656" t="s">
        <v>32</v>
      </c>
      <c r="D1656" t="s">
        <v>11</v>
      </c>
      <c r="E1656">
        <v>1995</v>
      </c>
      <c r="F1656" t="s">
        <v>22</v>
      </c>
      <c r="G1656" t="s">
        <v>15</v>
      </c>
      <c r="H1656" s="2">
        <v>9023.93</v>
      </c>
    </row>
    <row r="1657" spans="1:8">
      <c r="A1657" t="s">
        <v>60</v>
      </c>
      <c r="B1657" t="s">
        <v>61</v>
      </c>
      <c r="C1657" t="s">
        <v>32</v>
      </c>
      <c r="D1657" t="s">
        <v>11</v>
      </c>
      <c r="E1657">
        <v>1995</v>
      </c>
      <c r="F1657" t="s">
        <v>16</v>
      </c>
      <c r="G1657" t="s">
        <v>15</v>
      </c>
      <c r="H1657" s="2">
        <v>3906.45</v>
      </c>
    </row>
    <row r="1658" spans="1:8">
      <c r="A1658" t="s">
        <v>60</v>
      </c>
      <c r="B1658" t="s">
        <v>61</v>
      </c>
      <c r="C1658" t="s">
        <v>32</v>
      </c>
      <c r="D1658" t="s">
        <v>11</v>
      </c>
      <c r="E1658">
        <v>1995</v>
      </c>
      <c r="F1658" t="s">
        <v>16</v>
      </c>
      <c r="G1658" t="s">
        <v>17</v>
      </c>
      <c r="H1658" s="2">
        <v>246.79</v>
      </c>
    </row>
    <row r="1659" spans="1:8">
      <c r="A1659" t="s">
        <v>60</v>
      </c>
      <c r="B1659" t="s">
        <v>61</v>
      </c>
      <c r="C1659" t="s">
        <v>32</v>
      </c>
      <c r="D1659" t="s">
        <v>11</v>
      </c>
      <c r="E1659">
        <v>1996</v>
      </c>
      <c r="F1659" t="s">
        <v>18</v>
      </c>
      <c r="G1659" t="s">
        <v>19</v>
      </c>
      <c r="H1659" s="2">
        <v>1877.96</v>
      </c>
    </row>
    <row r="1660" spans="1:8">
      <c r="A1660" t="s">
        <v>60</v>
      </c>
      <c r="B1660" t="s">
        <v>61</v>
      </c>
      <c r="C1660" t="s">
        <v>32</v>
      </c>
      <c r="D1660" t="s">
        <v>11</v>
      </c>
      <c r="E1660">
        <v>1996</v>
      </c>
      <c r="F1660" t="s">
        <v>20</v>
      </c>
      <c r="G1660" t="s">
        <v>15</v>
      </c>
      <c r="H1660" s="2">
        <v>48.18</v>
      </c>
    </row>
    <row r="1661" spans="1:8">
      <c r="A1661" t="s">
        <v>60</v>
      </c>
      <c r="B1661" t="s">
        <v>61</v>
      </c>
      <c r="C1661" t="s">
        <v>32</v>
      </c>
      <c r="D1661" t="s">
        <v>11</v>
      </c>
      <c r="E1661">
        <v>1996</v>
      </c>
      <c r="F1661" t="s">
        <v>14</v>
      </c>
      <c r="G1661" t="s">
        <v>17</v>
      </c>
      <c r="H1661" s="2">
        <v>711.14</v>
      </c>
    </row>
    <row r="1662" spans="1:8">
      <c r="A1662" t="s">
        <v>60</v>
      </c>
      <c r="B1662" t="s">
        <v>61</v>
      </c>
      <c r="C1662" t="s">
        <v>32</v>
      </c>
      <c r="D1662" t="s">
        <v>11</v>
      </c>
      <c r="E1662">
        <v>1997</v>
      </c>
      <c r="F1662" t="s">
        <v>12</v>
      </c>
      <c r="G1662" t="s">
        <v>13</v>
      </c>
      <c r="H1662" s="2">
        <v>29578.240000000002</v>
      </c>
    </row>
    <row r="1663" spans="1:8">
      <c r="A1663" t="s">
        <v>60</v>
      </c>
      <c r="B1663" t="s">
        <v>61</v>
      </c>
      <c r="C1663" t="s">
        <v>32</v>
      </c>
      <c r="D1663" t="s">
        <v>11</v>
      </c>
      <c r="E1663">
        <v>1997</v>
      </c>
      <c r="F1663" t="s">
        <v>14</v>
      </c>
      <c r="G1663" t="s">
        <v>15</v>
      </c>
      <c r="H1663" s="2">
        <v>968.03</v>
      </c>
    </row>
    <row r="1664" spans="1:8">
      <c r="A1664" t="s">
        <v>60</v>
      </c>
      <c r="B1664" t="s">
        <v>61</v>
      </c>
      <c r="C1664" t="s">
        <v>32</v>
      </c>
      <c r="D1664" t="s">
        <v>11</v>
      </c>
      <c r="E1664">
        <v>1997</v>
      </c>
      <c r="F1664" t="s">
        <v>16</v>
      </c>
      <c r="G1664" t="s">
        <v>19</v>
      </c>
      <c r="H1664" s="2">
        <v>0</v>
      </c>
    </row>
    <row r="1665" spans="1:8">
      <c r="A1665" t="s">
        <v>60</v>
      </c>
      <c r="B1665" t="s">
        <v>61</v>
      </c>
      <c r="C1665" t="s">
        <v>32</v>
      </c>
      <c r="D1665" t="s">
        <v>11</v>
      </c>
      <c r="E1665">
        <v>1998</v>
      </c>
      <c r="F1665" t="s">
        <v>22</v>
      </c>
      <c r="G1665" t="s">
        <v>19</v>
      </c>
      <c r="H1665" s="2">
        <v>0</v>
      </c>
    </row>
    <row r="1666" spans="1:8">
      <c r="A1666" t="s">
        <v>60</v>
      </c>
      <c r="B1666" t="s">
        <v>61</v>
      </c>
      <c r="C1666" t="s">
        <v>32</v>
      </c>
      <c r="D1666" t="s">
        <v>11</v>
      </c>
      <c r="E1666">
        <v>1998</v>
      </c>
      <c r="F1666" t="s">
        <v>21</v>
      </c>
      <c r="G1666" t="s">
        <v>17</v>
      </c>
      <c r="H1666" s="2">
        <v>98.13</v>
      </c>
    </row>
    <row r="1667" spans="1:8">
      <c r="A1667" t="s">
        <v>60</v>
      </c>
      <c r="B1667" t="s">
        <v>61</v>
      </c>
      <c r="C1667" t="s">
        <v>32</v>
      </c>
      <c r="D1667" t="s">
        <v>11</v>
      </c>
      <c r="E1667">
        <v>2000</v>
      </c>
      <c r="F1667" t="s">
        <v>20</v>
      </c>
      <c r="G1667" t="s">
        <v>13</v>
      </c>
      <c r="H1667" s="2">
        <v>4611.47</v>
      </c>
    </row>
    <row r="1668" spans="1:8">
      <c r="A1668" t="s">
        <v>60</v>
      </c>
      <c r="B1668" t="s">
        <v>61</v>
      </c>
      <c r="C1668" t="s">
        <v>32</v>
      </c>
      <c r="D1668" t="s">
        <v>11</v>
      </c>
      <c r="E1668">
        <v>2000</v>
      </c>
      <c r="F1668" t="s">
        <v>20</v>
      </c>
      <c r="G1668" t="s">
        <v>19</v>
      </c>
      <c r="H1668" s="2">
        <v>0</v>
      </c>
    </row>
    <row r="1669" spans="1:8">
      <c r="A1669" t="s">
        <v>60</v>
      </c>
      <c r="B1669" t="s">
        <v>61</v>
      </c>
      <c r="C1669" t="s">
        <v>32</v>
      </c>
      <c r="D1669" t="s">
        <v>11</v>
      </c>
      <c r="E1669">
        <v>2000</v>
      </c>
      <c r="F1669" t="s">
        <v>16</v>
      </c>
      <c r="G1669" t="s">
        <v>17</v>
      </c>
      <c r="H1669" s="2">
        <v>298.20999999999998</v>
      </c>
    </row>
    <row r="1670" spans="1:8">
      <c r="A1670" t="s">
        <v>60</v>
      </c>
      <c r="B1670" t="s">
        <v>61</v>
      </c>
      <c r="C1670" t="s">
        <v>32</v>
      </c>
      <c r="D1670" t="s">
        <v>11</v>
      </c>
      <c r="E1670">
        <v>2001</v>
      </c>
      <c r="F1670" t="s">
        <v>22</v>
      </c>
      <c r="G1670" t="s">
        <v>19</v>
      </c>
      <c r="H1670" s="2">
        <v>0</v>
      </c>
    </row>
    <row r="1671" spans="1:8">
      <c r="A1671" t="s">
        <v>60</v>
      </c>
      <c r="B1671" t="s">
        <v>61</v>
      </c>
      <c r="C1671" t="s">
        <v>32</v>
      </c>
      <c r="D1671" t="s">
        <v>11</v>
      </c>
      <c r="E1671">
        <v>2001</v>
      </c>
      <c r="F1671" t="s">
        <v>18</v>
      </c>
      <c r="G1671" t="s">
        <v>15</v>
      </c>
      <c r="H1671" s="2">
        <v>2164.69</v>
      </c>
    </row>
    <row r="1672" spans="1:8">
      <c r="A1672" t="s">
        <v>60</v>
      </c>
      <c r="B1672" t="s">
        <v>61</v>
      </c>
      <c r="C1672" t="s">
        <v>32</v>
      </c>
      <c r="D1672" t="s">
        <v>11</v>
      </c>
      <c r="E1672">
        <v>2001</v>
      </c>
      <c r="F1672" t="s">
        <v>20</v>
      </c>
      <c r="G1672" t="s">
        <v>13</v>
      </c>
      <c r="H1672" s="2">
        <v>4801.95</v>
      </c>
    </row>
    <row r="1673" spans="1:8">
      <c r="A1673" t="s">
        <v>60</v>
      </c>
      <c r="B1673" t="s">
        <v>61</v>
      </c>
      <c r="C1673" t="s">
        <v>32</v>
      </c>
      <c r="D1673" t="s">
        <v>11</v>
      </c>
      <c r="E1673">
        <v>2001</v>
      </c>
      <c r="F1673" t="s">
        <v>21</v>
      </c>
      <c r="G1673" t="s">
        <v>15</v>
      </c>
      <c r="H1673" s="2">
        <v>233.75</v>
      </c>
    </row>
    <row r="1674" spans="1:8">
      <c r="A1674" t="s">
        <v>60</v>
      </c>
      <c r="B1674" t="s">
        <v>61</v>
      </c>
      <c r="C1674" t="s">
        <v>32</v>
      </c>
      <c r="D1674" t="s">
        <v>11</v>
      </c>
      <c r="E1674">
        <v>2001</v>
      </c>
      <c r="F1674" t="s">
        <v>21</v>
      </c>
      <c r="G1674" t="s">
        <v>19</v>
      </c>
      <c r="H1674" s="2">
        <v>0</v>
      </c>
    </row>
    <row r="1675" spans="1:8">
      <c r="A1675" t="s">
        <v>60</v>
      </c>
      <c r="B1675" t="s">
        <v>61</v>
      </c>
      <c r="C1675" t="s">
        <v>32</v>
      </c>
      <c r="D1675" t="s">
        <v>11</v>
      </c>
      <c r="E1675">
        <v>2002</v>
      </c>
      <c r="F1675" t="s">
        <v>20</v>
      </c>
      <c r="G1675" t="s">
        <v>15</v>
      </c>
      <c r="H1675" s="2">
        <v>50.18</v>
      </c>
    </row>
    <row r="1676" spans="1:8">
      <c r="A1676" t="s">
        <v>60</v>
      </c>
      <c r="B1676" t="s">
        <v>61</v>
      </c>
      <c r="C1676" t="s">
        <v>32</v>
      </c>
      <c r="D1676" t="s">
        <v>11</v>
      </c>
      <c r="E1676">
        <v>2002</v>
      </c>
      <c r="F1676" t="s">
        <v>20</v>
      </c>
      <c r="G1676" t="s">
        <v>13</v>
      </c>
      <c r="H1676" s="2">
        <v>5300.8</v>
      </c>
    </row>
    <row r="1677" spans="1:8">
      <c r="A1677" t="s">
        <v>60</v>
      </c>
      <c r="B1677" t="s">
        <v>61</v>
      </c>
      <c r="C1677" t="s">
        <v>32</v>
      </c>
      <c r="D1677" t="s">
        <v>11</v>
      </c>
      <c r="E1677">
        <v>2002</v>
      </c>
      <c r="F1677" t="s">
        <v>16</v>
      </c>
      <c r="G1677" t="s">
        <v>17</v>
      </c>
      <c r="H1677" s="2">
        <v>286.02</v>
      </c>
    </row>
    <row r="1678" spans="1:8">
      <c r="A1678" t="s">
        <v>60</v>
      </c>
      <c r="B1678" t="s">
        <v>61</v>
      </c>
      <c r="C1678" t="s">
        <v>32</v>
      </c>
      <c r="D1678" t="s">
        <v>11</v>
      </c>
      <c r="E1678">
        <v>2003</v>
      </c>
      <c r="F1678" t="s">
        <v>22</v>
      </c>
      <c r="G1678" t="s">
        <v>17</v>
      </c>
      <c r="H1678" s="2">
        <v>3311.51</v>
      </c>
    </row>
    <row r="1679" spans="1:8">
      <c r="A1679" t="s">
        <v>60</v>
      </c>
      <c r="B1679" t="s">
        <v>61</v>
      </c>
      <c r="C1679" t="s">
        <v>32</v>
      </c>
      <c r="D1679" t="s">
        <v>11</v>
      </c>
      <c r="E1679">
        <v>2003</v>
      </c>
      <c r="F1679" t="s">
        <v>18</v>
      </c>
      <c r="G1679" t="s">
        <v>17</v>
      </c>
      <c r="H1679" s="2">
        <v>2251.34</v>
      </c>
    </row>
    <row r="1680" spans="1:8">
      <c r="A1680" t="s">
        <v>60</v>
      </c>
      <c r="B1680" t="s">
        <v>61</v>
      </c>
      <c r="C1680" t="s">
        <v>32</v>
      </c>
      <c r="D1680" t="s">
        <v>11</v>
      </c>
      <c r="E1680">
        <v>2003</v>
      </c>
      <c r="F1680" t="s">
        <v>20</v>
      </c>
      <c r="G1680" t="s">
        <v>17</v>
      </c>
      <c r="H1680" s="2">
        <v>49.43</v>
      </c>
    </row>
    <row r="1681" spans="1:8">
      <c r="A1681" t="s">
        <v>60</v>
      </c>
      <c r="B1681" t="s">
        <v>61</v>
      </c>
      <c r="C1681" t="s">
        <v>32</v>
      </c>
      <c r="D1681" t="s">
        <v>11</v>
      </c>
      <c r="E1681">
        <v>2003</v>
      </c>
      <c r="F1681" t="s">
        <v>16</v>
      </c>
      <c r="G1681" t="s">
        <v>17</v>
      </c>
      <c r="H1681" s="2">
        <v>312.18</v>
      </c>
    </row>
    <row r="1682" spans="1:8">
      <c r="A1682" t="s">
        <v>60</v>
      </c>
      <c r="B1682" t="s">
        <v>61</v>
      </c>
      <c r="C1682" t="s">
        <v>32</v>
      </c>
      <c r="D1682" t="s">
        <v>11</v>
      </c>
      <c r="E1682">
        <v>2004</v>
      </c>
      <c r="F1682" t="s">
        <v>20</v>
      </c>
      <c r="G1682" t="s">
        <v>15</v>
      </c>
      <c r="H1682" s="2">
        <v>52.37</v>
      </c>
    </row>
    <row r="1683" spans="1:8">
      <c r="A1683" t="s">
        <v>60</v>
      </c>
      <c r="B1683" t="s">
        <v>61</v>
      </c>
      <c r="C1683" t="s">
        <v>32</v>
      </c>
      <c r="D1683" t="s">
        <v>11</v>
      </c>
      <c r="E1683">
        <v>2004</v>
      </c>
      <c r="F1683" t="s">
        <v>14</v>
      </c>
      <c r="G1683" t="s">
        <v>15</v>
      </c>
      <c r="H1683" s="2">
        <v>1248.67</v>
      </c>
    </row>
    <row r="1684" spans="1:8">
      <c r="A1684" t="s">
        <v>60</v>
      </c>
      <c r="B1684" t="s">
        <v>61</v>
      </c>
      <c r="C1684" t="s">
        <v>32</v>
      </c>
      <c r="D1684" t="s">
        <v>11</v>
      </c>
      <c r="E1684">
        <v>2005</v>
      </c>
      <c r="F1684" t="s">
        <v>21</v>
      </c>
      <c r="G1684" t="s">
        <v>19</v>
      </c>
      <c r="H1684" s="2">
        <v>0</v>
      </c>
    </row>
    <row r="1685" spans="1:8">
      <c r="A1685" t="s">
        <v>60</v>
      </c>
      <c r="B1685" t="s">
        <v>61</v>
      </c>
      <c r="C1685" t="s">
        <v>32</v>
      </c>
      <c r="D1685" t="s">
        <v>11</v>
      </c>
      <c r="E1685">
        <v>2005</v>
      </c>
      <c r="F1685" t="s">
        <v>16</v>
      </c>
      <c r="G1685" t="s">
        <v>13</v>
      </c>
      <c r="H1685" s="2">
        <v>977.06</v>
      </c>
    </row>
    <row r="1686" spans="1:8">
      <c r="A1686" t="s">
        <v>60</v>
      </c>
      <c r="B1686" t="s">
        <v>61</v>
      </c>
      <c r="C1686" t="s">
        <v>32</v>
      </c>
      <c r="D1686" t="s">
        <v>11</v>
      </c>
      <c r="E1686">
        <v>2005</v>
      </c>
      <c r="F1686" t="s">
        <v>16</v>
      </c>
      <c r="G1686" t="s">
        <v>17</v>
      </c>
      <c r="H1686" s="2">
        <v>322.27999999999997</v>
      </c>
    </row>
    <row r="1687" spans="1:8">
      <c r="A1687" t="s">
        <v>60</v>
      </c>
      <c r="B1687" t="s">
        <v>61</v>
      </c>
      <c r="C1687" t="s">
        <v>32</v>
      </c>
      <c r="D1687" t="s">
        <v>11</v>
      </c>
      <c r="E1687">
        <v>2006</v>
      </c>
      <c r="F1687" t="s">
        <v>21</v>
      </c>
      <c r="G1687" t="s">
        <v>15</v>
      </c>
      <c r="H1687" s="2">
        <v>250.05</v>
      </c>
    </row>
    <row r="1688" spans="1:8">
      <c r="A1688" t="s">
        <v>60</v>
      </c>
      <c r="B1688" t="s">
        <v>61</v>
      </c>
      <c r="C1688" t="s">
        <v>32</v>
      </c>
      <c r="D1688" t="s">
        <v>11</v>
      </c>
      <c r="E1688">
        <v>2006</v>
      </c>
      <c r="F1688" t="s">
        <v>21</v>
      </c>
      <c r="G1688" t="s">
        <v>19</v>
      </c>
      <c r="H1688" s="2">
        <v>0</v>
      </c>
    </row>
    <row r="1689" spans="1:8">
      <c r="A1689" t="s">
        <v>60</v>
      </c>
      <c r="B1689" t="s">
        <v>61</v>
      </c>
      <c r="C1689" t="s">
        <v>32</v>
      </c>
      <c r="D1689" t="s">
        <v>11</v>
      </c>
      <c r="E1689">
        <v>2007</v>
      </c>
      <c r="F1689" t="s">
        <v>12</v>
      </c>
      <c r="G1689" t="s">
        <v>19</v>
      </c>
      <c r="H1689" s="2">
        <v>0</v>
      </c>
    </row>
    <row r="1690" spans="1:8">
      <c r="A1690" t="s">
        <v>60</v>
      </c>
      <c r="B1690" t="s">
        <v>61</v>
      </c>
      <c r="C1690" t="s">
        <v>32</v>
      </c>
      <c r="D1690" t="s">
        <v>11</v>
      </c>
      <c r="E1690">
        <v>2007</v>
      </c>
      <c r="F1690" t="s">
        <v>14</v>
      </c>
      <c r="G1690" t="s">
        <v>13</v>
      </c>
      <c r="H1690" s="2">
        <v>40490.699999999997</v>
      </c>
    </row>
    <row r="1691" spans="1:8">
      <c r="A1691" t="s">
        <v>60</v>
      </c>
      <c r="B1691" t="s">
        <v>61</v>
      </c>
      <c r="C1691" t="s">
        <v>32</v>
      </c>
      <c r="D1691" t="s">
        <v>11</v>
      </c>
      <c r="E1691">
        <v>2007</v>
      </c>
      <c r="F1691" t="s">
        <v>14</v>
      </c>
      <c r="G1691" t="s">
        <v>17</v>
      </c>
      <c r="H1691" s="2">
        <v>770.12</v>
      </c>
    </row>
    <row r="1692" spans="1:8">
      <c r="A1692" t="s">
        <v>60</v>
      </c>
      <c r="B1692" t="s">
        <v>61</v>
      </c>
      <c r="C1692" t="s">
        <v>32</v>
      </c>
      <c r="D1692" t="s">
        <v>11</v>
      </c>
      <c r="E1692">
        <v>2007</v>
      </c>
      <c r="F1692" t="s">
        <v>16</v>
      </c>
      <c r="G1692" t="s">
        <v>17</v>
      </c>
      <c r="H1692" s="2">
        <v>329.07</v>
      </c>
    </row>
    <row r="1693" spans="1:8">
      <c r="A1693" t="s">
        <v>60</v>
      </c>
      <c r="B1693" t="s">
        <v>61</v>
      </c>
      <c r="C1693" t="s">
        <v>32</v>
      </c>
      <c r="D1693" t="s">
        <v>11</v>
      </c>
      <c r="E1693">
        <v>2008</v>
      </c>
      <c r="F1693" t="s">
        <v>20</v>
      </c>
      <c r="G1693" t="s">
        <v>17</v>
      </c>
      <c r="H1693" s="2">
        <v>58.73</v>
      </c>
    </row>
    <row r="1694" spans="1:8">
      <c r="A1694" t="s">
        <v>60</v>
      </c>
      <c r="B1694" t="s">
        <v>61</v>
      </c>
      <c r="C1694" t="s">
        <v>32</v>
      </c>
      <c r="D1694" t="s">
        <v>11</v>
      </c>
      <c r="E1694">
        <v>2008</v>
      </c>
      <c r="F1694" t="s">
        <v>21</v>
      </c>
      <c r="G1694" t="s">
        <v>15</v>
      </c>
      <c r="H1694" s="2">
        <v>264.60000000000002</v>
      </c>
    </row>
    <row r="1695" spans="1:8">
      <c r="A1695" t="s">
        <v>60</v>
      </c>
      <c r="B1695" t="s">
        <v>61</v>
      </c>
      <c r="C1695" t="s">
        <v>32</v>
      </c>
      <c r="D1695" t="s">
        <v>11</v>
      </c>
      <c r="E1695">
        <v>2008</v>
      </c>
      <c r="F1695" t="s">
        <v>21</v>
      </c>
      <c r="G1695" t="s">
        <v>17</v>
      </c>
      <c r="H1695" s="2">
        <v>141.66999999999999</v>
      </c>
    </row>
    <row r="1696" spans="1:8">
      <c r="A1696" t="s">
        <v>60</v>
      </c>
      <c r="B1696" t="s">
        <v>61</v>
      </c>
      <c r="C1696" t="s">
        <v>32</v>
      </c>
      <c r="D1696" t="s">
        <v>11</v>
      </c>
      <c r="E1696">
        <v>2008</v>
      </c>
      <c r="F1696" t="s">
        <v>16</v>
      </c>
      <c r="G1696" t="s">
        <v>13</v>
      </c>
      <c r="H1696" s="2">
        <v>1065.8800000000001</v>
      </c>
    </row>
    <row r="1697" spans="1:8">
      <c r="A1697" t="s">
        <v>60</v>
      </c>
      <c r="B1697" t="s">
        <v>61</v>
      </c>
      <c r="C1697" t="s">
        <v>32</v>
      </c>
      <c r="D1697" t="s">
        <v>11</v>
      </c>
      <c r="E1697">
        <v>2010</v>
      </c>
      <c r="F1697" t="s">
        <v>20</v>
      </c>
      <c r="G1697" t="s">
        <v>15</v>
      </c>
      <c r="H1697" s="2">
        <v>66.349999999999994</v>
      </c>
    </row>
    <row r="1698" spans="1:8">
      <c r="A1698" t="s">
        <v>60</v>
      </c>
      <c r="B1698" t="s">
        <v>61</v>
      </c>
      <c r="C1698" t="s">
        <v>32</v>
      </c>
      <c r="D1698" t="s">
        <v>11</v>
      </c>
      <c r="E1698">
        <v>2011</v>
      </c>
      <c r="F1698" t="s">
        <v>18</v>
      </c>
      <c r="G1698" t="s">
        <v>19</v>
      </c>
      <c r="H1698" s="2">
        <v>2303.85</v>
      </c>
    </row>
    <row r="1699" spans="1:8">
      <c r="A1699" t="s">
        <v>60</v>
      </c>
      <c r="B1699" t="s">
        <v>61</v>
      </c>
      <c r="C1699" t="s">
        <v>32</v>
      </c>
      <c r="D1699" t="s">
        <v>11</v>
      </c>
      <c r="E1699">
        <v>2011</v>
      </c>
      <c r="F1699" t="s">
        <v>20</v>
      </c>
      <c r="G1699" t="s">
        <v>19</v>
      </c>
      <c r="H1699" s="2">
        <v>0</v>
      </c>
    </row>
    <row r="1700" spans="1:8">
      <c r="A1700" t="s">
        <v>60</v>
      </c>
      <c r="B1700" t="s">
        <v>61</v>
      </c>
      <c r="C1700" t="s">
        <v>32</v>
      </c>
      <c r="D1700" t="s">
        <v>11</v>
      </c>
      <c r="E1700">
        <v>2012</v>
      </c>
      <c r="F1700" t="s">
        <v>22</v>
      </c>
      <c r="G1700" t="s">
        <v>19</v>
      </c>
      <c r="H1700" s="2">
        <v>0</v>
      </c>
    </row>
    <row r="1701" spans="1:8">
      <c r="A1701" t="s">
        <v>60</v>
      </c>
      <c r="B1701" t="s">
        <v>61</v>
      </c>
      <c r="C1701" t="s">
        <v>32</v>
      </c>
      <c r="D1701" t="s">
        <v>11</v>
      </c>
      <c r="E1701">
        <v>2012</v>
      </c>
      <c r="F1701" t="s">
        <v>12</v>
      </c>
      <c r="G1701" t="s">
        <v>19</v>
      </c>
      <c r="H1701" s="2">
        <v>0</v>
      </c>
    </row>
    <row r="1702" spans="1:8">
      <c r="A1702" t="s">
        <v>60</v>
      </c>
      <c r="B1702" t="s">
        <v>61</v>
      </c>
      <c r="C1702" t="s">
        <v>32</v>
      </c>
      <c r="D1702" t="s">
        <v>11</v>
      </c>
      <c r="E1702">
        <v>2013</v>
      </c>
      <c r="F1702" t="s">
        <v>22</v>
      </c>
      <c r="G1702" t="s">
        <v>15</v>
      </c>
      <c r="H1702" s="2">
        <v>12986.62</v>
      </c>
    </row>
    <row r="1703" spans="1:8">
      <c r="A1703" t="s">
        <v>60</v>
      </c>
      <c r="B1703" t="s">
        <v>61</v>
      </c>
      <c r="C1703" t="s">
        <v>32</v>
      </c>
      <c r="D1703" t="s">
        <v>11</v>
      </c>
      <c r="E1703">
        <v>2013</v>
      </c>
      <c r="F1703" t="s">
        <v>12</v>
      </c>
      <c r="G1703" t="s">
        <v>19</v>
      </c>
      <c r="H1703" s="2">
        <v>0</v>
      </c>
    </row>
    <row r="1704" spans="1:8">
      <c r="A1704" t="s">
        <v>60</v>
      </c>
      <c r="B1704" t="s">
        <v>61</v>
      </c>
      <c r="C1704" t="s">
        <v>32</v>
      </c>
      <c r="D1704" t="s">
        <v>11</v>
      </c>
      <c r="E1704">
        <v>2013</v>
      </c>
      <c r="F1704" t="s">
        <v>18</v>
      </c>
      <c r="G1704" t="s">
        <v>13</v>
      </c>
      <c r="H1704" s="2">
        <v>43589.84</v>
      </c>
    </row>
    <row r="1705" spans="1:8">
      <c r="A1705" t="s">
        <v>60</v>
      </c>
      <c r="B1705" t="s">
        <v>61</v>
      </c>
      <c r="C1705" t="s">
        <v>32</v>
      </c>
      <c r="D1705" t="s">
        <v>11</v>
      </c>
      <c r="E1705">
        <v>2014</v>
      </c>
      <c r="F1705" t="s">
        <v>20</v>
      </c>
      <c r="G1705" t="s">
        <v>19</v>
      </c>
      <c r="H1705" s="2">
        <v>0</v>
      </c>
    </row>
    <row r="1706" spans="1:8">
      <c r="A1706" t="s">
        <v>60</v>
      </c>
      <c r="B1706" t="s">
        <v>61</v>
      </c>
      <c r="C1706" t="s">
        <v>32</v>
      </c>
      <c r="D1706" t="s">
        <v>11</v>
      </c>
      <c r="E1706">
        <v>2014</v>
      </c>
      <c r="F1706" t="s">
        <v>21</v>
      </c>
      <c r="G1706" t="s">
        <v>15</v>
      </c>
      <c r="H1706" s="2">
        <v>253.37</v>
      </c>
    </row>
    <row r="1707" spans="1:8">
      <c r="A1707" t="s">
        <v>60</v>
      </c>
      <c r="B1707" t="s">
        <v>61</v>
      </c>
      <c r="C1707" t="s">
        <v>32</v>
      </c>
      <c r="D1707" t="s">
        <v>11</v>
      </c>
      <c r="E1707">
        <v>2014</v>
      </c>
      <c r="F1707" t="s">
        <v>21</v>
      </c>
      <c r="G1707" t="s">
        <v>13</v>
      </c>
      <c r="H1707" s="2">
        <v>14598.17</v>
      </c>
    </row>
    <row r="1708" spans="1:8">
      <c r="A1708" t="s">
        <v>60</v>
      </c>
      <c r="B1708" t="s">
        <v>61</v>
      </c>
      <c r="C1708" t="s">
        <v>32</v>
      </c>
      <c r="D1708" t="s">
        <v>11</v>
      </c>
      <c r="E1708">
        <v>2014</v>
      </c>
      <c r="F1708" t="s">
        <v>16</v>
      </c>
      <c r="G1708" t="s">
        <v>15</v>
      </c>
      <c r="H1708" s="2">
        <v>5256.96</v>
      </c>
    </row>
    <row r="1709" spans="1:8">
      <c r="A1709" t="s">
        <v>60</v>
      </c>
      <c r="B1709" t="s">
        <v>61</v>
      </c>
      <c r="C1709" t="s">
        <v>32</v>
      </c>
      <c r="D1709" t="s">
        <v>11</v>
      </c>
      <c r="E1709">
        <v>2015</v>
      </c>
      <c r="F1709" t="s">
        <v>18</v>
      </c>
      <c r="G1709" t="s">
        <v>15</v>
      </c>
      <c r="H1709" s="2">
        <v>2503.69</v>
      </c>
    </row>
    <row r="1710" spans="1:8">
      <c r="A1710" t="s">
        <v>60</v>
      </c>
      <c r="B1710" t="s">
        <v>61</v>
      </c>
      <c r="C1710" t="s">
        <v>32</v>
      </c>
      <c r="D1710" t="s">
        <v>11</v>
      </c>
      <c r="E1710">
        <v>2015</v>
      </c>
      <c r="F1710" t="s">
        <v>16</v>
      </c>
      <c r="G1710" t="s">
        <v>13</v>
      </c>
      <c r="H1710" s="2">
        <v>1105.8800000000001</v>
      </c>
    </row>
    <row r="1711" spans="1:8">
      <c r="A1711" t="s">
        <v>60</v>
      </c>
      <c r="B1711" t="s">
        <v>61</v>
      </c>
      <c r="C1711" t="s">
        <v>32</v>
      </c>
      <c r="D1711" t="s">
        <v>11</v>
      </c>
      <c r="E1711">
        <v>2015</v>
      </c>
      <c r="F1711" t="s">
        <v>16</v>
      </c>
      <c r="G1711" t="s">
        <v>17</v>
      </c>
      <c r="H1711" s="2">
        <v>333.63</v>
      </c>
    </row>
    <row r="1712" spans="1:8">
      <c r="A1712" t="s">
        <v>60</v>
      </c>
      <c r="B1712" t="s">
        <v>61</v>
      </c>
      <c r="C1712" t="s">
        <v>32</v>
      </c>
      <c r="D1712" t="s">
        <v>11</v>
      </c>
      <c r="E1712">
        <v>2016</v>
      </c>
      <c r="F1712" t="s">
        <v>22</v>
      </c>
      <c r="G1712" t="s">
        <v>19</v>
      </c>
      <c r="H1712" s="2">
        <v>0</v>
      </c>
    </row>
    <row r="1713" spans="1:8">
      <c r="A1713" t="s">
        <v>60</v>
      </c>
      <c r="B1713" t="s">
        <v>61</v>
      </c>
      <c r="C1713" t="s">
        <v>32</v>
      </c>
      <c r="D1713" t="s">
        <v>11</v>
      </c>
      <c r="E1713">
        <v>2016</v>
      </c>
      <c r="F1713" t="s">
        <v>12</v>
      </c>
      <c r="G1713" t="s">
        <v>19</v>
      </c>
      <c r="H1713" s="2">
        <v>0</v>
      </c>
    </row>
    <row r="1714" spans="1:8">
      <c r="A1714" t="s">
        <v>60</v>
      </c>
      <c r="B1714" t="s">
        <v>61</v>
      </c>
      <c r="C1714" t="s">
        <v>32</v>
      </c>
      <c r="D1714" t="s">
        <v>11</v>
      </c>
      <c r="E1714">
        <v>2016</v>
      </c>
      <c r="F1714" t="s">
        <v>18</v>
      </c>
      <c r="G1714" t="s">
        <v>17</v>
      </c>
      <c r="H1714" s="2">
        <v>2578.94</v>
      </c>
    </row>
    <row r="1715" spans="1:8">
      <c r="A1715" t="s">
        <v>60</v>
      </c>
      <c r="B1715" t="s">
        <v>61</v>
      </c>
      <c r="C1715" t="s">
        <v>32</v>
      </c>
      <c r="D1715" t="s">
        <v>11</v>
      </c>
      <c r="E1715">
        <v>2016</v>
      </c>
      <c r="F1715" t="s">
        <v>14</v>
      </c>
      <c r="G1715" t="s">
        <v>17</v>
      </c>
      <c r="H1715" s="2">
        <v>975.75</v>
      </c>
    </row>
    <row r="1716" spans="1:8">
      <c r="A1716" t="s">
        <v>60</v>
      </c>
      <c r="B1716" t="s">
        <v>61</v>
      </c>
      <c r="C1716" t="s">
        <v>32</v>
      </c>
      <c r="D1716" t="s">
        <v>11</v>
      </c>
      <c r="E1716">
        <v>2016</v>
      </c>
      <c r="F1716" t="s">
        <v>21</v>
      </c>
      <c r="G1716" t="s">
        <v>19</v>
      </c>
      <c r="H1716" s="2">
        <v>0</v>
      </c>
    </row>
    <row r="1717" spans="1:8">
      <c r="A1717" t="s">
        <v>60</v>
      </c>
      <c r="B1717" t="s">
        <v>61</v>
      </c>
      <c r="C1717" t="s">
        <v>32</v>
      </c>
      <c r="D1717" t="s">
        <v>11</v>
      </c>
      <c r="E1717">
        <v>2017</v>
      </c>
      <c r="F1717" t="s">
        <v>21</v>
      </c>
      <c r="G1717" t="s">
        <v>17</v>
      </c>
      <c r="H1717" s="2">
        <v>127.3</v>
      </c>
    </row>
    <row r="1718" spans="1:8">
      <c r="A1718" t="s">
        <v>60</v>
      </c>
      <c r="B1718" t="s">
        <v>61</v>
      </c>
      <c r="C1718" t="s">
        <v>32</v>
      </c>
      <c r="D1718" t="s">
        <v>11</v>
      </c>
      <c r="E1718">
        <v>2018</v>
      </c>
      <c r="F1718" t="s">
        <v>22</v>
      </c>
      <c r="G1718" t="s">
        <v>17</v>
      </c>
      <c r="H1718" s="2">
        <v>2975.08</v>
      </c>
    </row>
    <row r="1719" spans="1:8">
      <c r="A1719" t="s">
        <v>60</v>
      </c>
      <c r="B1719" t="s">
        <v>61</v>
      </c>
      <c r="C1719" t="s">
        <v>32</v>
      </c>
      <c r="D1719" t="s">
        <v>11</v>
      </c>
      <c r="E1719">
        <v>2018</v>
      </c>
      <c r="F1719" t="s">
        <v>20</v>
      </c>
      <c r="G1719" t="s">
        <v>19</v>
      </c>
      <c r="H1719" s="2">
        <v>0</v>
      </c>
    </row>
    <row r="1720" spans="1:8">
      <c r="A1720" t="s">
        <v>60</v>
      </c>
      <c r="B1720" t="s">
        <v>61</v>
      </c>
      <c r="C1720" t="s">
        <v>32</v>
      </c>
      <c r="D1720" t="s">
        <v>11</v>
      </c>
      <c r="E1720">
        <v>2018</v>
      </c>
      <c r="F1720" t="s">
        <v>21</v>
      </c>
      <c r="G1720" t="s">
        <v>15</v>
      </c>
      <c r="H1720" s="2">
        <v>230.46</v>
      </c>
    </row>
    <row r="1721" spans="1:8">
      <c r="A1721" t="s">
        <v>60</v>
      </c>
      <c r="B1721" t="s">
        <v>61</v>
      </c>
      <c r="C1721" t="s">
        <v>32</v>
      </c>
      <c r="D1721" t="s">
        <v>11</v>
      </c>
      <c r="E1721">
        <v>2018</v>
      </c>
      <c r="F1721" t="s">
        <v>16</v>
      </c>
      <c r="G1721" t="s">
        <v>13</v>
      </c>
      <c r="H1721" s="2">
        <v>880.89</v>
      </c>
    </row>
    <row r="1722" spans="1:8">
      <c r="A1722" t="s">
        <v>60</v>
      </c>
      <c r="B1722" t="s">
        <v>61</v>
      </c>
      <c r="C1722" t="s">
        <v>32</v>
      </c>
      <c r="D1722" t="s">
        <v>11</v>
      </c>
      <c r="E1722">
        <v>2019</v>
      </c>
      <c r="F1722" t="s">
        <v>21</v>
      </c>
      <c r="G1722" t="s">
        <v>13</v>
      </c>
      <c r="H1722" s="2">
        <v>12273.1</v>
      </c>
    </row>
    <row r="1723" spans="1:8">
      <c r="A1723" t="s">
        <v>60</v>
      </c>
      <c r="B1723" t="s">
        <v>61</v>
      </c>
      <c r="C1723" t="s">
        <v>32</v>
      </c>
      <c r="D1723" t="s">
        <v>11</v>
      </c>
      <c r="E1723">
        <v>2020</v>
      </c>
      <c r="F1723" t="s">
        <v>22</v>
      </c>
      <c r="G1723" t="s">
        <v>17</v>
      </c>
      <c r="H1723" s="2">
        <v>3568.67</v>
      </c>
    </row>
    <row r="1724" spans="1:8">
      <c r="A1724" t="s">
        <v>60</v>
      </c>
      <c r="B1724" t="s">
        <v>61</v>
      </c>
      <c r="C1724" t="s">
        <v>32</v>
      </c>
      <c r="D1724" t="s">
        <v>11</v>
      </c>
      <c r="E1724">
        <v>2020</v>
      </c>
      <c r="F1724" t="s">
        <v>21</v>
      </c>
      <c r="G1724" t="s">
        <v>15</v>
      </c>
      <c r="H1724" s="2">
        <v>275.44</v>
      </c>
    </row>
    <row r="1725" spans="1:8">
      <c r="A1725" t="s">
        <v>60</v>
      </c>
      <c r="B1725" t="s">
        <v>61</v>
      </c>
      <c r="C1725" t="s">
        <v>32</v>
      </c>
      <c r="D1725" t="s">
        <v>11</v>
      </c>
      <c r="E1725">
        <v>2020</v>
      </c>
      <c r="F1725" t="s">
        <v>21</v>
      </c>
      <c r="G1725" t="s">
        <v>19</v>
      </c>
      <c r="H1725" s="2">
        <v>0</v>
      </c>
    </row>
    <row r="1726" spans="1:8">
      <c r="A1726" t="s">
        <v>60</v>
      </c>
      <c r="B1726" t="s">
        <v>61</v>
      </c>
      <c r="C1726" t="s">
        <v>32</v>
      </c>
      <c r="D1726" t="s">
        <v>11</v>
      </c>
      <c r="E1726">
        <v>2021</v>
      </c>
      <c r="F1726" t="s">
        <v>12</v>
      </c>
      <c r="G1726" t="s">
        <v>13</v>
      </c>
      <c r="H1726" s="2">
        <v>37614.33</v>
      </c>
    </row>
    <row r="1727" spans="1:8">
      <c r="A1727" t="s">
        <v>60</v>
      </c>
      <c r="B1727" t="s">
        <v>61</v>
      </c>
      <c r="C1727" t="s">
        <v>32</v>
      </c>
      <c r="D1727" t="s">
        <v>11</v>
      </c>
      <c r="E1727">
        <v>2021</v>
      </c>
      <c r="F1727" t="s">
        <v>14</v>
      </c>
      <c r="G1727" t="s">
        <v>17</v>
      </c>
      <c r="H1727" s="2">
        <v>958.21</v>
      </c>
    </row>
    <row r="1728" spans="1:8">
      <c r="A1728" t="s">
        <v>60</v>
      </c>
      <c r="B1728" t="s">
        <v>61</v>
      </c>
      <c r="C1728" t="s">
        <v>32</v>
      </c>
      <c r="D1728" t="s">
        <v>11</v>
      </c>
      <c r="E1728">
        <v>2021</v>
      </c>
      <c r="F1728" t="s">
        <v>16</v>
      </c>
      <c r="G1728" t="s">
        <v>15</v>
      </c>
      <c r="H1728" s="2">
        <v>5364.93</v>
      </c>
    </row>
    <row r="1729" spans="1:8">
      <c r="A1729" t="s">
        <v>60</v>
      </c>
      <c r="B1729" t="s">
        <v>61</v>
      </c>
      <c r="C1729" t="s">
        <v>32</v>
      </c>
      <c r="D1729" t="s">
        <v>11</v>
      </c>
      <c r="E1729">
        <v>2021</v>
      </c>
      <c r="F1729" t="s">
        <v>16</v>
      </c>
      <c r="G1729" t="s">
        <v>17</v>
      </c>
      <c r="H1729" s="2">
        <v>328.62</v>
      </c>
    </row>
    <row r="1730" spans="1:8">
      <c r="A1730" t="s">
        <v>60</v>
      </c>
      <c r="B1730" t="s">
        <v>61</v>
      </c>
      <c r="C1730" t="s">
        <v>32</v>
      </c>
      <c r="D1730" t="s">
        <v>11</v>
      </c>
      <c r="E1730">
        <v>2022</v>
      </c>
      <c r="F1730" t="s">
        <v>22</v>
      </c>
      <c r="G1730" t="s">
        <v>13</v>
      </c>
      <c r="H1730" s="2">
        <v>1815.09</v>
      </c>
    </row>
    <row r="1731" spans="1:8">
      <c r="A1731" t="s">
        <v>60</v>
      </c>
      <c r="B1731" t="s">
        <v>61</v>
      </c>
      <c r="C1731" t="s">
        <v>32</v>
      </c>
      <c r="D1731" t="s">
        <v>11</v>
      </c>
      <c r="E1731">
        <v>2022</v>
      </c>
      <c r="F1731" t="s">
        <v>20</v>
      </c>
      <c r="G1731" t="s">
        <v>15</v>
      </c>
      <c r="H1731" s="2">
        <v>64.91</v>
      </c>
    </row>
    <row r="1732" spans="1:8">
      <c r="A1732" t="s">
        <v>60</v>
      </c>
      <c r="B1732" t="s">
        <v>61</v>
      </c>
      <c r="C1732" t="s">
        <v>32</v>
      </c>
      <c r="D1732" t="s">
        <v>11</v>
      </c>
      <c r="E1732">
        <v>2022</v>
      </c>
      <c r="F1732" t="s">
        <v>14</v>
      </c>
      <c r="G1732" t="s">
        <v>17</v>
      </c>
      <c r="H1732" s="2">
        <v>849.47</v>
      </c>
    </row>
    <row r="1733" spans="1:8">
      <c r="A1733" t="s">
        <v>60</v>
      </c>
      <c r="B1733" t="s">
        <v>61</v>
      </c>
      <c r="C1733" t="s">
        <v>32</v>
      </c>
      <c r="D1733" t="s">
        <v>11</v>
      </c>
      <c r="E1733">
        <v>2023</v>
      </c>
      <c r="F1733" t="s">
        <v>22</v>
      </c>
      <c r="G1733" t="s">
        <v>17</v>
      </c>
      <c r="H1733" s="2">
        <v>3862.37</v>
      </c>
    </row>
    <row r="1734" spans="1:8">
      <c r="A1734" t="s">
        <v>60</v>
      </c>
      <c r="B1734" t="s">
        <v>61</v>
      </c>
      <c r="C1734" t="s">
        <v>32</v>
      </c>
      <c r="D1734" t="s">
        <v>11</v>
      </c>
      <c r="E1734">
        <v>2023</v>
      </c>
      <c r="F1734" t="s">
        <v>18</v>
      </c>
      <c r="G1734" t="s">
        <v>13</v>
      </c>
      <c r="H1734" s="2">
        <v>45137.15</v>
      </c>
    </row>
    <row r="1735" spans="1:8">
      <c r="A1735" t="s">
        <v>60</v>
      </c>
      <c r="B1735" t="s">
        <v>61</v>
      </c>
      <c r="C1735" t="s">
        <v>32</v>
      </c>
      <c r="D1735" t="s">
        <v>11</v>
      </c>
      <c r="E1735">
        <v>2023</v>
      </c>
      <c r="F1735" t="s">
        <v>20</v>
      </c>
      <c r="G1735" t="s">
        <v>17</v>
      </c>
      <c r="H1735" s="2">
        <v>62.96</v>
      </c>
    </row>
    <row r="1736" spans="1:8">
      <c r="A1736" t="s">
        <v>60</v>
      </c>
      <c r="B1736" t="s">
        <v>61</v>
      </c>
      <c r="C1736" t="s">
        <v>32</v>
      </c>
      <c r="D1736" t="s">
        <v>11</v>
      </c>
      <c r="E1736">
        <v>2023</v>
      </c>
      <c r="F1736" t="s">
        <v>14</v>
      </c>
      <c r="G1736" t="s">
        <v>15</v>
      </c>
      <c r="H1736" s="2">
        <v>1482.95</v>
      </c>
    </row>
    <row r="1737" spans="1:8">
      <c r="A1737" t="s">
        <v>60</v>
      </c>
      <c r="B1737" t="s">
        <v>61</v>
      </c>
      <c r="C1737" t="s">
        <v>32</v>
      </c>
      <c r="D1737" t="s">
        <v>11</v>
      </c>
      <c r="E1737">
        <v>2024</v>
      </c>
      <c r="F1737" t="s">
        <v>14</v>
      </c>
      <c r="G1737" t="s">
        <v>13</v>
      </c>
      <c r="H1737" s="2">
        <v>40564.82</v>
      </c>
    </row>
    <row r="1738" spans="1:8">
      <c r="A1738" t="s">
        <v>62</v>
      </c>
      <c r="B1738" t="s">
        <v>63</v>
      </c>
      <c r="C1738" t="s">
        <v>51</v>
      </c>
      <c r="D1738" t="s">
        <v>29</v>
      </c>
      <c r="E1738">
        <v>1990</v>
      </c>
      <c r="F1738" t="s">
        <v>22</v>
      </c>
      <c r="G1738" t="s">
        <v>15</v>
      </c>
      <c r="H1738" s="2">
        <v>58053.94</v>
      </c>
    </row>
    <row r="1739" spans="1:8">
      <c r="A1739" t="s">
        <v>62</v>
      </c>
      <c r="B1739" t="s">
        <v>63</v>
      </c>
      <c r="C1739" t="s">
        <v>51</v>
      </c>
      <c r="D1739" t="s">
        <v>29</v>
      </c>
      <c r="E1739">
        <v>1990</v>
      </c>
      <c r="F1739" t="s">
        <v>20</v>
      </c>
      <c r="G1739" t="s">
        <v>13</v>
      </c>
      <c r="H1739" s="2">
        <v>41702.120000000003</v>
      </c>
    </row>
    <row r="1740" spans="1:8">
      <c r="A1740" t="s">
        <v>62</v>
      </c>
      <c r="B1740" t="s">
        <v>63</v>
      </c>
      <c r="C1740" t="s">
        <v>51</v>
      </c>
      <c r="D1740" t="s">
        <v>29</v>
      </c>
      <c r="E1740">
        <v>1990</v>
      </c>
      <c r="F1740" t="s">
        <v>21</v>
      </c>
      <c r="G1740" t="s">
        <v>13</v>
      </c>
      <c r="H1740" s="2">
        <v>128777.3</v>
      </c>
    </row>
    <row r="1741" spans="1:8">
      <c r="A1741" t="s">
        <v>62</v>
      </c>
      <c r="B1741" t="s">
        <v>63</v>
      </c>
      <c r="C1741" t="s">
        <v>51</v>
      </c>
      <c r="D1741" t="s">
        <v>29</v>
      </c>
      <c r="E1741">
        <v>1990</v>
      </c>
      <c r="F1741" t="s">
        <v>21</v>
      </c>
      <c r="G1741" t="s">
        <v>17</v>
      </c>
      <c r="H1741" s="2">
        <v>1383.18</v>
      </c>
    </row>
    <row r="1742" spans="1:8">
      <c r="A1742" t="s">
        <v>62</v>
      </c>
      <c r="B1742" t="s">
        <v>63</v>
      </c>
      <c r="C1742" t="s">
        <v>51</v>
      </c>
      <c r="D1742" t="s">
        <v>29</v>
      </c>
      <c r="E1742">
        <v>1991</v>
      </c>
      <c r="F1742" t="s">
        <v>12</v>
      </c>
      <c r="G1742" t="s">
        <v>17</v>
      </c>
      <c r="H1742" s="2">
        <v>4325.25</v>
      </c>
    </row>
    <row r="1743" spans="1:8">
      <c r="A1743" t="s">
        <v>62</v>
      </c>
      <c r="B1743" t="s">
        <v>63</v>
      </c>
      <c r="C1743" t="s">
        <v>51</v>
      </c>
      <c r="D1743" t="s">
        <v>29</v>
      </c>
      <c r="E1743">
        <v>1991</v>
      </c>
      <c r="F1743" t="s">
        <v>21</v>
      </c>
      <c r="G1743" t="s">
        <v>15</v>
      </c>
      <c r="H1743" s="2">
        <v>2731.3</v>
      </c>
    </row>
    <row r="1744" spans="1:8">
      <c r="A1744" t="s">
        <v>62</v>
      </c>
      <c r="B1744" t="s">
        <v>63</v>
      </c>
      <c r="C1744" t="s">
        <v>51</v>
      </c>
      <c r="D1744" t="s">
        <v>29</v>
      </c>
      <c r="E1744">
        <v>1991</v>
      </c>
      <c r="F1744" t="s">
        <v>21</v>
      </c>
      <c r="G1744" t="s">
        <v>13</v>
      </c>
      <c r="H1744" s="2">
        <v>120139.96</v>
      </c>
    </row>
    <row r="1745" spans="1:8">
      <c r="A1745" t="s">
        <v>62</v>
      </c>
      <c r="B1745" t="s">
        <v>63</v>
      </c>
      <c r="C1745" t="s">
        <v>51</v>
      </c>
      <c r="D1745" t="s">
        <v>29</v>
      </c>
      <c r="E1745">
        <v>1991</v>
      </c>
      <c r="F1745" t="s">
        <v>16</v>
      </c>
      <c r="G1745" t="s">
        <v>15</v>
      </c>
      <c r="H1745" s="2">
        <v>30021.200000000001</v>
      </c>
    </row>
    <row r="1746" spans="1:8">
      <c r="A1746" t="s">
        <v>62</v>
      </c>
      <c r="B1746" t="s">
        <v>63</v>
      </c>
      <c r="C1746" t="s">
        <v>51</v>
      </c>
      <c r="D1746" t="s">
        <v>29</v>
      </c>
      <c r="E1746">
        <v>1992</v>
      </c>
      <c r="F1746" t="s">
        <v>22</v>
      </c>
      <c r="G1746" t="s">
        <v>19</v>
      </c>
      <c r="H1746" s="2">
        <v>0</v>
      </c>
    </row>
    <row r="1747" spans="1:8">
      <c r="A1747" t="s">
        <v>62</v>
      </c>
      <c r="B1747" t="s">
        <v>63</v>
      </c>
      <c r="C1747" t="s">
        <v>51</v>
      </c>
      <c r="D1747" t="s">
        <v>29</v>
      </c>
      <c r="E1747">
        <v>1992</v>
      </c>
      <c r="F1747" t="s">
        <v>12</v>
      </c>
      <c r="G1747" t="s">
        <v>13</v>
      </c>
      <c r="H1747" s="2">
        <v>115840.06</v>
      </c>
    </row>
    <row r="1748" spans="1:8">
      <c r="A1748" t="s">
        <v>62</v>
      </c>
      <c r="B1748" t="s">
        <v>63</v>
      </c>
      <c r="C1748" t="s">
        <v>51</v>
      </c>
      <c r="D1748" t="s">
        <v>29</v>
      </c>
      <c r="E1748">
        <v>1992</v>
      </c>
      <c r="F1748" t="s">
        <v>14</v>
      </c>
      <c r="G1748" t="s">
        <v>15</v>
      </c>
      <c r="H1748" s="2">
        <v>3324.17</v>
      </c>
    </row>
    <row r="1749" spans="1:8">
      <c r="A1749" t="s">
        <v>62</v>
      </c>
      <c r="B1749" t="s">
        <v>63</v>
      </c>
      <c r="C1749" t="s">
        <v>51</v>
      </c>
      <c r="D1749" t="s">
        <v>29</v>
      </c>
      <c r="E1749">
        <v>1993</v>
      </c>
      <c r="F1749" t="s">
        <v>12</v>
      </c>
      <c r="G1749" t="s">
        <v>15</v>
      </c>
      <c r="H1749" s="2">
        <v>9757.09</v>
      </c>
    </row>
    <row r="1750" spans="1:8">
      <c r="A1750" t="s">
        <v>62</v>
      </c>
      <c r="B1750" t="s">
        <v>63</v>
      </c>
      <c r="C1750" t="s">
        <v>51</v>
      </c>
      <c r="D1750" t="s">
        <v>29</v>
      </c>
      <c r="E1750">
        <v>1993</v>
      </c>
      <c r="F1750" t="s">
        <v>18</v>
      </c>
      <c r="G1750" t="s">
        <v>15</v>
      </c>
      <c r="H1750" s="2">
        <v>3062.1</v>
      </c>
    </row>
    <row r="1751" spans="1:8">
      <c r="A1751" t="s">
        <v>62</v>
      </c>
      <c r="B1751" t="s">
        <v>63</v>
      </c>
      <c r="C1751" t="s">
        <v>51</v>
      </c>
      <c r="D1751" t="s">
        <v>29</v>
      </c>
      <c r="E1751">
        <v>1993</v>
      </c>
      <c r="F1751" t="s">
        <v>14</v>
      </c>
      <c r="G1751" t="s">
        <v>13</v>
      </c>
      <c r="H1751" s="2">
        <v>115686.38</v>
      </c>
    </row>
    <row r="1752" spans="1:8">
      <c r="A1752" t="s">
        <v>62</v>
      </c>
      <c r="B1752" t="s">
        <v>63</v>
      </c>
      <c r="C1752" t="s">
        <v>51</v>
      </c>
      <c r="D1752" t="s">
        <v>29</v>
      </c>
      <c r="E1752">
        <v>1993</v>
      </c>
      <c r="F1752" t="s">
        <v>14</v>
      </c>
      <c r="G1752" t="s">
        <v>19</v>
      </c>
      <c r="H1752" s="2">
        <v>0</v>
      </c>
    </row>
    <row r="1753" spans="1:8">
      <c r="A1753" t="s">
        <v>62</v>
      </c>
      <c r="B1753" t="s">
        <v>63</v>
      </c>
      <c r="C1753" t="s">
        <v>51</v>
      </c>
      <c r="D1753" t="s">
        <v>29</v>
      </c>
      <c r="E1753">
        <v>1993</v>
      </c>
      <c r="F1753" t="s">
        <v>21</v>
      </c>
      <c r="G1753" t="s">
        <v>17</v>
      </c>
      <c r="H1753" s="2">
        <v>1462.48</v>
      </c>
    </row>
    <row r="1754" spans="1:8">
      <c r="A1754" t="s">
        <v>62</v>
      </c>
      <c r="B1754" t="s">
        <v>63</v>
      </c>
      <c r="C1754" t="s">
        <v>51</v>
      </c>
      <c r="D1754" t="s">
        <v>29</v>
      </c>
      <c r="E1754">
        <v>1994</v>
      </c>
      <c r="F1754" t="s">
        <v>20</v>
      </c>
      <c r="G1754" t="s">
        <v>15</v>
      </c>
      <c r="H1754" s="2">
        <v>515.73</v>
      </c>
    </row>
    <row r="1755" spans="1:8">
      <c r="A1755" t="s">
        <v>62</v>
      </c>
      <c r="B1755" t="s">
        <v>63</v>
      </c>
      <c r="C1755" t="s">
        <v>51</v>
      </c>
      <c r="D1755" t="s">
        <v>29</v>
      </c>
      <c r="E1755">
        <v>1994</v>
      </c>
      <c r="F1755" t="s">
        <v>21</v>
      </c>
      <c r="G1755" t="s">
        <v>17</v>
      </c>
      <c r="H1755" s="2">
        <v>1620.79</v>
      </c>
    </row>
    <row r="1756" spans="1:8">
      <c r="A1756" t="s">
        <v>62</v>
      </c>
      <c r="B1756" t="s">
        <v>63</v>
      </c>
      <c r="C1756" t="s">
        <v>51</v>
      </c>
      <c r="D1756" t="s">
        <v>29</v>
      </c>
      <c r="E1756">
        <v>1995</v>
      </c>
      <c r="F1756" t="s">
        <v>20</v>
      </c>
      <c r="G1756" t="s">
        <v>15</v>
      </c>
      <c r="H1756" s="2">
        <v>418</v>
      </c>
    </row>
    <row r="1757" spans="1:8">
      <c r="A1757" t="s">
        <v>62</v>
      </c>
      <c r="B1757" t="s">
        <v>63</v>
      </c>
      <c r="C1757" t="s">
        <v>51</v>
      </c>
      <c r="D1757" t="s">
        <v>29</v>
      </c>
      <c r="E1757">
        <v>1995</v>
      </c>
      <c r="F1757" t="s">
        <v>20</v>
      </c>
      <c r="G1757" t="s">
        <v>19</v>
      </c>
      <c r="H1757" s="2">
        <v>0</v>
      </c>
    </row>
    <row r="1758" spans="1:8">
      <c r="A1758" t="s">
        <v>62</v>
      </c>
      <c r="B1758" t="s">
        <v>63</v>
      </c>
      <c r="C1758" t="s">
        <v>51</v>
      </c>
      <c r="D1758" t="s">
        <v>29</v>
      </c>
      <c r="E1758">
        <v>1995</v>
      </c>
      <c r="F1758" t="s">
        <v>21</v>
      </c>
      <c r="G1758" t="s">
        <v>13</v>
      </c>
      <c r="H1758" s="2">
        <v>138666.63</v>
      </c>
    </row>
    <row r="1759" spans="1:8">
      <c r="A1759" t="s">
        <v>62</v>
      </c>
      <c r="B1759" t="s">
        <v>63</v>
      </c>
      <c r="C1759" t="s">
        <v>51</v>
      </c>
      <c r="D1759" t="s">
        <v>29</v>
      </c>
      <c r="E1759">
        <v>1995</v>
      </c>
      <c r="F1759" t="s">
        <v>16</v>
      </c>
      <c r="G1759" t="s">
        <v>13</v>
      </c>
      <c r="H1759" s="2">
        <v>5250.92</v>
      </c>
    </row>
    <row r="1760" spans="1:8">
      <c r="A1760" t="s">
        <v>62</v>
      </c>
      <c r="B1760" t="s">
        <v>63</v>
      </c>
      <c r="C1760" t="s">
        <v>51</v>
      </c>
      <c r="D1760" t="s">
        <v>29</v>
      </c>
      <c r="E1760">
        <v>1995</v>
      </c>
      <c r="F1760" t="s">
        <v>16</v>
      </c>
      <c r="G1760" t="s">
        <v>17</v>
      </c>
      <c r="H1760" s="2">
        <v>1754.23</v>
      </c>
    </row>
    <row r="1761" spans="1:8">
      <c r="A1761" t="s">
        <v>62</v>
      </c>
      <c r="B1761" t="s">
        <v>63</v>
      </c>
      <c r="C1761" t="s">
        <v>51</v>
      </c>
      <c r="D1761" t="s">
        <v>29</v>
      </c>
      <c r="E1761">
        <v>1996</v>
      </c>
      <c r="F1761" t="s">
        <v>14</v>
      </c>
      <c r="G1761" t="s">
        <v>17</v>
      </c>
      <c r="H1761" s="2">
        <v>2230.31</v>
      </c>
    </row>
    <row r="1762" spans="1:8">
      <c r="A1762" t="s">
        <v>62</v>
      </c>
      <c r="B1762" t="s">
        <v>63</v>
      </c>
      <c r="C1762" t="s">
        <v>51</v>
      </c>
      <c r="D1762" t="s">
        <v>29</v>
      </c>
      <c r="E1762">
        <v>1997</v>
      </c>
      <c r="F1762" t="s">
        <v>22</v>
      </c>
      <c r="G1762" t="s">
        <v>15</v>
      </c>
      <c r="H1762" s="2">
        <v>61973.87</v>
      </c>
    </row>
    <row r="1763" spans="1:8">
      <c r="A1763" t="s">
        <v>62</v>
      </c>
      <c r="B1763" t="s">
        <v>63</v>
      </c>
      <c r="C1763" t="s">
        <v>51</v>
      </c>
      <c r="D1763" t="s">
        <v>29</v>
      </c>
      <c r="E1763">
        <v>1997</v>
      </c>
      <c r="F1763" t="s">
        <v>18</v>
      </c>
      <c r="G1763" t="s">
        <v>13</v>
      </c>
      <c r="H1763" s="2">
        <v>51460.1</v>
      </c>
    </row>
    <row r="1764" spans="1:8">
      <c r="A1764" t="s">
        <v>62</v>
      </c>
      <c r="B1764" t="s">
        <v>63</v>
      </c>
      <c r="C1764" t="s">
        <v>51</v>
      </c>
      <c r="D1764" t="s">
        <v>29</v>
      </c>
      <c r="E1764">
        <v>1997</v>
      </c>
      <c r="F1764" t="s">
        <v>14</v>
      </c>
      <c r="G1764" t="s">
        <v>15</v>
      </c>
      <c r="H1764" s="2">
        <v>3481.42</v>
      </c>
    </row>
    <row r="1765" spans="1:8">
      <c r="A1765" t="s">
        <v>62</v>
      </c>
      <c r="B1765" t="s">
        <v>63</v>
      </c>
      <c r="C1765" t="s">
        <v>51</v>
      </c>
      <c r="D1765" t="s">
        <v>29</v>
      </c>
      <c r="E1765">
        <v>1997</v>
      </c>
      <c r="F1765" t="s">
        <v>21</v>
      </c>
      <c r="G1765" t="s">
        <v>17</v>
      </c>
      <c r="H1765" s="2">
        <v>1342.35</v>
      </c>
    </row>
    <row r="1766" spans="1:8">
      <c r="A1766" t="s">
        <v>62</v>
      </c>
      <c r="B1766" t="s">
        <v>63</v>
      </c>
      <c r="C1766" t="s">
        <v>51</v>
      </c>
      <c r="D1766" t="s">
        <v>29</v>
      </c>
      <c r="E1766">
        <v>1998</v>
      </c>
      <c r="F1766" t="s">
        <v>12</v>
      </c>
      <c r="G1766" t="s">
        <v>15</v>
      </c>
      <c r="H1766" s="2">
        <v>10000</v>
      </c>
    </row>
    <row r="1767" spans="1:8">
      <c r="A1767" t="s">
        <v>62</v>
      </c>
      <c r="B1767" t="s">
        <v>63</v>
      </c>
      <c r="C1767" t="s">
        <v>51</v>
      </c>
      <c r="D1767" t="s">
        <v>29</v>
      </c>
      <c r="E1767">
        <v>1998</v>
      </c>
      <c r="F1767" t="s">
        <v>12</v>
      </c>
      <c r="G1767" t="s">
        <v>19</v>
      </c>
      <c r="H1767" s="2">
        <v>0</v>
      </c>
    </row>
    <row r="1768" spans="1:8">
      <c r="A1768" t="s">
        <v>62</v>
      </c>
      <c r="B1768" t="s">
        <v>63</v>
      </c>
      <c r="C1768" t="s">
        <v>51</v>
      </c>
      <c r="D1768" t="s">
        <v>29</v>
      </c>
      <c r="E1768">
        <v>1998</v>
      </c>
      <c r="F1768" t="s">
        <v>21</v>
      </c>
      <c r="G1768" t="s">
        <v>13</v>
      </c>
      <c r="H1768" s="2">
        <v>130885.28</v>
      </c>
    </row>
    <row r="1769" spans="1:8">
      <c r="A1769" t="s">
        <v>62</v>
      </c>
      <c r="B1769" t="s">
        <v>63</v>
      </c>
      <c r="C1769" t="s">
        <v>51</v>
      </c>
      <c r="D1769" t="s">
        <v>29</v>
      </c>
      <c r="E1769">
        <v>1999</v>
      </c>
      <c r="F1769" t="s">
        <v>22</v>
      </c>
      <c r="G1769" t="s">
        <v>15</v>
      </c>
      <c r="H1769" s="2">
        <v>63741.440000000002</v>
      </c>
    </row>
    <row r="1770" spans="1:8">
      <c r="A1770" t="s">
        <v>62</v>
      </c>
      <c r="B1770" t="s">
        <v>63</v>
      </c>
      <c r="C1770" t="s">
        <v>51</v>
      </c>
      <c r="D1770" t="s">
        <v>29</v>
      </c>
      <c r="E1770">
        <v>1999</v>
      </c>
      <c r="F1770" t="s">
        <v>21</v>
      </c>
      <c r="G1770" t="s">
        <v>19</v>
      </c>
      <c r="H1770" s="2">
        <v>0</v>
      </c>
    </row>
    <row r="1771" spans="1:8">
      <c r="A1771" t="s">
        <v>62</v>
      </c>
      <c r="B1771" t="s">
        <v>63</v>
      </c>
      <c r="C1771" t="s">
        <v>51</v>
      </c>
      <c r="D1771" t="s">
        <v>29</v>
      </c>
      <c r="E1771">
        <v>2000</v>
      </c>
      <c r="F1771" t="s">
        <v>20</v>
      </c>
      <c r="G1771" t="s">
        <v>15</v>
      </c>
      <c r="H1771" s="2">
        <v>499.48</v>
      </c>
    </row>
    <row r="1772" spans="1:8">
      <c r="A1772" t="s">
        <v>62</v>
      </c>
      <c r="B1772" t="s">
        <v>63</v>
      </c>
      <c r="C1772" t="s">
        <v>51</v>
      </c>
      <c r="D1772" t="s">
        <v>29</v>
      </c>
      <c r="E1772">
        <v>2001</v>
      </c>
      <c r="F1772" t="s">
        <v>22</v>
      </c>
      <c r="G1772" t="s">
        <v>13</v>
      </c>
      <c r="H1772" s="2">
        <v>9146.7800000000007</v>
      </c>
    </row>
    <row r="1773" spans="1:8">
      <c r="A1773" t="s">
        <v>62</v>
      </c>
      <c r="B1773" t="s">
        <v>63</v>
      </c>
      <c r="C1773" t="s">
        <v>51</v>
      </c>
      <c r="D1773" t="s">
        <v>29</v>
      </c>
      <c r="E1773">
        <v>2001</v>
      </c>
      <c r="F1773" t="s">
        <v>12</v>
      </c>
      <c r="G1773" t="s">
        <v>15</v>
      </c>
      <c r="H1773" s="2">
        <v>9834.86</v>
      </c>
    </row>
    <row r="1774" spans="1:8">
      <c r="A1774" t="s">
        <v>62</v>
      </c>
      <c r="B1774" t="s">
        <v>63</v>
      </c>
      <c r="C1774" t="s">
        <v>51</v>
      </c>
      <c r="D1774" t="s">
        <v>29</v>
      </c>
      <c r="E1774">
        <v>2001</v>
      </c>
      <c r="F1774" t="s">
        <v>20</v>
      </c>
      <c r="G1774" t="s">
        <v>13</v>
      </c>
      <c r="H1774" s="2">
        <v>44228.36</v>
      </c>
    </row>
    <row r="1775" spans="1:8">
      <c r="A1775" t="s">
        <v>62</v>
      </c>
      <c r="B1775" t="s">
        <v>63</v>
      </c>
      <c r="C1775" t="s">
        <v>51</v>
      </c>
      <c r="D1775" t="s">
        <v>29</v>
      </c>
      <c r="E1775">
        <v>2001</v>
      </c>
      <c r="F1775" t="s">
        <v>21</v>
      </c>
      <c r="G1775" t="s">
        <v>15</v>
      </c>
      <c r="H1775" s="2">
        <v>2898.79</v>
      </c>
    </row>
    <row r="1776" spans="1:8">
      <c r="A1776" t="s">
        <v>62</v>
      </c>
      <c r="B1776" t="s">
        <v>63</v>
      </c>
      <c r="C1776" t="s">
        <v>51</v>
      </c>
      <c r="D1776" t="s">
        <v>29</v>
      </c>
      <c r="E1776">
        <v>2001</v>
      </c>
      <c r="F1776" t="s">
        <v>21</v>
      </c>
      <c r="G1776" t="s">
        <v>17</v>
      </c>
      <c r="H1776" s="2">
        <v>1508.69</v>
      </c>
    </row>
    <row r="1777" spans="1:8">
      <c r="A1777" t="s">
        <v>62</v>
      </c>
      <c r="B1777" t="s">
        <v>63</v>
      </c>
      <c r="C1777" t="s">
        <v>51</v>
      </c>
      <c r="D1777" t="s">
        <v>29</v>
      </c>
      <c r="E1777">
        <v>2001</v>
      </c>
      <c r="F1777" t="s">
        <v>16</v>
      </c>
      <c r="G1777" t="s">
        <v>15</v>
      </c>
      <c r="H1777" s="2">
        <v>26963</v>
      </c>
    </row>
    <row r="1778" spans="1:8">
      <c r="A1778" t="s">
        <v>62</v>
      </c>
      <c r="B1778" t="s">
        <v>63</v>
      </c>
      <c r="C1778" t="s">
        <v>51</v>
      </c>
      <c r="D1778" t="s">
        <v>29</v>
      </c>
      <c r="E1778">
        <v>2002</v>
      </c>
      <c r="F1778" t="s">
        <v>12</v>
      </c>
      <c r="G1778" t="s">
        <v>17</v>
      </c>
      <c r="H1778" s="2">
        <v>4167.41</v>
      </c>
    </row>
    <row r="1779" spans="1:8">
      <c r="A1779" t="s">
        <v>62</v>
      </c>
      <c r="B1779" t="s">
        <v>63</v>
      </c>
      <c r="C1779" t="s">
        <v>51</v>
      </c>
      <c r="D1779" t="s">
        <v>29</v>
      </c>
      <c r="E1779">
        <v>2002</v>
      </c>
      <c r="F1779" t="s">
        <v>18</v>
      </c>
      <c r="G1779" t="s">
        <v>15</v>
      </c>
      <c r="H1779" s="2">
        <v>3018.02</v>
      </c>
    </row>
    <row r="1780" spans="1:8">
      <c r="A1780" t="s">
        <v>62</v>
      </c>
      <c r="B1780" t="s">
        <v>63</v>
      </c>
      <c r="C1780" t="s">
        <v>51</v>
      </c>
      <c r="D1780" t="s">
        <v>29</v>
      </c>
      <c r="E1780">
        <v>2002</v>
      </c>
      <c r="F1780" t="s">
        <v>14</v>
      </c>
      <c r="G1780" t="s">
        <v>17</v>
      </c>
      <c r="H1780" s="2">
        <v>2207.44</v>
      </c>
    </row>
    <row r="1781" spans="1:8">
      <c r="A1781" t="s">
        <v>62</v>
      </c>
      <c r="B1781" t="s">
        <v>63</v>
      </c>
      <c r="C1781" t="s">
        <v>51</v>
      </c>
      <c r="D1781" t="s">
        <v>29</v>
      </c>
      <c r="E1781">
        <v>2002</v>
      </c>
      <c r="F1781" t="s">
        <v>16</v>
      </c>
      <c r="G1781" t="s">
        <v>15</v>
      </c>
      <c r="H1781" s="2">
        <v>29859.43</v>
      </c>
    </row>
    <row r="1782" spans="1:8">
      <c r="A1782" t="s">
        <v>62</v>
      </c>
      <c r="B1782" t="s">
        <v>63</v>
      </c>
      <c r="C1782" t="s">
        <v>51</v>
      </c>
      <c r="D1782" t="s">
        <v>29</v>
      </c>
      <c r="E1782">
        <v>2002</v>
      </c>
      <c r="F1782" t="s">
        <v>16</v>
      </c>
      <c r="G1782" t="s">
        <v>13</v>
      </c>
      <c r="H1782" s="2">
        <v>5654.31</v>
      </c>
    </row>
    <row r="1783" spans="1:8">
      <c r="A1783" t="s">
        <v>62</v>
      </c>
      <c r="B1783" t="s">
        <v>63</v>
      </c>
      <c r="C1783" t="s">
        <v>51</v>
      </c>
      <c r="D1783" t="s">
        <v>29</v>
      </c>
      <c r="E1783">
        <v>2003</v>
      </c>
      <c r="F1783" t="s">
        <v>12</v>
      </c>
      <c r="G1783" t="s">
        <v>13</v>
      </c>
      <c r="H1783" s="2">
        <v>145838.87</v>
      </c>
    </row>
    <row r="1784" spans="1:8">
      <c r="A1784" t="s">
        <v>62</v>
      </c>
      <c r="B1784" t="s">
        <v>63</v>
      </c>
      <c r="C1784" t="s">
        <v>51</v>
      </c>
      <c r="D1784" t="s">
        <v>29</v>
      </c>
      <c r="E1784">
        <v>2003</v>
      </c>
      <c r="F1784" t="s">
        <v>18</v>
      </c>
      <c r="G1784" t="s">
        <v>15</v>
      </c>
      <c r="H1784" s="2">
        <v>3607.9</v>
      </c>
    </row>
    <row r="1785" spans="1:8">
      <c r="A1785" t="s">
        <v>62</v>
      </c>
      <c r="B1785" t="s">
        <v>63</v>
      </c>
      <c r="C1785" t="s">
        <v>51</v>
      </c>
      <c r="D1785" t="s">
        <v>29</v>
      </c>
      <c r="E1785">
        <v>2003</v>
      </c>
      <c r="F1785" t="s">
        <v>20</v>
      </c>
      <c r="G1785" t="s">
        <v>13</v>
      </c>
      <c r="H1785" s="2">
        <v>52460.78</v>
      </c>
    </row>
    <row r="1786" spans="1:8">
      <c r="A1786" t="s">
        <v>62</v>
      </c>
      <c r="B1786" t="s">
        <v>63</v>
      </c>
      <c r="C1786" t="s">
        <v>51</v>
      </c>
      <c r="D1786" t="s">
        <v>29</v>
      </c>
      <c r="E1786">
        <v>2003</v>
      </c>
      <c r="F1786" t="s">
        <v>20</v>
      </c>
      <c r="G1786" t="s">
        <v>19</v>
      </c>
      <c r="H1786" s="2">
        <v>0</v>
      </c>
    </row>
    <row r="1787" spans="1:8">
      <c r="A1787" t="s">
        <v>62</v>
      </c>
      <c r="B1787" t="s">
        <v>63</v>
      </c>
      <c r="C1787" t="s">
        <v>51</v>
      </c>
      <c r="D1787" t="s">
        <v>29</v>
      </c>
      <c r="E1787">
        <v>2004</v>
      </c>
      <c r="F1787" t="s">
        <v>20</v>
      </c>
      <c r="G1787" t="s">
        <v>17</v>
      </c>
      <c r="H1787" s="2">
        <v>449.43</v>
      </c>
    </row>
    <row r="1788" spans="1:8">
      <c r="A1788" t="s">
        <v>62</v>
      </c>
      <c r="B1788" t="s">
        <v>63</v>
      </c>
      <c r="C1788" t="s">
        <v>51</v>
      </c>
      <c r="D1788" t="s">
        <v>29</v>
      </c>
      <c r="E1788">
        <v>2004</v>
      </c>
      <c r="F1788" t="s">
        <v>21</v>
      </c>
      <c r="G1788" t="s">
        <v>17</v>
      </c>
      <c r="H1788" s="2">
        <v>1335.72</v>
      </c>
    </row>
    <row r="1789" spans="1:8">
      <c r="A1789" t="s">
        <v>62</v>
      </c>
      <c r="B1789" t="s">
        <v>63</v>
      </c>
      <c r="C1789" t="s">
        <v>51</v>
      </c>
      <c r="D1789" t="s">
        <v>29</v>
      </c>
      <c r="E1789">
        <v>2005</v>
      </c>
      <c r="F1789" t="s">
        <v>22</v>
      </c>
      <c r="G1789" t="s">
        <v>15</v>
      </c>
      <c r="H1789" s="2">
        <v>58772.94</v>
      </c>
    </row>
    <row r="1790" spans="1:8">
      <c r="A1790" t="s">
        <v>62</v>
      </c>
      <c r="B1790" t="s">
        <v>63</v>
      </c>
      <c r="C1790" t="s">
        <v>51</v>
      </c>
      <c r="D1790" t="s">
        <v>29</v>
      </c>
      <c r="E1790">
        <v>2005</v>
      </c>
      <c r="F1790" t="s">
        <v>16</v>
      </c>
      <c r="G1790" t="s">
        <v>17</v>
      </c>
      <c r="H1790" s="2">
        <v>1829.95</v>
      </c>
    </row>
    <row r="1791" spans="1:8">
      <c r="A1791" t="s">
        <v>62</v>
      </c>
      <c r="B1791" t="s">
        <v>63</v>
      </c>
      <c r="C1791" t="s">
        <v>51</v>
      </c>
      <c r="D1791" t="s">
        <v>29</v>
      </c>
      <c r="E1791">
        <v>2006</v>
      </c>
      <c r="F1791" t="s">
        <v>18</v>
      </c>
      <c r="G1791" t="s">
        <v>15</v>
      </c>
      <c r="H1791" s="2">
        <v>3317.32</v>
      </c>
    </row>
    <row r="1792" spans="1:8">
      <c r="A1792" t="s">
        <v>62</v>
      </c>
      <c r="B1792" t="s">
        <v>63</v>
      </c>
      <c r="C1792" t="s">
        <v>51</v>
      </c>
      <c r="D1792" t="s">
        <v>29</v>
      </c>
      <c r="E1792">
        <v>2006</v>
      </c>
      <c r="F1792" t="s">
        <v>21</v>
      </c>
      <c r="G1792" t="s">
        <v>15</v>
      </c>
      <c r="H1792" s="2">
        <v>2917.22</v>
      </c>
    </row>
    <row r="1793" spans="1:8">
      <c r="A1793" t="s">
        <v>62</v>
      </c>
      <c r="B1793" t="s">
        <v>63</v>
      </c>
      <c r="C1793" t="s">
        <v>51</v>
      </c>
      <c r="D1793" t="s">
        <v>29</v>
      </c>
      <c r="E1793">
        <v>2007</v>
      </c>
      <c r="F1793" t="s">
        <v>22</v>
      </c>
      <c r="G1793" t="s">
        <v>15</v>
      </c>
      <c r="H1793" s="2">
        <v>61042.78</v>
      </c>
    </row>
    <row r="1794" spans="1:8">
      <c r="A1794" t="s">
        <v>62</v>
      </c>
      <c r="B1794" t="s">
        <v>63</v>
      </c>
      <c r="C1794" t="s">
        <v>51</v>
      </c>
      <c r="D1794" t="s">
        <v>29</v>
      </c>
      <c r="E1794">
        <v>2007</v>
      </c>
      <c r="F1794" t="s">
        <v>12</v>
      </c>
      <c r="G1794" t="s">
        <v>17</v>
      </c>
      <c r="H1794" s="2">
        <v>4652.8</v>
      </c>
    </row>
    <row r="1795" spans="1:8">
      <c r="A1795" t="s">
        <v>62</v>
      </c>
      <c r="B1795" t="s">
        <v>63</v>
      </c>
      <c r="C1795" t="s">
        <v>51</v>
      </c>
      <c r="D1795" t="s">
        <v>29</v>
      </c>
      <c r="E1795">
        <v>2007</v>
      </c>
      <c r="F1795" t="s">
        <v>18</v>
      </c>
      <c r="G1795" t="s">
        <v>15</v>
      </c>
      <c r="H1795" s="2">
        <v>3063.51</v>
      </c>
    </row>
    <row r="1796" spans="1:8">
      <c r="A1796" t="s">
        <v>62</v>
      </c>
      <c r="B1796" t="s">
        <v>63</v>
      </c>
      <c r="C1796" t="s">
        <v>51</v>
      </c>
      <c r="D1796" t="s">
        <v>29</v>
      </c>
      <c r="E1796">
        <v>2007</v>
      </c>
      <c r="F1796" t="s">
        <v>21</v>
      </c>
      <c r="G1796" t="s">
        <v>15</v>
      </c>
      <c r="H1796" s="2">
        <v>2951.73</v>
      </c>
    </row>
    <row r="1797" spans="1:8">
      <c r="A1797" t="s">
        <v>62</v>
      </c>
      <c r="B1797" t="s">
        <v>63</v>
      </c>
      <c r="C1797" t="s">
        <v>51</v>
      </c>
      <c r="D1797" t="s">
        <v>29</v>
      </c>
      <c r="E1797">
        <v>2007</v>
      </c>
      <c r="F1797" t="s">
        <v>21</v>
      </c>
      <c r="G1797" t="s">
        <v>19</v>
      </c>
      <c r="H1797" s="2">
        <v>0</v>
      </c>
    </row>
    <row r="1798" spans="1:8">
      <c r="A1798" t="s">
        <v>62</v>
      </c>
      <c r="B1798" t="s">
        <v>63</v>
      </c>
      <c r="C1798" t="s">
        <v>51</v>
      </c>
      <c r="D1798" t="s">
        <v>29</v>
      </c>
      <c r="E1798">
        <v>2008</v>
      </c>
      <c r="F1798" t="s">
        <v>21</v>
      </c>
      <c r="G1798" t="s">
        <v>17</v>
      </c>
      <c r="H1798" s="2">
        <v>1474.42</v>
      </c>
    </row>
    <row r="1799" spans="1:8">
      <c r="A1799" t="s">
        <v>62</v>
      </c>
      <c r="B1799" t="s">
        <v>63</v>
      </c>
      <c r="C1799" t="s">
        <v>51</v>
      </c>
      <c r="D1799" t="s">
        <v>29</v>
      </c>
      <c r="E1799">
        <v>2009</v>
      </c>
      <c r="F1799" t="s">
        <v>12</v>
      </c>
      <c r="G1799" t="s">
        <v>15</v>
      </c>
      <c r="H1799" s="2">
        <v>10277.09</v>
      </c>
    </row>
    <row r="1800" spans="1:8">
      <c r="A1800" t="s">
        <v>62</v>
      </c>
      <c r="B1800" t="s">
        <v>63</v>
      </c>
      <c r="C1800" t="s">
        <v>51</v>
      </c>
      <c r="D1800" t="s">
        <v>29</v>
      </c>
      <c r="E1800">
        <v>2009</v>
      </c>
      <c r="F1800" t="s">
        <v>12</v>
      </c>
      <c r="G1800" t="s">
        <v>13</v>
      </c>
      <c r="H1800" s="2">
        <v>134672.69</v>
      </c>
    </row>
    <row r="1801" spans="1:8">
      <c r="A1801" t="s">
        <v>62</v>
      </c>
      <c r="B1801" t="s">
        <v>63</v>
      </c>
      <c r="C1801" t="s">
        <v>51</v>
      </c>
      <c r="D1801" t="s">
        <v>29</v>
      </c>
      <c r="E1801">
        <v>2009</v>
      </c>
      <c r="F1801" t="s">
        <v>20</v>
      </c>
      <c r="G1801" t="s">
        <v>19</v>
      </c>
      <c r="H1801" s="2">
        <v>0</v>
      </c>
    </row>
    <row r="1802" spans="1:8">
      <c r="A1802" t="s">
        <v>62</v>
      </c>
      <c r="B1802" t="s">
        <v>63</v>
      </c>
      <c r="C1802" t="s">
        <v>51</v>
      </c>
      <c r="D1802" t="s">
        <v>29</v>
      </c>
      <c r="E1802">
        <v>2010</v>
      </c>
      <c r="F1802" t="s">
        <v>22</v>
      </c>
      <c r="G1802" t="s">
        <v>19</v>
      </c>
      <c r="H1802" s="2">
        <v>0</v>
      </c>
    </row>
    <row r="1803" spans="1:8">
      <c r="A1803" t="s">
        <v>62</v>
      </c>
      <c r="B1803" t="s">
        <v>63</v>
      </c>
      <c r="C1803" t="s">
        <v>51</v>
      </c>
      <c r="D1803" t="s">
        <v>29</v>
      </c>
      <c r="E1803">
        <v>2010</v>
      </c>
      <c r="F1803" t="s">
        <v>12</v>
      </c>
      <c r="G1803" t="s">
        <v>19</v>
      </c>
      <c r="H1803" s="2">
        <v>0</v>
      </c>
    </row>
    <row r="1804" spans="1:8">
      <c r="A1804" t="s">
        <v>62</v>
      </c>
      <c r="B1804" t="s">
        <v>63</v>
      </c>
      <c r="C1804" t="s">
        <v>51</v>
      </c>
      <c r="D1804" t="s">
        <v>29</v>
      </c>
      <c r="E1804">
        <v>2010</v>
      </c>
      <c r="F1804" t="s">
        <v>18</v>
      </c>
      <c r="G1804" t="s">
        <v>15</v>
      </c>
      <c r="H1804" s="2">
        <v>3350.29</v>
      </c>
    </row>
    <row r="1805" spans="1:8">
      <c r="A1805" t="s">
        <v>62</v>
      </c>
      <c r="B1805" t="s">
        <v>63</v>
      </c>
      <c r="C1805" t="s">
        <v>51</v>
      </c>
      <c r="D1805" t="s">
        <v>29</v>
      </c>
      <c r="E1805">
        <v>2010</v>
      </c>
      <c r="F1805" t="s">
        <v>16</v>
      </c>
      <c r="G1805" t="s">
        <v>19</v>
      </c>
      <c r="H1805" s="2">
        <v>0</v>
      </c>
    </row>
    <row r="1806" spans="1:8">
      <c r="A1806" t="s">
        <v>62</v>
      </c>
      <c r="B1806" t="s">
        <v>63</v>
      </c>
      <c r="C1806" t="s">
        <v>51</v>
      </c>
      <c r="D1806" t="s">
        <v>29</v>
      </c>
      <c r="E1806">
        <v>2011</v>
      </c>
      <c r="F1806" t="s">
        <v>21</v>
      </c>
      <c r="G1806" t="s">
        <v>15</v>
      </c>
      <c r="H1806" s="2">
        <v>2541.35</v>
      </c>
    </row>
    <row r="1807" spans="1:8">
      <c r="A1807" t="s">
        <v>62</v>
      </c>
      <c r="B1807" t="s">
        <v>63</v>
      </c>
      <c r="C1807" t="s">
        <v>51</v>
      </c>
      <c r="D1807" t="s">
        <v>29</v>
      </c>
      <c r="E1807">
        <v>2011</v>
      </c>
      <c r="F1807" t="s">
        <v>16</v>
      </c>
      <c r="G1807" t="s">
        <v>13</v>
      </c>
      <c r="H1807" s="2">
        <v>5456.7</v>
      </c>
    </row>
    <row r="1808" spans="1:8">
      <c r="A1808" t="s">
        <v>62</v>
      </c>
      <c r="B1808" t="s">
        <v>63</v>
      </c>
      <c r="C1808" t="s">
        <v>51</v>
      </c>
      <c r="D1808" t="s">
        <v>29</v>
      </c>
      <c r="E1808">
        <v>2012</v>
      </c>
      <c r="F1808" t="s">
        <v>20</v>
      </c>
      <c r="G1808" t="s">
        <v>19</v>
      </c>
      <c r="H1808" s="2">
        <v>0</v>
      </c>
    </row>
    <row r="1809" spans="1:8">
      <c r="A1809" t="s">
        <v>62</v>
      </c>
      <c r="B1809" t="s">
        <v>63</v>
      </c>
      <c r="C1809" t="s">
        <v>51</v>
      </c>
      <c r="D1809" t="s">
        <v>29</v>
      </c>
      <c r="E1809">
        <v>2012</v>
      </c>
      <c r="F1809" t="s">
        <v>14</v>
      </c>
      <c r="G1809" t="s">
        <v>19</v>
      </c>
      <c r="H1809" s="2">
        <v>0</v>
      </c>
    </row>
    <row r="1810" spans="1:8">
      <c r="A1810" t="s">
        <v>62</v>
      </c>
      <c r="B1810" t="s">
        <v>63</v>
      </c>
      <c r="C1810" t="s">
        <v>51</v>
      </c>
      <c r="D1810" t="s">
        <v>29</v>
      </c>
      <c r="E1810">
        <v>2013</v>
      </c>
      <c r="F1810" t="s">
        <v>21</v>
      </c>
      <c r="G1810" t="s">
        <v>19</v>
      </c>
      <c r="H1810" s="2">
        <v>0</v>
      </c>
    </row>
    <row r="1811" spans="1:8">
      <c r="A1811" t="s">
        <v>62</v>
      </c>
      <c r="B1811" t="s">
        <v>63</v>
      </c>
      <c r="C1811" t="s">
        <v>51</v>
      </c>
      <c r="D1811" t="s">
        <v>29</v>
      </c>
      <c r="E1811">
        <v>2014</v>
      </c>
      <c r="F1811" t="s">
        <v>22</v>
      </c>
      <c r="G1811" t="s">
        <v>15</v>
      </c>
      <c r="H1811" s="2">
        <v>51823.64</v>
      </c>
    </row>
    <row r="1812" spans="1:8">
      <c r="A1812" t="s">
        <v>62</v>
      </c>
      <c r="B1812" t="s">
        <v>63</v>
      </c>
      <c r="C1812" t="s">
        <v>51</v>
      </c>
      <c r="D1812" t="s">
        <v>29</v>
      </c>
      <c r="E1812">
        <v>2014</v>
      </c>
      <c r="F1812" t="s">
        <v>18</v>
      </c>
      <c r="G1812" t="s">
        <v>13</v>
      </c>
      <c r="H1812" s="2">
        <v>42930.09</v>
      </c>
    </row>
    <row r="1813" spans="1:8">
      <c r="A1813" t="s">
        <v>62</v>
      </c>
      <c r="B1813" t="s">
        <v>63</v>
      </c>
      <c r="C1813" t="s">
        <v>51</v>
      </c>
      <c r="D1813" t="s">
        <v>29</v>
      </c>
      <c r="E1813">
        <v>2014</v>
      </c>
      <c r="F1813" t="s">
        <v>14</v>
      </c>
      <c r="G1813" t="s">
        <v>15</v>
      </c>
      <c r="H1813" s="2">
        <v>3036.22</v>
      </c>
    </row>
    <row r="1814" spans="1:8">
      <c r="A1814" t="s">
        <v>62</v>
      </c>
      <c r="B1814" t="s">
        <v>63</v>
      </c>
      <c r="C1814" t="s">
        <v>51</v>
      </c>
      <c r="D1814" t="s">
        <v>29</v>
      </c>
      <c r="E1814">
        <v>2015</v>
      </c>
      <c r="F1814" t="s">
        <v>12</v>
      </c>
      <c r="G1814" t="s">
        <v>15</v>
      </c>
      <c r="H1814" s="2">
        <v>9354.94</v>
      </c>
    </row>
    <row r="1815" spans="1:8">
      <c r="A1815" t="s">
        <v>62</v>
      </c>
      <c r="B1815" t="s">
        <v>63</v>
      </c>
      <c r="C1815" t="s">
        <v>51</v>
      </c>
      <c r="D1815" t="s">
        <v>29</v>
      </c>
      <c r="E1815">
        <v>2015</v>
      </c>
      <c r="F1815" t="s">
        <v>12</v>
      </c>
      <c r="G1815" t="s">
        <v>13</v>
      </c>
      <c r="H1815" s="2">
        <v>117017.97</v>
      </c>
    </row>
    <row r="1816" spans="1:8">
      <c r="A1816" t="s">
        <v>62</v>
      </c>
      <c r="B1816" t="s">
        <v>63</v>
      </c>
      <c r="C1816" t="s">
        <v>51</v>
      </c>
      <c r="D1816" t="s">
        <v>29</v>
      </c>
      <c r="E1816">
        <v>2016</v>
      </c>
      <c r="F1816" t="s">
        <v>22</v>
      </c>
      <c r="G1816" t="s">
        <v>15</v>
      </c>
      <c r="H1816" s="2">
        <v>50421.45</v>
      </c>
    </row>
    <row r="1817" spans="1:8">
      <c r="A1817" t="s">
        <v>62</v>
      </c>
      <c r="B1817" t="s">
        <v>63</v>
      </c>
      <c r="C1817" t="s">
        <v>51</v>
      </c>
      <c r="D1817" t="s">
        <v>29</v>
      </c>
      <c r="E1817">
        <v>2016</v>
      </c>
      <c r="F1817" t="s">
        <v>22</v>
      </c>
      <c r="G1817" t="s">
        <v>17</v>
      </c>
      <c r="H1817" s="2">
        <v>13963.08</v>
      </c>
    </row>
    <row r="1818" spans="1:8">
      <c r="A1818" t="s">
        <v>62</v>
      </c>
      <c r="B1818" t="s">
        <v>63</v>
      </c>
      <c r="C1818" t="s">
        <v>51</v>
      </c>
      <c r="D1818" t="s">
        <v>29</v>
      </c>
      <c r="E1818">
        <v>2016</v>
      </c>
      <c r="F1818" t="s">
        <v>12</v>
      </c>
      <c r="G1818" t="s">
        <v>15</v>
      </c>
      <c r="H1818" s="2">
        <v>8690.32</v>
      </c>
    </row>
    <row r="1819" spans="1:8">
      <c r="A1819" t="s">
        <v>62</v>
      </c>
      <c r="B1819" t="s">
        <v>63</v>
      </c>
      <c r="C1819" t="s">
        <v>51</v>
      </c>
      <c r="D1819" t="s">
        <v>29</v>
      </c>
      <c r="E1819">
        <v>2016</v>
      </c>
      <c r="F1819" t="s">
        <v>12</v>
      </c>
      <c r="G1819" t="s">
        <v>13</v>
      </c>
      <c r="H1819" s="2">
        <v>118818.74</v>
      </c>
    </row>
    <row r="1820" spans="1:8">
      <c r="A1820" t="s">
        <v>62</v>
      </c>
      <c r="B1820" t="s">
        <v>63</v>
      </c>
      <c r="C1820" t="s">
        <v>51</v>
      </c>
      <c r="D1820" t="s">
        <v>29</v>
      </c>
      <c r="E1820">
        <v>2017</v>
      </c>
      <c r="F1820" t="s">
        <v>12</v>
      </c>
      <c r="G1820" t="s">
        <v>19</v>
      </c>
      <c r="H1820" s="2">
        <v>0</v>
      </c>
    </row>
    <row r="1821" spans="1:8">
      <c r="A1821" t="s">
        <v>62</v>
      </c>
      <c r="B1821" t="s">
        <v>63</v>
      </c>
      <c r="C1821" t="s">
        <v>51</v>
      </c>
      <c r="D1821" t="s">
        <v>29</v>
      </c>
      <c r="E1821">
        <v>2017</v>
      </c>
      <c r="F1821" t="s">
        <v>20</v>
      </c>
      <c r="G1821" t="s">
        <v>15</v>
      </c>
      <c r="H1821" s="2">
        <v>399.96</v>
      </c>
    </row>
    <row r="1822" spans="1:8">
      <c r="A1822" t="s">
        <v>62</v>
      </c>
      <c r="B1822" t="s">
        <v>63</v>
      </c>
      <c r="C1822" t="s">
        <v>51</v>
      </c>
      <c r="D1822" t="s">
        <v>29</v>
      </c>
      <c r="E1822">
        <v>2017</v>
      </c>
      <c r="F1822" t="s">
        <v>14</v>
      </c>
      <c r="G1822" t="s">
        <v>13</v>
      </c>
      <c r="H1822" s="2">
        <v>83926.92</v>
      </c>
    </row>
    <row r="1823" spans="1:8">
      <c r="A1823" t="s">
        <v>62</v>
      </c>
      <c r="B1823" t="s">
        <v>63</v>
      </c>
      <c r="C1823" t="s">
        <v>51</v>
      </c>
      <c r="D1823" t="s">
        <v>29</v>
      </c>
      <c r="E1823">
        <v>2017</v>
      </c>
      <c r="F1823" t="s">
        <v>21</v>
      </c>
      <c r="G1823" t="s">
        <v>17</v>
      </c>
      <c r="H1823" s="2">
        <v>1211.4000000000001</v>
      </c>
    </row>
    <row r="1824" spans="1:8">
      <c r="A1824" t="s">
        <v>62</v>
      </c>
      <c r="B1824" t="s">
        <v>63</v>
      </c>
      <c r="C1824" t="s">
        <v>51</v>
      </c>
      <c r="D1824" t="s">
        <v>29</v>
      </c>
      <c r="E1824">
        <v>2018</v>
      </c>
      <c r="F1824" t="s">
        <v>22</v>
      </c>
      <c r="G1824" t="s">
        <v>15</v>
      </c>
      <c r="H1824" s="2">
        <v>48812.43</v>
      </c>
    </row>
    <row r="1825" spans="1:8">
      <c r="A1825" t="s">
        <v>62</v>
      </c>
      <c r="B1825" t="s">
        <v>63</v>
      </c>
      <c r="C1825" t="s">
        <v>51</v>
      </c>
      <c r="D1825" t="s">
        <v>29</v>
      </c>
      <c r="E1825">
        <v>2018</v>
      </c>
      <c r="F1825" t="s">
        <v>21</v>
      </c>
      <c r="G1825" t="s">
        <v>17</v>
      </c>
      <c r="H1825" s="2">
        <v>1040.9100000000001</v>
      </c>
    </row>
    <row r="1826" spans="1:8">
      <c r="A1826" t="s">
        <v>62</v>
      </c>
      <c r="B1826" t="s">
        <v>63</v>
      </c>
      <c r="C1826" t="s">
        <v>51</v>
      </c>
      <c r="D1826" t="s">
        <v>29</v>
      </c>
      <c r="E1826">
        <v>2019</v>
      </c>
      <c r="F1826" t="s">
        <v>12</v>
      </c>
      <c r="G1826" t="s">
        <v>17</v>
      </c>
      <c r="H1826" s="2">
        <v>3155.23</v>
      </c>
    </row>
    <row r="1827" spans="1:8">
      <c r="A1827" t="s">
        <v>62</v>
      </c>
      <c r="B1827" t="s">
        <v>63</v>
      </c>
      <c r="C1827" t="s">
        <v>51</v>
      </c>
      <c r="D1827" t="s">
        <v>29</v>
      </c>
      <c r="E1827">
        <v>2019</v>
      </c>
      <c r="F1827" t="s">
        <v>18</v>
      </c>
      <c r="G1827" t="s">
        <v>17</v>
      </c>
      <c r="H1827" s="2">
        <v>2353.85</v>
      </c>
    </row>
    <row r="1828" spans="1:8">
      <c r="A1828" t="s">
        <v>62</v>
      </c>
      <c r="B1828" t="s">
        <v>63</v>
      </c>
      <c r="C1828" t="s">
        <v>51</v>
      </c>
      <c r="D1828" t="s">
        <v>29</v>
      </c>
      <c r="E1828">
        <v>2019</v>
      </c>
      <c r="F1828" t="s">
        <v>14</v>
      </c>
      <c r="G1828" t="s">
        <v>17</v>
      </c>
      <c r="H1828" s="2">
        <v>1693</v>
      </c>
    </row>
    <row r="1829" spans="1:8">
      <c r="A1829" t="s">
        <v>62</v>
      </c>
      <c r="B1829" t="s">
        <v>63</v>
      </c>
      <c r="C1829" t="s">
        <v>51</v>
      </c>
      <c r="D1829" t="s">
        <v>29</v>
      </c>
      <c r="E1829">
        <v>2020</v>
      </c>
      <c r="F1829" t="s">
        <v>20</v>
      </c>
      <c r="G1829" t="s">
        <v>15</v>
      </c>
      <c r="H1829" s="2">
        <v>399.97</v>
      </c>
    </row>
    <row r="1830" spans="1:8">
      <c r="A1830" t="s">
        <v>62</v>
      </c>
      <c r="B1830" t="s">
        <v>63</v>
      </c>
      <c r="C1830" t="s">
        <v>51</v>
      </c>
      <c r="D1830" t="s">
        <v>29</v>
      </c>
      <c r="E1830">
        <v>2020</v>
      </c>
      <c r="F1830" t="s">
        <v>14</v>
      </c>
      <c r="G1830" t="s">
        <v>17</v>
      </c>
      <c r="H1830" s="2">
        <v>1588.46</v>
      </c>
    </row>
    <row r="1831" spans="1:8">
      <c r="A1831" t="s">
        <v>62</v>
      </c>
      <c r="B1831" t="s">
        <v>63</v>
      </c>
      <c r="C1831" t="s">
        <v>51</v>
      </c>
      <c r="D1831" t="s">
        <v>29</v>
      </c>
      <c r="E1831">
        <v>2020</v>
      </c>
      <c r="F1831" t="s">
        <v>21</v>
      </c>
      <c r="G1831" t="s">
        <v>17</v>
      </c>
      <c r="H1831" s="2">
        <v>1046.95</v>
      </c>
    </row>
    <row r="1832" spans="1:8">
      <c r="A1832" t="s">
        <v>62</v>
      </c>
      <c r="B1832" t="s">
        <v>63</v>
      </c>
      <c r="C1832" t="s">
        <v>51</v>
      </c>
      <c r="D1832" t="s">
        <v>29</v>
      </c>
      <c r="E1832">
        <v>2021</v>
      </c>
      <c r="F1832" t="s">
        <v>21</v>
      </c>
      <c r="G1832" t="s">
        <v>13</v>
      </c>
      <c r="H1832" s="2">
        <v>107137.03</v>
      </c>
    </row>
    <row r="1833" spans="1:8">
      <c r="A1833" t="s">
        <v>62</v>
      </c>
      <c r="B1833" t="s">
        <v>63</v>
      </c>
      <c r="C1833" t="s">
        <v>51</v>
      </c>
      <c r="D1833" t="s">
        <v>29</v>
      </c>
      <c r="E1833">
        <v>2022</v>
      </c>
      <c r="F1833" t="s">
        <v>14</v>
      </c>
      <c r="G1833" t="s">
        <v>15</v>
      </c>
      <c r="H1833" s="2">
        <v>2276.11</v>
      </c>
    </row>
    <row r="1834" spans="1:8">
      <c r="A1834" t="s">
        <v>62</v>
      </c>
      <c r="B1834" t="s">
        <v>63</v>
      </c>
      <c r="C1834" t="s">
        <v>51</v>
      </c>
      <c r="D1834" t="s">
        <v>29</v>
      </c>
      <c r="E1834">
        <v>2022</v>
      </c>
      <c r="F1834" t="s">
        <v>21</v>
      </c>
      <c r="G1834" t="s">
        <v>19</v>
      </c>
      <c r="H1834" s="2">
        <v>0</v>
      </c>
    </row>
    <row r="1835" spans="1:8">
      <c r="A1835" t="s">
        <v>62</v>
      </c>
      <c r="B1835" t="s">
        <v>63</v>
      </c>
      <c r="C1835" t="s">
        <v>51</v>
      </c>
      <c r="D1835" t="s">
        <v>29</v>
      </c>
      <c r="E1835">
        <v>2022</v>
      </c>
      <c r="F1835" t="s">
        <v>16</v>
      </c>
      <c r="G1835" t="s">
        <v>17</v>
      </c>
      <c r="H1835" s="2">
        <v>1451.59</v>
      </c>
    </row>
    <row r="1836" spans="1:8">
      <c r="A1836" t="s">
        <v>62</v>
      </c>
      <c r="B1836" t="s">
        <v>63</v>
      </c>
      <c r="C1836" t="s">
        <v>51</v>
      </c>
      <c r="D1836" t="s">
        <v>29</v>
      </c>
      <c r="E1836">
        <v>2023</v>
      </c>
      <c r="F1836" t="s">
        <v>12</v>
      </c>
      <c r="G1836" t="s">
        <v>15</v>
      </c>
      <c r="H1836" s="2">
        <v>7053.42</v>
      </c>
    </row>
    <row r="1837" spans="1:8">
      <c r="A1837" t="s">
        <v>62</v>
      </c>
      <c r="B1837" t="s">
        <v>63</v>
      </c>
      <c r="C1837" t="s">
        <v>51</v>
      </c>
      <c r="D1837" t="s">
        <v>29</v>
      </c>
      <c r="E1837">
        <v>2023</v>
      </c>
      <c r="F1837" t="s">
        <v>12</v>
      </c>
      <c r="G1837" t="s">
        <v>19</v>
      </c>
      <c r="H1837" s="2">
        <v>0</v>
      </c>
    </row>
    <row r="1838" spans="1:8">
      <c r="A1838" t="s">
        <v>62</v>
      </c>
      <c r="B1838" t="s">
        <v>63</v>
      </c>
      <c r="C1838" t="s">
        <v>51</v>
      </c>
      <c r="D1838" t="s">
        <v>29</v>
      </c>
      <c r="E1838">
        <v>2023</v>
      </c>
      <c r="F1838" t="s">
        <v>12</v>
      </c>
      <c r="G1838" t="s">
        <v>17</v>
      </c>
      <c r="H1838" s="2">
        <v>3227.72</v>
      </c>
    </row>
    <row r="1839" spans="1:8">
      <c r="A1839" t="s">
        <v>62</v>
      </c>
      <c r="B1839" t="s">
        <v>63</v>
      </c>
      <c r="C1839" t="s">
        <v>51</v>
      </c>
      <c r="D1839" t="s">
        <v>29</v>
      </c>
      <c r="E1839">
        <v>2023</v>
      </c>
      <c r="F1839" t="s">
        <v>18</v>
      </c>
      <c r="G1839" t="s">
        <v>17</v>
      </c>
      <c r="H1839" s="2">
        <v>2223.8200000000002</v>
      </c>
    </row>
    <row r="1840" spans="1:8">
      <c r="A1840" t="s">
        <v>62</v>
      </c>
      <c r="B1840" t="s">
        <v>63</v>
      </c>
      <c r="C1840" t="s">
        <v>51</v>
      </c>
      <c r="D1840" t="s">
        <v>29</v>
      </c>
      <c r="E1840">
        <v>2023</v>
      </c>
      <c r="F1840" t="s">
        <v>14</v>
      </c>
      <c r="G1840" t="s">
        <v>13</v>
      </c>
      <c r="H1840" s="2">
        <v>79441.929999999993</v>
      </c>
    </row>
    <row r="1841" spans="1:8">
      <c r="A1841" t="s">
        <v>62</v>
      </c>
      <c r="B1841" t="s">
        <v>63</v>
      </c>
      <c r="C1841" t="s">
        <v>51</v>
      </c>
      <c r="D1841" t="s">
        <v>29</v>
      </c>
      <c r="E1841">
        <v>2023</v>
      </c>
      <c r="F1841" t="s">
        <v>21</v>
      </c>
      <c r="G1841" t="s">
        <v>15</v>
      </c>
      <c r="H1841" s="2">
        <v>2372.1799999999998</v>
      </c>
    </row>
    <row r="1842" spans="1:8">
      <c r="A1842" t="s">
        <v>62</v>
      </c>
      <c r="B1842" t="s">
        <v>63</v>
      </c>
      <c r="C1842" t="s">
        <v>51</v>
      </c>
      <c r="D1842" t="s">
        <v>29</v>
      </c>
      <c r="E1842">
        <v>2023</v>
      </c>
      <c r="F1842" t="s">
        <v>16</v>
      </c>
      <c r="G1842" t="s">
        <v>17</v>
      </c>
      <c r="H1842" s="2">
        <v>1450.85</v>
      </c>
    </row>
    <row r="1843" spans="1:8">
      <c r="A1843" t="s">
        <v>62</v>
      </c>
      <c r="B1843" t="s">
        <v>63</v>
      </c>
      <c r="C1843" t="s">
        <v>51</v>
      </c>
      <c r="D1843" t="s">
        <v>29</v>
      </c>
      <c r="E1843">
        <v>2024</v>
      </c>
      <c r="F1843" t="s">
        <v>12</v>
      </c>
      <c r="G1843" t="s">
        <v>17</v>
      </c>
      <c r="H1843" s="2">
        <v>3091.94</v>
      </c>
    </row>
    <row r="1844" spans="1:8">
      <c r="A1844" t="s">
        <v>62</v>
      </c>
      <c r="B1844" t="s">
        <v>63</v>
      </c>
      <c r="C1844" t="s">
        <v>51</v>
      </c>
      <c r="D1844" t="s">
        <v>29</v>
      </c>
      <c r="E1844">
        <v>2024</v>
      </c>
      <c r="F1844" t="s">
        <v>20</v>
      </c>
      <c r="G1844" t="s">
        <v>19</v>
      </c>
      <c r="H1844" s="2">
        <v>0</v>
      </c>
    </row>
    <row r="1845" spans="1:8">
      <c r="A1845" t="s">
        <v>64</v>
      </c>
      <c r="B1845" t="s">
        <v>65</v>
      </c>
      <c r="C1845" t="s">
        <v>32</v>
      </c>
      <c r="D1845" t="s">
        <v>29</v>
      </c>
      <c r="E1845">
        <v>1990</v>
      </c>
      <c r="F1845" t="s">
        <v>22</v>
      </c>
      <c r="G1845" t="s">
        <v>13</v>
      </c>
      <c r="H1845" s="2">
        <v>5991.37</v>
      </c>
    </row>
    <row r="1846" spans="1:8">
      <c r="A1846" t="s">
        <v>64</v>
      </c>
      <c r="B1846" t="s">
        <v>65</v>
      </c>
      <c r="C1846" t="s">
        <v>32</v>
      </c>
      <c r="D1846" t="s">
        <v>29</v>
      </c>
      <c r="E1846">
        <v>1991</v>
      </c>
      <c r="F1846" t="s">
        <v>22</v>
      </c>
      <c r="G1846" t="s">
        <v>13</v>
      </c>
      <c r="H1846" s="2">
        <v>6926.2</v>
      </c>
    </row>
    <row r="1847" spans="1:8">
      <c r="A1847" t="s">
        <v>64</v>
      </c>
      <c r="B1847" t="s">
        <v>65</v>
      </c>
      <c r="C1847" t="s">
        <v>32</v>
      </c>
      <c r="D1847" t="s">
        <v>29</v>
      </c>
      <c r="E1847">
        <v>1991</v>
      </c>
      <c r="F1847" t="s">
        <v>14</v>
      </c>
      <c r="G1847" t="s">
        <v>15</v>
      </c>
      <c r="H1847" s="2">
        <v>18298.41</v>
      </c>
    </row>
    <row r="1848" spans="1:8">
      <c r="A1848" t="s">
        <v>64</v>
      </c>
      <c r="B1848" t="s">
        <v>65</v>
      </c>
      <c r="C1848" t="s">
        <v>32</v>
      </c>
      <c r="D1848" t="s">
        <v>29</v>
      </c>
      <c r="E1848">
        <v>1992</v>
      </c>
      <c r="F1848" t="s">
        <v>22</v>
      </c>
      <c r="G1848" t="s">
        <v>15</v>
      </c>
      <c r="H1848" s="2">
        <v>46174.53</v>
      </c>
    </row>
    <row r="1849" spans="1:8">
      <c r="A1849" t="s">
        <v>64</v>
      </c>
      <c r="B1849" t="s">
        <v>65</v>
      </c>
      <c r="C1849" t="s">
        <v>32</v>
      </c>
      <c r="D1849" t="s">
        <v>29</v>
      </c>
      <c r="E1849">
        <v>1992</v>
      </c>
      <c r="F1849" t="s">
        <v>22</v>
      </c>
      <c r="G1849" t="s">
        <v>17</v>
      </c>
      <c r="H1849" s="2">
        <v>14329.81</v>
      </c>
    </row>
    <row r="1850" spans="1:8">
      <c r="A1850" t="s">
        <v>64</v>
      </c>
      <c r="B1850" t="s">
        <v>65</v>
      </c>
      <c r="C1850" t="s">
        <v>32</v>
      </c>
      <c r="D1850" t="s">
        <v>29</v>
      </c>
      <c r="E1850">
        <v>1992</v>
      </c>
      <c r="F1850" t="s">
        <v>12</v>
      </c>
      <c r="G1850" t="s">
        <v>15</v>
      </c>
      <c r="H1850" s="2">
        <v>22566.81</v>
      </c>
    </row>
    <row r="1851" spans="1:8">
      <c r="A1851" t="s">
        <v>64</v>
      </c>
      <c r="B1851" t="s">
        <v>65</v>
      </c>
      <c r="C1851" t="s">
        <v>32</v>
      </c>
      <c r="D1851" t="s">
        <v>29</v>
      </c>
      <c r="E1851">
        <v>1992</v>
      </c>
      <c r="F1851" t="s">
        <v>18</v>
      </c>
      <c r="G1851" t="s">
        <v>17</v>
      </c>
      <c r="H1851" s="2">
        <v>12340.65</v>
      </c>
    </row>
    <row r="1852" spans="1:8">
      <c r="A1852" t="s">
        <v>64</v>
      </c>
      <c r="B1852" t="s">
        <v>65</v>
      </c>
      <c r="C1852" t="s">
        <v>32</v>
      </c>
      <c r="D1852" t="s">
        <v>29</v>
      </c>
      <c r="E1852">
        <v>1992</v>
      </c>
      <c r="F1852" t="s">
        <v>20</v>
      </c>
      <c r="G1852" t="s">
        <v>17</v>
      </c>
      <c r="H1852" s="2">
        <v>-2364.5300000000002</v>
      </c>
    </row>
    <row r="1853" spans="1:8">
      <c r="A1853" t="s">
        <v>64</v>
      </c>
      <c r="B1853" t="s">
        <v>65</v>
      </c>
      <c r="C1853" t="s">
        <v>32</v>
      </c>
      <c r="D1853" t="s">
        <v>29</v>
      </c>
      <c r="E1853">
        <v>1992</v>
      </c>
      <c r="F1853" t="s">
        <v>21</v>
      </c>
      <c r="G1853" t="s">
        <v>13</v>
      </c>
      <c r="H1853" s="2">
        <v>108783.34</v>
      </c>
    </row>
    <row r="1854" spans="1:8">
      <c r="A1854" t="s">
        <v>64</v>
      </c>
      <c r="B1854" t="s">
        <v>65</v>
      </c>
      <c r="C1854" t="s">
        <v>32</v>
      </c>
      <c r="D1854" t="s">
        <v>29</v>
      </c>
      <c r="E1854">
        <v>1993</v>
      </c>
      <c r="F1854" t="s">
        <v>18</v>
      </c>
      <c r="G1854" t="s">
        <v>17</v>
      </c>
      <c r="H1854" s="2">
        <v>13973.54</v>
      </c>
    </row>
    <row r="1855" spans="1:8">
      <c r="A1855" t="s">
        <v>64</v>
      </c>
      <c r="B1855" t="s">
        <v>65</v>
      </c>
      <c r="C1855" t="s">
        <v>32</v>
      </c>
      <c r="D1855" t="s">
        <v>29</v>
      </c>
      <c r="E1855">
        <v>1993</v>
      </c>
      <c r="F1855" t="s">
        <v>20</v>
      </c>
      <c r="G1855" t="s">
        <v>17</v>
      </c>
      <c r="H1855" s="2">
        <v>-2856.21</v>
      </c>
    </row>
    <row r="1856" spans="1:8">
      <c r="A1856" t="s">
        <v>64</v>
      </c>
      <c r="B1856" t="s">
        <v>65</v>
      </c>
      <c r="C1856" t="s">
        <v>32</v>
      </c>
      <c r="D1856" t="s">
        <v>29</v>
      </c>
      <c r="E1856">
        <v>1993</v>
      </c>
      <c r="F1856" t="s">
        <v>21</v>
      </c>
      <c r="G1856" t="s">
        <v>13</v>
      </c>
      <c r="H1856" s="2">
        <v>106707.18</v>
      </c>
    </row>
    <row r="1857" spans="1:8">
      <c r="A1857" t="s">
        <v>64</v>
      </c>
      <c r="B1857" t="s">
        <v>65</v>
      </c>
      <c r="C1857" t="s">
        <v>32</v>
      </c>
      <c r="D1857" t="s">
        <v>29</v>
      </c>
      <c r="E1857">
        <v>1993</v>
      </c>
      <c r="F1857" t="s">
        <v>16</v>
      </c>
      <c r="G1857" t="s">
        <v>19</v>
      </c>
      <c r="H1857" s="2">
        <v>0</v>
      </c>
    </row>
    <row r="1858" spans="1:8">
      <c r="A1858" t="s">
        <v>64</v>
      </c>
      <c r="B1858" t="s">
        <v>65</v>
      </c>
      <c r="C1858" t="s">
        <v>32</v>
      </c>
      <c r="D1858" t="s">
        <v>29</v>
      </c>
      <c r="E1858">
        <v>1994</v>
      </c>
      <c r="F1858" t="s">
        <v>14</v>
      </c>
      <c r="G1858" t="s">
        <v>15</v>
      </c>
      <c r="H1858" s="2">
        <v>20660.62</v>
      </c>
    </row>
    <row r="1859" spans="1:8">
      <c r="A1859" t="s">
        <v>64</v>
      </c>
      <c r="B1859" t="s">
        <v>65</v>
      </c>
      <c r="C1859" t="s">
        <v>32</v>
      </c>
      <c r="D1859" t="s">
        <v>29</v>
      </c>
      <c r="E1859">
        <v>1994</v>
      </c>
      <c r="F1859" t="s">
        <v>21</v>
      </c>
      <c r="G1859" t="s">
        <v>13</v>
      </c>
      <c r="H1859" s="2">
        <v>102566.22</v>
      </c>
    </row>
    <row r="1860" spans="1:8">
      <c r="A1860" t="s">
        <v>64</v>
      </c>
      <c r="B1860" t="s">
        <v>65</v>
      </c>
      <c r="C1860" t="s">
        <v>32</v>
      </c>
      <c r="D1860" t="s">
        <v>29</v>
      </c>
      <c r="E1860">
        <v>1995</v>
      </c>
      <c r="F1860" t="s">
        <v>22</v>
      </c>
      <c r="G1860" t="s">
        <v>17</v>
      </c>
      <c r="H1860" s="2">
        <v>10939.45</v>
      </c>
    </row>
    <row r="1861" spans="1:8">
      <c r="A1861" t="s">
        <v>64</v>
      </c>
      <c r="B1861" t="s">
        <v>65</v>
      </c>
      <c r="C1861" t="s">
        <v>32</v>
      </c>
      <c r="D1861" t="s">
        <v>29</v>
      </c>
      <c r="E1861">
        <v>1995</v>
      </c>
      <c r="F1861" t="s">
        <v>18</v>
      </c>
      <c r="G1861" t="s">
        <v>19</v>
      </c>
      <c r="H1861" s="2">
        <v>11391.7</v>
      </c>
    </row>
    <row r="1862" spans="1:8">
      <c r="A1862" t="s">
        <v>64</v>
      </c>
      <c r="B1862" t="s">
        <v>65</v>
      </c>
      <c r="C1862" t="s">
        <v>32</v>
      </c>
      <c r="D1862" t="s">
        <v>29</v>
      </c>
      <c r="E1862">
        <v>1995</v>
      </c>
      <c r="F1862" t="s">
        <v>20</v>
      </c>
      <c r="G1862" t="s">
        <v>15</v>
      </c>
      <c r="H1862" s="2">
        <v>-2006.36</v>
      </c>
    </row>
    <row r="1863" spans="1:8">
      <c r="A1863" t="s">
        <v>64</v>
      </c>
      <c r="B1863" t="s">
        <v>65</v>
      </c>
      <c r="C1863" t="s">
        <v>32</v>
      </c>
      <c r="D1863" t="s">
        <v>29</v>
      </c>
      <c r="E1863">
        <v>1995</v>
      </c>
      <c r="F1863" t="s">
        <v>20</v>
      </c>
      <c r="G1863" t="s">
        <v>13</v>
      </c>
      <c r="H1863" s="2">
        <v>-207686.39999999999</v>
      </c>
    </row>
    <row r="1864" spans="1:8">
      <c r="A1864" t="s">
        <v>64</v>
      </c>
      <c r="B1864" t="s">
        <v>65</v>
      </c>
      <c r="C1864" t="s">
        <v>32</v>
      </c>
      <c r="D1864" t="s">
        <v>29</v>
      </c>
      <c r="E1864">
        <v>1995</v>
      </c>
      <c r="F1864" t="s">
        <v>21</v>
      </c>
      <c r="G1864" t="s">
        <v>13</v>
      </c>
      <c r="H1864" s="2">
        <v>88159.86</v>
      </c>
    </row>
    <row r="1865" spans="1:8">
      <c r="A1865" t="s">
        <v>64</v>
      </c>
      <c r="B1865" t="s">
        <v>65</v>
      </c>
      <c r="C1865" t="s">
        <v>32</v>
      </c>
      <c r="D1865" t="s">
        <v>29</v>
      </c>
      <c r="E1865">
        <v>1995</v>
      </c>
      <c r="F1865" t="s">
        <v>16</v>
      </c>
      <c r="G1865" t="s">
        <v>19</v>
      </c>
      <c r="H1865" s="2">
        <v>0</v>
      </c>
    </row>
    <row r="1866" spans="1:8">
      <c r="A1866" t="s">
        <v>64</v>
      </c>
      <c r="B1866" t="s">
        <v>65</v>
      </c>
      <c r="C1866" t="s">
        <v>32</v>
      </c>
      <c r="D1866" t="s">
        <v>29</v>
      </c>
      <c r="E1866">
        <v>1996</v>
      </c>
      <c r="F1866" t="s">
        <v>22</v>
      </c>
      <c r="G1866" t="s">
        <v>15</v>
      </c>
      <c r="H1866" s="2">
        <v>52397.440000000002</v>
      </c>
    </row>
    <row r="1867" spans="1:8">
      <c r="A1867" t="s">
        <v>64</v>
      </c>
      <c r="B1867" t="s">
        <v>65</v>
      </c>
      <c r="C1867" t="s">
        <v>32</v>
      </c>
      <c r="D1867" t="s">
        <v>29</v>
      </c>
      <c r="E1867">
        <v>1996</v>
      </c>
      <c r="F1867" t="s">
        <v>22</v>
      </c>
      <c r="G1867" t="s">
        <v>13</v>
      </c>
      <c r="H1867" s="2">
        <v>6883.35</v>
      </c>
    </row>
    <row r="1868" spans="1:8">
      <c r="A1868" t="s">
        <v>64</v>
      </c>
      <c r="B1868" t="s">
        <v>65</v>
      </c>
      <c r="C1868" t="s">
        <v>32</v>
      </c>
      <c r="D1868" t="s">
        <v>29</v>
      </c>
      <c r="E1868">
        <v>1996</v>
      </c>
      <c r="F1868" t="s">
        <v>12</v>
      </c>
      <c r="G1868" t="s">
        <v>13</v>
      </c>
      <c r="H1868" s="2">
        <v>320038.32</v>
      </c>
    </row>
    <row r="1869" spans="1:8">
      <c r="A1869" t="s">
        <v>64</v>
      </c>
      <c r="B1869" t="s">
        <v>65</v>
      </c>
      <c r="C1869" t="s">
        <v>32</v>
      </c>
      <c r="D1869" t="s">
        <v>29</v>
      </c>
      <c r="E1869">
        <v>1996</v>
      </c>
      <c r="F1869" t="s">
        <v>12</v>
      </c>
      <c r="G1869" t="s">
        <v>19</v>
      </c>
      <c r="H1869" s="2">
        <v>0</v>
      </c>
    </row>
    <row r="1870" spans="1:8">
      <c r="A1870" t="s">
        <v>64</v>
      </c>
      <c r="B1870" t="s">
        <v>65</v>
      </c>
      <c r="C1870" t="s">
        <v>32</v>
      </c>
      <c r="D1870" t="s">
        <v>29</v>
      </c>
      <c r="E1870">
        <v>1996</v>
      </c>
      <c r="F1870" t="s">
        <v>12</v>
      </c>
      <c r="G1870" t="s">
        <v>17</v>
      </c>
      <c r="H1870" s="2">
        <v>10121.77</v>
      </c>
    </row>
    <row r="1871" spans="1:8">
      <c r="A1871" t="s">
        <v>64</v>
      </c>
      <c r="B1871" t="s">
        <v>65</v>
      </c>
      <c r="C1871" t="s">
        <v>32</v>
      </c>
      <c r="D1871" t="s">
        <v>29</v>
      </c>
      <c r="E1871">
        <v>1996</v>
      </c>
      <c r="F1871" t="s">
        <v>20</v>
      </c>
      <c r="G1871" t="s">
        <v>19</v>
      </c>
      <c r="H1871" s="2">
        <v>0</v>
      </c>
    </row>
    <row r="1872" spans="1:8">
      <c r="A1872" t="s">
        <v>64</v>
      </c>
      <c r="B1872" t="s">
        <v>65</v>
      </c>
      <c r="C1872" t="s">
        <v>32</v>
      </c>
      <c r="D1872" t="s">
        <v>29</v>
      </c>
      <c r="E1872">
        <v>1996</v>
      </c>
      <c r="F1872" t="s">
        <v>21</v>
      </c>
      <c r="G1872" t="s">
        <v>19</v>
      </c>
      <c r="H1872" s="2">
        <v>0</v>
      </c>
    </row>
    <row r="1873" spans="1:8">
      <c r="A1873" t="s">
        <v>64</v>
      </c>
      <c r="B1873" t="s">
        <v>65</v>
      </c>
      <c r="C1873" t="s">
        <v>32</v>
      </c>
      <c r="D1873" t="s">
        <v>29</v>
      </c>
      <c r="E1873">
        <v>1996</v>
      </c>
      <c r="F1873" t="s">
        <v>16</v>
      </c>
      <c r="G1873" t="s">
        <v>19</v>
      </c>
      <c r="H1873" s="2">
        <v>0</v>
      </c>
    </row>
    <row r="1874" spans="1:8">
      <c r="A1874" t="s">
        <v>64</v>
      </c>
      <c r="B1874" t="s">
        <v>65</v>
      </c>
      <c r="C1874" t="s">
        <v>32</v>
      </c>
      <c r="D1874" t="s">
        <v>29</v>
      </c>
      <c r="E1874">
        <v>1997</v>
      </c>
      <c r="F1874" t="s">
        <v>22</v>
      </c>
      <c r="G1874" t="s">
        <v>13</v>
      </c>
      <c r="H1874" s="2">
        <v>6242.28</v>
      </c>
    </row>
    <row r="1875" spans="1:8">
      <c r="A1875" t="s">
        <v>64</v>
      </c>
      <c r="B1875" t="s">
        <v>65</v>
      </c>
      <c r="C1875" t="s">
        <v>32</v>
      </c>
      <c r="D1875" t="s">
        <v>29</v>
      </c>
      <c r="E1875">
        <v>1997</v>
      </c>
      <c r="F1875" t="s">
        <v>12</v>
      </c>
      <c r="G1875" t="s">
        <v>17</v>
      </c>
      <c r="H1875" s="2">
        <v>9813.43</v>
      </c>
    </row>
    <row r="1876" spans="1:8">
      <c r="A1876" t="s">
        <v>64</v>
      </c>
      <c r="B1876" t="s">
        <v>65</v>
      </c>
      <c r="C1876" t="s">
        <v>32</v>
      </c>
      <c r="D1876" t="s">
        <v>29</v>
      </c>
      <c r="E1876">
        <v>1997</v>
      </c>
      <c r="F1876" t="s">
        <v>20</v>
      </c>
      <c r="G1876" t="s">
        <v>13</v>
      </c>
      <c r="H1876" s="2">
        <v>-221946.07</v>
      </c>
    </row>
    <row r="1877" spans="1:8">
      <c r="A1877" t="s">
        <v>64</v>
      </c>
      <c r="B1877" t="s">
        <v>65</v>
      </c>
      <c r="C1877" t="s">
        <v>32</v>
      </c>
      <c r="D1877" t="s">
        <v>29</v>
      </c>
      <c r="E1877">
        <v>1998</v>
      </c>
      <c r="F1877" t="s">
        <v>22</v>
      </c>
      <c r="G1877" t="s">
        <v>15</v>
      </c>
      <c r="H1877" s="2">
        <v>48285.36</v>
      </c>
    </row>
    <row r="1878" spans="1:8">
      <c r="A1878" t="s">
        <v>64</v>
      </c>
      <c r="B1878" t="s">
        <v>65</v>
      </c>
      <c r="C1878" t="s">
        <v>32</v>
      </c>
      <c r="D1878" t="s">
        <v>29</v>
      </c>
      <c r="E1878">
        <v>1998</v>
      </c>
      <c r="F1878" t="s">
        <v>18</v>
      </c>
      <c r="G1878" t="s">
        <v>15</v>
      </c>
      <c r="H1878" s="2">
        <v>13135.13</v>
      </c>
    </row>
    <row r="1879" spans="1:8">
      <c r="A1879" t="s">
        <v>64</v>
      </c>
      <c r="B1879" t="s">
        <v>65</v>
      </c>
      <c r="C1879" t="s">
        <v>32</v>
      </c>
      <c r="D1879" t="s">
        <v>29</v>
      </c>
      <c r="E1879">
        <v>1998</v>
      </c>
      <c r="F1879" t="s">
        <v>16</v>
      </c>
      <c r="G1879" t="s">
        <v>15</v>
      </c>
      <c r="H1879" s="2">
        <v>399346.55</v>
      </c>
    </row>
    <row r="1880" spans="1:8">
      <c r="A1880" t="s">
        <v>64</v>
      </c>
      <c r="B1880" t="s">
        <v>65</v>
      </c>
      <c r="C1880" t="s">
        <v>32</v>
      </c>
      <c r="D1880" t="s">
        <v>29</v>
      </c>
      <c r="E1880">
        <v>2000</v>
      </c>
      <c r="F1880" t="s">
        <v>21</v>
      </c>
      <c r="G1880" t="s">
        <v>15</v>
      </c>
      <c r="H1880" s="2">
        <v>2070.75</v>
      </c>
    </row>
    <row r="1881" spans="1:8">
      <c r="A1881" t="s">
        <v>64</v>
      </c>
      <c r="B1881" t="s">
        <v>65</v>
      </c>
      <c r="C1881" t="s">
        <v>32</v>
      </c>
      <c r="D1881" t="s">
        <v>29</v>
      </c>
      <c r="E1881">
        <v>2001</v>
      </c>
      <c r="F1881" t="s">
        <v>18</v>
      </c>
      <c r="G1881" t="s">
        <v>15</v>
      </c>
      <c r="H1881" s="2">
        <v>13279.19</v>
      </c>
    </row>
    <row r="1882" spans="1:8">
      <c r="A1882" t="s">
        <v>64</v>
      </c>
      <c r="B1882" t="s">
        <v>65</v>
      </c>
      <c r="C1882" t="s">
        <v>32</v>
      </c>
      <c r="D1882" t="s">
        <v>29</v>
      </c>
      <c r="E1882">
        <v>2001</v>
      </c>
      <c r="F1882" t="s">
        <v>14</v>
      </c>
      <c r="G1882" t="s">
        <v>15</v>
      </c>
      <c r="H1882" s="2">
        <v>20420.75</v>
      </c>
    </row>
    <row r="1883" spans="1:8">
      <c r="A1883" t="s">
        <v>64</v>
      </c>
      <c r="B1883" t="s">
        <v>65</v>
      </c>
      <c r="C1883" t="s">
        <v>32</v>
      </c>
      <c r="D1883" t="s">
        <v>29</v>
      </c>
      <c r="E1883">
        <v>2001</v>
      </c>
      <c r="F1883" t="s">
        <v>14</v>
      </c>
      <c r="G1883" t="s">
        <v>19</v>
      </c>
      <c r="H1883" s="2">
        <v>0</v>
      </c>
    </row>
    <row r="1884" spans="1:8">
      <c r="A1884" t="s">
        <v>64</v>
      </c>
      <c r="B1884" t="s">
        <v>65</v>
      </c>
      <c r="C1884" t="s">
        <v>32</v>
      </c>
      <c r="D1884" t="s">
        <v>29</v>
      </c>
      <c r="E1884">
        <v>2002</v>
      </c>
      <c r="F1884" t="s">
        <v>21</v>
      </c>
      <c r="G1884" t="s">
        <v>13</v>
      </c>
      <c r="H1884" s="2">
        <v>94438.99</v>
      </c>
    </row>
    <row r="1885" spans="1:8">
      <c r="A1885" t="s">
        <v>64</v>
      </c>
      <c r="B1885" t="s">
        <v>65</v>
      </c>
      <c r="C1885" t="s">
        <v>32</v>
      </c>
      <c r="D1885" t="s">
        <v>29</v>
      </c>
      <c r="E1885">
        <v>2003</v>
      </c>
      <c r="F1885" t="s">
        <v>12</v>
      </c>
      <c r="G1885" t="s">
        <v>15</v>
      </c>
      <c r="H1885" s="2">
        <v>24351.5</v>
      </c>
    </row>
    <row r="1886" spans="1:8">
      <c r="A1886" t="s">
        <v>64</v>
      </c>
      <c r="B1886" t="s">
        <v>65</v>
      </c>
      <c r="C1886" t="s">
        <v>32</v>
      </c>
      <c r="D1886" t="s">
        <v>29</v>
      </c>
      <c r="E1886">
        <v>2003</v>
      </c>
      <c r="F1886" t="s">
        <v>21</v>
      </c>
      <c r="G1886" t="s">
        <v>13</v>
      </c>
      <c r="H1886" s="2">
        <v>105376.68</v>
      </c>
    </row>
    <row r="1887" spans="1:8">
      <c r="A1887" t="s">
        <v>64</v>
      </c>
      <c r="B1887" t="s">
        <v>65</v>
      </c>
      <c r="C1887" t="s">
        <v>32</v>
      </c>
      <c r="D1887" t="s">
        <v>29</v>
      </c>
      <c r="E1887">
        <v>2004</v>
      </c>
      <c r="F1887" t="s">
        <v>22</v>
      </c>
      <c r="G1887" t="s">
        <v>15</v>
      </c>
      <c r="H1887" s="2">
        <v>46506.2</v>
      </c>
    </row>
    <row r="1888" spans="1:8">
      <c r="A1888" t="s">
        <v>64</v>
      </c>
      <c r="B1888" t="s">
        <v>65</v>
      </c>
      <c r="C1888" t="s">
        <v>32</v>
      </c>
      <c r="D1888" t="s">
        <v>29</v>
      </c>
      <c r="E1888">
        <v>2004</v>
      </c>
      <c r="F1888" t="s">
        <v>12</v>
      </c>
      <c r="G1888" t="s">
        <v>15</v>
      </c>
      <c r="H1888" s="2">
        <v>25654.52</v>
      </c>
    </row>
    <row r="1889" spans="1:8">
      <c r="A1889" t="s">
        <v>64</v>
      </c>
      <c r="B1889" t="s">
        <v>65</v>
      </c>
      <c r="C1889" t="s">
        <v>32</v>
      </c>
      <c r="D1889" t="s">
        <v>29</v>
      </c>
      <c r="E1889">
        <v>2004</v>
      </c>
      <c r="F1889" t="s">
        <v>12</v>
      </c>
      <c r="G1889" t="s">
        <v>13</v>
      </c>
      <c r="H1889" s="2">
        <v>312381.2</v>
      </c>
    </row>
    <row r="1890" spans="1:8">
      <c r="A1890" t="s">
        <v>64</v>
      </c>
      <c r="B1890" t="s">
        <v>65</v>
      </c>
      <c r="C1890" t="s">
        <v>32</v>
      </c>
      <c r="D1890" t="s">
        <v>29</v>
      </c>
      <c r="E1890">
        <v>2004</v>
      </c>
      <c r="F1890" t="s">
        <v>21</v>
      </c>
      <c r="G1890" t="s">
        <v>15</v>
      </c>
      <c r="H1890" s="2">
        <v>2101.46</v>
      </c>
    </row>
    <row r="1891" spans="1:8">
      <c r="A1891" t="s">
        <v>64</v>
      </c>
      <c r="B1891" t="s">
        <v>65</v>
      </c>
      <c r="C1891" t="s">
        <v>32</v>
      </c>
      <c r="D1891" t="s">
        <v>29</v>
      </c>
      <c r="E1891">
        <v>2005</v>
      </c>
      <c r="F1891" t="s">
        <v>22</v>
      </c>
      <c r="G1891" t="s">
        <v>13</v>
      </c>
      <c r="H1891" s="2">
        <v>6099.71</v>
      </c>
    </row>
    <row r="1892" spans="1:8">
      <c r="A1892" t="s">
        <v>64</v>
      </c>
      <c r="B1892" t="s">
        <v>65</v>
      </c>
      <c r="C1892" t="s">
        <v>32</v>
      </c>
      <c r="D1892" t="s">
        <v>29</v>
      </c>
      <c r="E1892">
        <v>2005</v>
      </c>
      <c r="F1892" t="s">
        <v>20</v>
      </c>
      <c r="G1892" t="s">
        <v>19</v>
      </c>
      <c r="H1892" s="2">
        <v>0</v>
      </c>
    </row>
    <row r="1893" spans="1:8">
      <c r="A1893" t="s">
        <v>64</v>
      </c>
      <c r="B1893" t="s">
        <v>65</v>
      </c>
      <c r="C1893" t="s">
        <v>32</v>
      </c>
      <c r="D1893" t="s">
        <v>29</v>
      </c>
      <c r="E1893">
        <v>2005</v>
      </c>
      <c r="F1893" t="s">
        <v>14</v>
      </c>
      <c r="G1893" t="s">
        <v>15</v>
      </c>
      <c r="H1893" s="2">
        <v>17540.240000000002</v>
      </c>
    </row>
    <row r="1894" spans="1:8">
      <c r="A1894" t="s">
        <v>64</v>
      </c>
      <c r="B1894" t="s">
        <v>65</v>
      </c>
      <c r="C1894" t="s">
        <v>32</v>
      </c>
      <c r="D1894" t="s">
        <v>29</v>
      </c>
      <c r="E1894">
        <v>2005</v>
      </c>
      <c r="F1894" t="s">
        <v>16</v>
      </c>
      <c r="G1894" t="s">
        <v>13</v>
      </c>
      <c r="H1894" s="2">
        <v>65399.94</v>
      </c>
    </row>
    <row r="1895" spans="1:8">
      <c r="A1895" t="s">
        <v>64</v>
      </c>
      <c r="B1895" t="s">
        <v>65</v>
      </c>
      <c r="C1895" t="s">
        <v>32</v>
      </c>
      <c r="D1895" t="s">
        <v>29</v>
      </c>
      <c r="E1895">
        <v>2006</v>
      </c>
      <c r="F1895" t="s">
        <v>22</v>
      </c>
      <c r="G1895" t="s">
        <v>15</v>
      </c>
      <c r="H1895" s="2">
        <v>37722.74</v>
      </c>
    </row>
    <row r="1896" spans="1:8">
      <c r="A1896" t="s">
        <v>64</v>
      </c>
      <c r="B1896" t="s">
        <v>65</v>
      </c>
      <c r="C1896" t="s">
        <v>32</v>
      </c>
      <c r="D1896" t="s">
        <v>29</v>
      </c>
      <c r="E1896">
        <v>2006</v>
      </c>
      <c r="F1896" t="s">
        <v>18</v>
      </c>
      <c r="G1896" t="s">
        <v>13</v>
      </c>
      <c r="H1896" s="2">
        <v>182939.02</v>
      </c>
    </row>
    <row r="1897" spans="1:8">
      <c r="A1897" t="s">
        <v>64</v>
      </c>
      <c r="B1897" t="s">
        <v>65</v>
      </c>
      <c r="C1897" t="s">
        <v>32</v>
      </c>
      <c r="D1897" t="s">
        <v>29</v>
      </c>
      <c r="E1897">
        <v>2006</v>
      </c>
      <c r="F1897" t="s">
        <v>14</v>
      </c>
      <c r="G1897" t="s">
        <v>19</v>
      </c>
      <c r="H1897" s="2">
        <v>0</v>
      </c>
    </row>
    <row r="1898" spans="1:8">
      <c r="A1898" t="s">
        <v>64</v>
      </c>
      <c r="B1898" t="s">
        <v>65</v>
      </c>
      <c r="C1898" t="s">
        <v>32</v>
      </c>
      <c r="D1898" t="s">
        <v>29</v>
      </c>
      <c r="E1898">
        <v>2007</v>
      </c>
      <c r="F1898" t="s">
        <v>18</v>
      </c>
      <c r="G1898" t="s">
        <v>13</v>
      </c>
      <c r="H1898" s="2">
        <v>197919.06</v>
      </c>
    </row>
    <row r="1899" spans="1:8">
      <c r="A1899" t="s">
        <v>64</v>
      </c>
      <c r="B1899" t="s">
        <v>65</v>
      </c>
      <c r="C1899" t="s">
        <v>32</v>
      </c>
      <c r="D1899" t="s">
        <v>29</v>
      </c>
      <c r="E1899">
        <v>2007</v>
      </c>
      <c r="F1899" t="s">
        <v>18</v>
      </c>
      <c r="G1899" t="s">
        <v>17</v>
      </c>
      <c r="H1899" s="2">
        <v>11993.45</v>
      </c>
    </row>
    <row r="1900" spans="1:8">
      <c r="A1900" t="s">
        <v>64</v>
      </c>
      <c r="B1900" t="s">
        <v>65</v>
      </c>
      <c r="C1900" t="s">
        <v>32</v>
      </c>
      <c r="D1900" t="s">
        <v>29</v>
      </c>
      <c r="E1900">
        <v>2007</v>
      </c>
      <c r="F1900" t="s">
        <v>21</v>
      </c>
      <c r="G1900" t="s">
        <v>15</v>
      </c>
      <c r="H1900" s="2">
        <v>1973.99</v>
      </c>
    </row>
    <row r="1901" spans="1:8">
      <c r="A1901" t="s">
        <v>64</v>
      </c>
      <c r="B1901" t="s">
        <v>65</v>
      </c>
      <c r="C1901" t="s">
        <v>32</v>
      </c>
      <c r="D1901" t="s">
        <v>29</v>
      </c>
      <c r="E1901">
        <v>2007</v>
      </c>
      <c r="F1901" t="s">
        <v>21</v>
      </c>
      <c r="G1901" t="s">
        <v>17</v>
      </c>
      <c r="H1901" s="2">
        <v>952.17</v>
      </c>
    </row>
    <row r="1902" spans="1:8">
      <c r="A1902" t="s">
        <v>64</v>
      </c>
      <c r="B1902" t="s">
        <v>65</v>
      </c>
      <c r="C1902" t="s">
        <v>32</v>
      </c>
      <c r="D1902" t="s">
        <v>29</v>
      </c>
      <c r="E1902">
        <v>2007</v>
      </c>
      <c r="F1902" t="s">
        <v>16</v>
      </c>
      <c r="G1902" t="s">
        <v>13</v>
      </c>
      <c r="H1902" s="2">
        <v>69502.95</v>
      </c>
    </row>
    <row r="1903" spans="1:8">
      <c r="A1903" t="s">
        <v>64</v>
      </c>
      <c r="B1903" t="s">
        <v>65</v>
      </c>
      <c r="C1903" t="s">
        <v>32</v>
      </c>
      <c r="D1903" t="s">
        <v>29</v>
      </c>
      <c r="E1903">
        <v>2008</v>
      </c>
      <c r="F1903" t="s">
        <v>18</v>
      </c>
      <c r="G1903" t="s">
        <v>13</v>
      </c>
      <c r="H1903" s="2">
        <v>239755.18</v>
      </c>
    </row>
    <row r="1904" spans="1:8">
      <c r="A1904" t="s">
        <v>64</v>
      </c>
      <c r="B1904" t="s">
        <v>65</v>
      </c>
      <c r="C1904" t="s">
        <v>32</v>
      </c>
      <c r="D1904" t="s">
        <v>29</v>
      </c>
      <c r="E1904">
        <v>2008</v>
      </c>
      <c r="F1904" t="s">
        <v>16</v>
      </c>
      <c r="G1904" t="s">
        <v>17</v>
      </c>
      <c r="H1904" s="2">
        <v>25861.38</v>
      </c>
    </row>
    <row r="1905" spans="1:8">
      <c r="A1905" t="s">
        <v>64</v>
      </c>
      <c r="B1905" t="s">
        <v>65</v>
      </c>
      <c r="C1905" t="s">
        <v>32</v>
      </c>
      <c r="D1905" t="s">
        <v>29</v>
      </c>
      <c r="E1905">
        <v>2009</v>
      </c>
      <c r="F1905" t="s">
        <v>12</v>
      </c>
      <c r="G1905" t="s">
        <v>13</v>
      </c>
      <c r="H1905" s="2">
        <v>282229.84999999998</v>
      </c>
    </row>
    <row r="1906" spans="1:8">
      <c r="A1906" t="s">
        <v>64</v>
      </c>
      <c r="B1906" t="s">
        <v>65</v>
      </c>
      <c r="C1906" t="s">
        <v>32</v>
      </c>
      <c r="D1906" t="s">
        <v>29</v>
      </c>
      <c r="E1906">
        <v>2009</v>
      </c>
      <c r="F1906" t="s">
        <v>18</v>
      </c>
      <c r="G1906" t="s">
        <v>15</v>
      </c>
      <c r="H1906" s="2">
        <v>12905.36</v>
      </c>
    </row>
    <row r="1907" spans="1:8">
      <c r="A1907" t="s">
        <v>64</v>
      </c>
      <c r="B1907" t="s">
        <v>65</v>
      </c>
      <c r="C1907" t="s">
        <v>32</v>
      </c>
      <c r="D1907" t="s">
        <v>29</v>
      </c>
      <c r="E1907">
        <v>2009</v>
      </c>
      <c r="F1907" t="s">
        <v>21</v>
      </c>
      <c r="G1907" t="s">
        <v>15</v>
      </c>
      <c r="H1907" s="2">
        <v>1908.16</v>
      </c>
    </row>
    <row r="1908" spans="1:8">
      <c r="A1908" t="s">
        <v>64</v>
      </c>
      <c r="B1908" t="s">
        <v>65</v>
      </c>
      <c r="C1908" t="s">
        <v>32</v>
      </c>
      <c r="D1908" t="s">
        <v>29</v>
      </c>
      <c r="E1908">
        <v>2010</v>
      </c>
      <c r="F1908" t="s">
        <v>22</v>
      </c>
      <c r="G1908" t="s">
        <v>19</v>
      </c>
      <c r="H1908" s="2">
        <v>0</v>
      </c>
    </row>
    <row r="1909" spans="1:8">
      <c r="A1909" t="s">
        <v>64</v>
      </c>
      <c r="B1909" t="s">
        <v>65</v>
      </c>
      <c r="C1909" t="s">
        <v>32</v>
      </c>
      <c r="D1909" t="s">
        <v>29</v>
      </c>
      <c r="E1909">
        <v>2010</v>
      </c>
      <c r="F1909" t="s">
        <v>18</v>
      </c>
      <c r="G1909" t="s">
        <v>19</v>
      </c>
      <c r="H1909" s="2">
        <v>12663.63</v>
      </c>
    </row>
    <row r="1910" spans="1:8">
      <c r="A1910" t="s">
        <v>64</v>
      </c>
      <c r="B1910" t="s">
        <v>65</v>
      </c>
      <c r="C1910" t="s">
        <v>32</v>
      </c>
      <c r="D1910" t="s">
        <v>29</v>
      </c>
      <c r="E1910">
        <v>2011</v>
      </c>
      <c r="F1910" t="s">
        <v>18</v>
      </c>
      <c r="G1910" t="s">
        <v>19</v>
      </c>
      <c r="H1910" s="2">
        <v>11059.37</v>
      </c>
    </row>
    <row r="1911" spans="1:8">
      <c r="A1911" t="s">
        <v>64</v>
      </c>
      <c r="B1911" t="s">
        <v>65</v>
      </c>
      <c r="C1911" t="s">
        <v>32</v>
      </c>
      <c r="D1911" t="s">
        <v>29</v>
      </c>
      <c r="E1911">
        <v>2011</v>
      </c>
      <c r="F1911" t="s">
        <v>20</v>
      </c>
      <c r="G1911" t="s">
        <v>15</v>
      </c>
      <c r="H1911" s="2">
        <v>-2133.4499999999998</v>
      </c>
    </row>
    <row r="1912" spans="1:8">
      <c r="A1912" t="s">
        <v>64</v>
      </c>
      <c r="B1912" t="s">
        <v>65</v>
      </c>
      <c r="C1912" t="s">
        <v>32</v>
      </c>
      <c r="D1912" t="s">
        <v>29</v>
      </c>
      <c r="E1912">
        <v>2011</v>
      </c>
      <c r="F1912" t="s">
        <v>21</v>
      </c>
      <c r="G1912" t="s">
        <v>17</v>
      </c>
      <c r="H1912" s="2">
        <v>856.37</v>
      </c>
    </row>
    <row r="1913" spans="1:8">
      <c r="A1913" t="s">
        <v>64</v>
      </c>
      <c r="B1913" t="s">
        <v>65</v>
      </c>
      <c r="C1913" t="s">
        <v>32</v>
      </c>
      <c r="D1913" t="s">
        <v>29</v>
      </c>
      <c r="E1913">
        <v>2012</v>
      </c>
      <c r="F1913" t="s">
        <v>22</v>
      </c>
      <c r="G1913" t="s">
        <v>15</v>
      </c>
      <c r="H1913" s="2">
        <v>36450.519999999997</v>
      </c>
    </row>
    <row r="1914" spans="1:8">
      <c r="A1914" t="s">
        <v>64</v>
      </c>
      <c r="B1914" t="s">
        <v>65</v>
      </c>
      <c r="C1914" t="s">
        <v>32</v>
      </c>
      <c r="D1914" t="s">
        <v>29</v>
      </c>
      <c r="E1914">
        <v>2012</v>
      </c>
      <c r="F1914" t="s">
        <v>22</v>
      </c>
      <c r="G1914" t="s">
        <v>17</v>
      </c>
      <c r="H1914" s="2">
        <v>10152.549999999999</v>
      </c>
    </row>
    <row r="1915" spans="1:8">
      <c r="A1915" t="s">
        <v>64</v>
      </c>
      <c r="B1915" t="s">
        <v>65</v>
      </c>
      <c r="C1915" t="s">
        <v>32</v>
      </c>
      <c r="D1915" t="s">
        <v>29</v>
      </c>
      <c r="E1915">
        <v>2012</v>
      </c>
      <c r="F1915" t="s">
        <v>18</v>
      </c>
      <c r="G1915" t="s">
        <v>15</v>
      </c>
      <c r="H1915" s="2">
        <v>10093.69</v>
      </c>
    </row>
    <row r="1916" spans="1:8">
      <c r="A1916" t="s">
        <v>64</v>
      </c>
      <c r="B1916" t="s">
        <v>65</v>
      </c>
      <c r="C1916" t="s">
        <v>32</v>
      </c>
      <c r="D1916" t="s">
        <v>29</v>
      </c>
      <c r="E1916">
        <v>2012</v>
      </c>
      <c r="F1916" t="s">
        <v>18</v>
      </c>
      <c r="G1916" t="s">
        <v>19</v>
      </c>
      <c r="H1916" s="2">
        <v>10235.17</v>
      </c>
    </row>
    <row r="1917" spans="1:8">
      <c r="A1917" t="s">
        <v>64</v>
      </c>
      <c r="B1917" t="s">
        <v>65</v>
      </c>
      <c r="C1917" t="s">
        <v>32</v>
      </c>
      <c r="D1917" t="s">
        <v>29</v>
      </c>
      <c r="E1917">
        <v>2013</v>
      </c>
      <c r="F1917" t="s">
        <v>12</v>
      </c>
      <c r="G1917" t="s">
        <v>15</v>
      </c>
      <c r="H1917" s="2">
        <v>19838.77</v>
      </c>
    </row>
    <row r="1918" spans="1:8">
      <c r="A1918" t="s">
        <v>64</v>
      </c>
      <c r="B1918" t="s">
        <v>65</v>
      </c>
      <c r="C1918" t="s">
        <v>32</v>
      </c>
      <c r="D1918" t="s">
        <v>29</v>
      </c>
      <c r="E1918">
        <v>2013</v>
      </c>
      <c r="F1918" t="s">
        <v>14</v>
      </c>
      <c r="G1918" t="s">
        <v>15</v>
      </c>
      <c r="H1918" s="2">
        <v>19674.07</v>
      </c>
    </row>
    <row r="1919" spans="1:8">
      <c r="A1919" t="s">
        <v>64</v>
      </c>
      <c r="B1919" t="s">
        <v>65</v>
      </c>
      <c r="C1919" t="s">
        <v>32</v>
      </c>
      <c r="D1919" t="s">
        <v>29</v>
      </c>
      <c r="E1919">
        <v>2014</v>
      </c>
      <c r="F1919" t="s">
        <v>22</v>
      </c>
      <c r="G1919" t="s">
        <v>19</v>
      </c>
      <c r="H1919" s="2">
        <v>0</v>
      </c>
    </row>
    <row r="1920" spans="1:8">
      <c r="A1920" t="s">
        <v>64</v>
      </c>
      <c r="B1920" t="s">
        <v>65</v>
      </c>
      <c r="C1920" t="s">
        <v>32</v>
      </c>
      <c r="D1920" t="s">
        <v>29</v>
      </c>
      <c r="E1920">
        <v>2014</v>
      </c>
      <c r="F1920" t="s">
        <v>12</v>
      </c>
      <c r="G1920" t="s">
        <v>15</v>
      </c>
      <c r="H1920" s="2">
        <v>17590.03</v>
      </c>
    </row>
    <row r="1921" spans="1:8">
      <c r="A1921" t="s">
        <v>64</v>
      </c>
      <c r="B1921" t="s">
        <v>65</v>
      </c>
      <c r="C1921" t="s">
        <v>32</v>
      </c>
      <c r="D1921" t="s">
        <v>29</v>
      </c>
      <c r="E1921">
        <v>2014</v>
      </c>
      <c r="F1921" t="s">
        <v>14</v>
      </c>
      <c r="G1921" t="s">
        <v>13</v>
      </c>
      <c r="H1921" s="2">
        <v>529680.23</v>
      </c>
    </row>
    <row r="1922" spans="1:8">
      <c r="A1922" t="s">
        <v>64</v>
      </c>
      <c r="B1922" t="s">
        <v>65</v>
      </c>
      <c r="C1922" t="s">
        <v>32</v>
      </c>
      <c r="D1922" t="s">
        <v>29</v>
      </c>
      <c r="E1922">
        <v>2015</v>
      </c>
      <c r="F1922" t="s">
        <v>12</v>
      </c>
      <c r="G1922" t="s">
        <v>15</v>
      </c>
      <c r="H1922" s="2">
        <v>19094.77</v>
      </c>
    </row>
    <row r="1923" spans="1:8">
      <c r="A1923" t="s">
        <v>64</v>
      </c>
      <c r="B1923" t="s">
        <v>65</v>
      </c>
      <c r="C1923" t="s">
        <v>32</v>
      </c>
      <c r="D1923" t="s">
        <v>29</v>
      </c>
      <c r="E1923">
        <v>2015</v>
      </c>
      <c r="F1923" t="s">
        <v>20</v>
      </c>
      <c r="G1923" t="s">
        <v>19</v>
      </c>
      <c r="H1923" s="2">
        <v>0</v>
      </c>
    </row>
    <row r="1924" spans="1:8">
      <c r="A1924" t="s">
        <v>64</v>
      </c>
      <c r="B1924" t="s">
        <v>65</v>
      </c>
      <c r="C1924" t="s">
        <v>32</v>
      </c>
      <c r="D1924" t="s">
        <v>29</v>
      </c>
      <c r="E1924">
        <v>2015</v>
      </c>
      <c r="F1924" t="s">
        <v>14</v>
      </c>
      <c r="G1924" t="s">
        <v>19</v>
      </c>
      <c r="H1924" s="2">
        <v>0</v>
      </c>
    </row>
    <row r="1925" spans="1:8">
      <c r="A1925" t="s">
        <v>64</v>
      </c>
      <c r="B1925" t="s">
        <v>65</v>
      </c>
      <c r="C1925" t="s">
        <v>32</v>
      </c>
      <c r="D1925" t="s">
        <v>29</v>
      </c>
      <c r="E1925">
        <v>2016</v>
      </c>
      <c r="F1925" t="s">
        <v>22</v>
      </c>
      <c r="G1925" t="s">
        <v>13</v>
      </c>
      <c r="H1925" s="2">
        <v>5386.95</v>
      </c>
    </row>
    <row r="1926" spans="1:8">
      <c r="A1926" t="s">
        <v>64</v>
      </c>
      <c r="B1926" t="s">
        <v>65</v>
      </c>
      <c r="C1926" t="s">
        <v>32</v>
      </c>
      <c r="D1926" t="s">
        <v>29</v>
      </c>
      <c r="E1926">
        <v>2016</v>
      </c>
      <c r="F1926" t="s">
        <v>20</v>
      </c>
      <c r="G1926" t="s">
        <v>15</v>
      </c>
      <c r="H1926" s="2">
        <v>-1813.24</v>
      </c>
    </row>
    <row r="1927" spans="1:8">
      <c r="A1927" t="s">
        <v>64</v>
      </c>
      <c r="B1927" t="s">
        <v>65</v>
      </c>
      <c r="C1927" t="s">
        <v>32</v>
      </c>
      <c r="D1927" t="s">
        <v>29</v>
      </c>
      <c r="E1927">
        <v>2016</v>
      </c>
      <c r="F1927" t="s">
        <v>20</v>
      </c>
      <c r="G1927" t="s">
        <v>13</v>
      </c>
      <c r="H1927" s="2">
        <v>-195747.55</v>
      </c>
    </row>
    <row r="1928" spans="1:8">
      <c r="A1928" t="s">
        <v>64</v>
      </c>
      <c r="B1928" t="s">
        <v>65</v>
      </c>
      <c r="C1928" t="s">
        <v>32</v>
      </c>
      <c r="D1928" t="s">
        <v>29</v>
      </c>
      <c r="E1928">
        <v>2016</v>
      </c>
      <c r="F1928" t="s">
        <v>14</v>
      </c>
      <c r="G1928" t="s">
        <v>19</v>
      </c>
      <c r="H1928" s="2">
        <v>0</v>
      </c>
    </row>
    <row r="1929" spans="1:8">
      <c r="A1929" t="s">
        <v>64</v>
      </c>
      <c r="B1929" t="s">
        <v>65</v>
      </c>
      <c r="C1929" t="s">
        <v>32</v>
      </c>
      <c r="D1929" t="s">
        <v>29</v>
      </c>
      <c r="E1929">
        <v>2016</v>
      </c>
      <c r="F1929" t="s">
        <v>16</v>
      </c>
      <c r="G1929" t="s">
        <v>13</v>
      </c>
      <c r="H1929" s="2">
        <v>64629.41</v>
      </c>
    </row>
    <row r="1930" spans="1:8">
      <c r="A1930" t="s">
        <v>64</v>
      </c>
      <c r="B1930" t="s">
        <v>65</v>
      </c>
      <c r="C1930" t="s">
        <v>32</v>
      </c>
      <c r="D1930" t="s">
        <v>29</v>
      </c>
      <c r="E1930">
        <v>2017</v>
      </c>
      <c r="F1930" t="s">
        <v>22</v>
      </c>
      <c r="G1930" t="s">
        <v>17</v>
      </c>
      <c r="H1930" s="2">
        <v>9193.0300000000007</v>
      </c>
    </row>
    <row r="1931" spans="1:8">
      <c r="A1931" t="s">
        <v>64</v>
      </c>
      <c r="B1931" t="s">
        <v>65</v>
      </c>
      <c r="C1931" t="s">
        <v>32</v>
      </c>
      <c r="D1931" t="s">
        <v>29</v>
      </c>
      <c r="E1931">
        <v>2017</v>
      </c>
      <c r="F1931" t="s">
        <v>20</v>
      </c>
      <c r="G1931" t="s">
        <v>13</v>
      </c>
      <c r="H1931" s="2">
        <v>-170276.1</v>
      </c>
    </row>
    <row r="1932" spans="1:8">
      <c r="A1932" t="s">
        <v>64</v>
      </c>
      <c r="B1932" t="s">
        <v>65</v>
      </c>
      <c r="C1932" t="s">
        <v>32</v>
      </c>
      <c r="D1932" t="s">
        <v>29</v>
      </c>
      <c r="E1932">
        <v>2018</v>
      </c>
      <c r="F1932" t="s">
        <v>22</v>
      </c>
      <c r="G1932" t="s">
        <v>15</v>
      </c>
      <c r="H1932" s="2">
        <v>35342.339999999997</v>
      </c>
    </row>
    <row r="1933" spans="1:8">
      <c r="A1933" t="s">
        <v>64</v>
      </c>
      <c r="B1933" t="s">
        <v>65</v>
      </c>
      <c r="C1933" t="s">
        <v>32</v>
      </c>
      <c r="D1933" t="s">
        <v>29</v>
      </c>
      <c r="E1933">
        <v>2018</v>
      </c>
      <c r="F1933" t="s">
        <v>20</v>
      </c>
      <c r="G1933" t="s">
        <v>19</v>
      </c>
      <c r="H1933" s="2">
        <v>0</v>
      </c>
    </row>
    <row r="1934" spans="1:8">
      <c r="A1934" t="s">
        <v>64</v>
      </c>
      <c r="B1934" t="s">
        <v>65</v>
      </c>
      <c r="C1934" t="s">
        <v>32</v>
      </c>
      <c r="D1934" t="s">
        <v>29</v>
      </c>
      <c r="E1934">
        <v>2018</v>
      </c>
      <c r="F1934" t="s">
        <v>14</v>
      </c>
      <c r="G1934" t="s">
        <v>19</v>
      </c>
      <c r="H1934" s="2">
        <v>0</v>
      </c>
    </row>
    <row r="1935" spans="1:8">
      <c r="A1935" t="s">
        <v>64</v>
      </c>
      <c r="B1935" t="s">
        <v>65</v>
      </c>
      <c r="C1935" t="s">
        <v>32</v>
      </c>
      <c r="D1935" t="s">
        <v>29</v>
      </c>
      <c r="E1935">
        <v>2018</v>
      </c>
      <c r="F1935" t="s">
        <v>16</v>
      </c>
      <c r="G1935" t="s">
        <v>13</v>
      </c>
      <c r="H1935" s="2">
        <v>57716.75</v>
      </c>
    </row>
    <row r="1936" spans="1:8">
      <c r="A1936" t="s">
        <v>64</v>
      </c>
      <c r="B1936" t="s">
        <v>65</v>
      </c>
      <c r="C1936" t="s">
        <v>32</v>
      </c>
      <c r="D1936" t="s">
        <v>29</v>
      </c>
      <c r="E1936">
        <v>2019</v>
      </c>
      <c r="F1936" t="s">
        <v>20</v>
      </c>
      <c r="G1936" t="s">
        <v>17</v>
      </c>
      <c r="H1936" s="2">
        <v>-1826.51</v>
      </c>
    </row>
    <row r="1937" spans="1:8">
      <c r="A1937" t="s">
        <v>64</v>
      </c>
      <c r="B1937" t="s">
        <v>65</v>
      </c>
      <c r="C1937" t="s">
        <v>32</v>
      </c>
      <c r="D1937" t="s">
        <v>29</v>
      </c>
      <c r="E1937">
        <v>2020</v>
      </c>
      <c r="F1937" t="s">
        <v>22</v>
      </c>
      <c r="G1937" t="s">
        <v>15</v>
      </c>
      <c r="H1937" s="2">
        <v>37318.980000000003</v>
      </c>
    </row>
    <row r="1938" spans="1:8">
      <c r="A1938" t="s">
        <v>64</v>
      </c>
      <c r="B1938" t="s">
        <v>65</v>
      </c>
      <c r="C1938" t="s">
        <v>32</v>
      </c>
      <c r="D1938" t="s">
        <v>29</v>
      </c>
      <c r="E1938">
        <v>2020</v>
      </c>
      <c r="F1938" t="s">
        <v>12</v>
      </c>
      <c r="G1938" t="s">
        <v>13</v>
      </c>
      <c r="H1938" s="2">
        <v>213932.14</v>
      </c>
    </row>
    <row r="1939" spans="1:8">
      <c r="A1939" t="s">
        <v>64</v>
      </c>
      <c r="B1939" t="s">
        <v>65</v>
      </c>
      <c r="C1939" t="s">
        <v>32</v>
      </c>
      <c r="D1939" t="s">
        <v>29</v>
      </c>
      <c r="E1939">
        <v>2021</v>
      </c>
      <c r="F1939" t="s">
        <v>21</v>
      </c>
      <c r="G1939" t="s">
        <v>19</v>
      </c>
      <c r="H1939" s="2">
        <v>0</v>
      </c>
    </row>
    <row r="1940" spans="1:8">
      <c r="A1940" t="s">
        <v>64</v>
      </c>
      <c r="B1940" t="s">
        <v>65</v>
      </c>
      <c r="C1940" t="s">
        <v>32</v>
      </c>
      <c r="D1940" t="s">
        <v>29</v>
      </c>
      <c r="E1940">
        <v>2021</v>
      </c>
      <c r="F1940" t="s">
        <v>21</v>
      </c>
      <c r="G1940" t="s">
        <v>17</v>
      </c>
      <c r="H1940" s="2">
        <v>739.61</v>
      </c>
    </row>
    <row r="1941" spans="1:8">
      <c r="A1941" t="s">
        <v>64</v>
      </c>
      <c r="B1941" t="s">
        <v>65</v>
      </c>
      <c r="C1941" t="s">
        <v>32</v>
      </c>
      <c r="D1941" t="s">
        <v>29</v>
      </c>
      <c r="E1941">
        <v>2022</v>
      </c>
      <c r="F1941" t="s">
        <v>22</v>
      </c>
      <c r="G1941" t="s">
        <v>13</v>
      </c>
      <c r="H1941" s="2">
        <v>4545.43</v>
      </c>
    </row>
    <row r="1942" spans="1:8">
      <c r="A1942" t="s">
        <v>64</v>
      </c>
      <c r="B1942" t="s">
        <v>65</v>
      </c>
      <c r="C1942" t="s">
        <v>32</v>
      </c>
      <c r="D1942" t="s">
        <v>29</v>
      </c>
      <c r="E1942">
        <v>2022</v>
      </c>
      <c r="F1942" t="s">
        <v>16</v>
      </c>
      <c r="G1942" t="s">
        <v>17</v>
      </c>
      <c r="H1942" s="2">
        <v>18806.900000000001</v>
      </c>
    </row>
    <row r="1943" spans="1:8">
      <c r="A1943" t="s">
        <v>64</v>
      </c>
      <c r="B1943" t="s">
        <v>65</v>
      </c>
      <c r="C1943" t="s">
        <v>32</v>
      </c>
      <c r="D1943" t="s">
        <v>29</v>
      </c>
      <c r="E1943">
        <v>2023</v>
      </c>
      <c r="F1943" t="s">
        <v>22</v>
      </c>
      <c r="G1943" t="s">
        <v>13</v>
      </c>
      <c r="H1943" s="2">
        <v>4546.4399999999996</v>
      </c>
    </row>
    <row r="1944" spans="1:8">
      <c r="A1944" t="s">
        <v>64</v>
      </c>
      <c r="B1944" t="s">
        <v>65</v>
      </c>
      <c r="C1944" t="s">
        <v>32</v>
      </c>
      <c r="D1944" t="s">
        <v>29</v>
      </c>
      <c r="E1944">
        <v>2023</v>
      </c>
      <c r="F1944" t="s">
        <v>22</v>
      </c>
      <c r="G1944" t="s">
        <v>19</v>
      </c>
      <c r="H1944" s="2">
        <v>0</v>
      </c>
    </row>
    <row r="1945" spans="1:8">
      <c r="A1945" t="s">
        <v>64</v>
      </c>
      <c r="B1945" t="s">
        <v>65</v>
      </c>
      <c r="C1945" t="s">
        <v>32</v>
      </c>
      <c r="D1945" t="s">
        <v>29</v>
      </c>
      <c r="E1945">
        <v>2023</v>
      </c>
      <c r="F1945" t="s">
        <v>22</v>
      </c>
      <c r="G1945" t="s">
        <v>17</v>
      </c>
      <c r="H1945" s="2">
        <v>9040.4500000000007</v>
      </c>
    </row>
    <row r="1946" spans="1:8">
      <c r="A1946" t="s">
        <v>64</v>
      </c>
      <c r="B1946" t="s">
        <v>65</v>
      </c>
      <c r="C1946" t="s">
        <v>32</v>
      </c>
      <c r="D1946" t="s">
        <v>29</v>
      </c>
      <c r="E1946">
        <v>2023</v>
      </c>
      <c r="F1946" t="s">
        <v>18</v>
      </c>
      <c r="G1946" t="s">
        <v>15</v>
      </c>
      <c r="H1946" s="2">
        <v>8750.9</v>
      </c>
    </row>
    <row r="1947" spans="1:8">
      <c r="A1947" t="s">
        <v>64</v>
      </c>
      <c r="B1947" t="s">
        <v>65</v>
      </c>
      <c r="C1947" t="s">
        <v>32</v>
      </c>
      <c r="D1947" t="s">
        <v>29</v>
      </c>
      <c r="E1947">
        <v>2023</v>
      </c>
      <c r="F1947" t="s">
        <v>20</v>
      </c>
      <c r="G1947" t="s">
        <v>17</v>
      </c>
      <c r="H1947" s="2">
        <v>-1694.2</v>
      </c>
    </row>
    <row r="1948" spans="1:8">
      <c r="A1948" t="s">
        <v>64</v>
      </c>
      <c r="B1948" t="s">
        <v>65</v>
      </c>
      <c r="C1948" t="s">
        <v>32</v>
      </c>
      <c r="D1948" t="s">
        <v>29</v>
      </c>
      <c r="E1948">
        <v>2023</v>
      </c>
      <c r="F1948" t="s">
        <v>16</v>
      </c>
      <c r="G1948" t="s">
        <v>19</v>
      </c>
      <c r="H1948" s="2">
        <v>0</v>
      </c>
    </row>
    <row r="1949" spans="1:8">
      <c r="A1949" t="s">
        <v>64</v>
      </c>
      <c r="B1949" t="s">
        <v>65</v>
      </c>
      <c r="C1949" t="s">
        <v>32</v>
      </c>
      <c r="D1949" t="s">
        <v>29</v>
      </c>
      <c r="E1949">
        <v>2024</v>
      </c>
      <c r="F1949" t="s">
        <v>22</v>
      </c>
      <c r="G1949" t="s">
        <v>15</v>
      </c>
      <c r="H1949" s="2">
        <v>29907.58</v>
      </c>
    </row>
    <row r="1950" spans="1:8">
      <c r="A1950" t="s">
        <v>64</v>
      </c>
      <c r="B1950" t="s">
        <v>65</v>
      </c>
      <c r="C1950" t="s">
        <v>32</v>
      </c>
      <c r="D1950" t="s">
        <v>29</v>
      </c>
      <c r="E1950">
        <v>2024</v>
      </c>
      <c r="F1950" t="s">
        <v>22</v>
      </c>
      <c r="G1950" t="s">
        <v>13</v>
      </c>
      <c r="H1950" s="2">
        <v>3737.61</v>
      </c>
    </row>
    <row r="1951" spans="1:8">
      <c r="A1951" t="s">
        <v>64</v>
      </c>
      <c r="B1951" t="s">
        <v>65</v>
      </c>
      <c r="C1951" t="s">
        <v>32</v>
      </c>
      <c r="D1951" t="s">
        <v>29</v>
      </c>
      <c r="E1951">
        <v>2024</v>
      </c>
      <c r="F1951" t="s">
        <v>22</v>
      </c>
      <c r="G1951" t="s">
        <v>19</v>
      </c>
      <c r="H1951" s="2">
        <v>0</v>
      </c>
    </row>
    <row r="1952" spans="1:8">
      <c r="A1952" t="s">
        <v>64</v>
      </c>
      <c r="B1952" t="s">
        <v>65</v>
      </c>
      <c r="C1952" t="s">
        <v>32</v>
      </c>
      <c r="D1952" t="s">
        <v>29</v>
      </c>
      <c r="E1952">
        <v>2024</v>
      </c>
      <c r="F1952" t="s">
        <v>20</v>
      </c>
      <c r="G1952" t="s">
        <v>19</v>
      </c>
      <c r="H1952" s="2">
        <v>0</v>
      </c>
    </row>
    <row r="1953" spans="1:8">
      <c r="A1953" t="s">
        <v>64</v>
      </c>
      <c r="B1953" t="s">
        <v>65</v>
      </c>
      <c r="C1953" t="s">
        <v>32</v>
      </c>
      <c r="D1953" t="s">
        <v>29</v>
      </c>
      <c r="E1953">
        <v>2024</v>
      </c>
      <c r="F1953" t="s">
        <v>20</v>
      </c>
      <c r="G1953" t="s">
        <v>17</v>
      </c>
      <c r="H1953" s="2">
        <v>-1409.61</v>
      </c>
    </row>
    <row r="1954" spans="1:8">
      <c r="A1954" t="s">
        <v>64</v>
      </c>
      <c r="B1954" t="s">
        <v>65</v>
      </c>
      <c r="C1954" t="s">
        <v>32</v>
      </c>
      <c r="D1954" t="s">
        <v>29</v>
      </c>
      <c r="E1954">
        <v>2024</v>
      </c>
      <c r="F1954" t="s">
        <v>21</v>
      </c>
      <c r="G1954" t="s">
        <v>15</v>
      </c>
      <c r="H1954" s="2">
        <v>1318.16</v>
      </c>
    </row>
    <row r="1955" spans="1:8">
      <c r="A1955" t="s">
        <v>66</v>
      </c>
      <c r="B1955" t="s">
        <v>67</v>
      </c>
      <c r="C1955" t="s">
        <v>10</v>
      </c>
      <c r="D1955" t="s">
        <v>33</v>
      </c>
      <c r="E1955">
        <v>1990</v>
      </c>
      <c r="F1955" t="s">
        <v>12</v>
      </c>
      <c r="G1955" t="s">
        <v>19</v>
      </c>
      <c r="H1955" s="2">
        <v>0</v>
      </c>
    </row>
    <row r="1956" spans="1:8">
      <c r="A1956" t="s">
        <v>66</v>
      </c>
      <c r="B1956" t="s">
        <v>67</v>
      </c>
      <c r="C1956" t="s">
        <v>10</v>
      </c>
      <c r="D1956" t="s">
        <v>33</v>
      </c>
      <c r="E1956">
        <v>1990</v>
      </c>
      <c r="F1956" t="s">
        <v>18</v>
      </c>
      <c r="G1956" t="s">
        <v>15</v>
      </c>
      <c r="H1956" s="2">
        <v>243.37</v>
      </c>
    </row>
    <row r="1957" spans="1:8">
      <c r="A1957" t="s">
        <v>66</v>
      </c>
      <c r="B1957" t="s">
        <v>67</v>
      </c>
      <c r="C1957" t="s">
        <v>10</v>
      </c>
      <c r="D1957" t="s">
        <v>33</v>
      </c>
      <c r="E1957">
        <v>1990</v>
      </c>
      <c r="F1957" t="s">
        <v>21</v>
      </c>
      <c r="G1957" t="s">
        <v>13</v>
      </c>
      <c r="H1957" s="2">
        <v>6759.91</v>
      </c>
    </row>
    <row r="1958" spans="1:8">
      <c r="A1958" t="s">
        <v>66</v>
      </c>
      <c r="B1958" t="s">
        <v>67</v>
      </c>
      <c r="C1958" t="s">
        <v>10</v>
      </c>
      <c r="D1958" t="s">
        <v>33</v>
      </c>
      <c r="E1958">
        <v>1990</v>
      </c>
      <c r="F1958" t="s">
        <v>16</v>
      </c>
      <c r="G1958" t="s">
        <v>13</v>
      </c>
      <c r="H1958" s="2">
        <v>319.63</v>
      </c>
    </row>
    <row r="1959" spans="1:8">
      <c r="A1959" t="s">
        <v>66</v>
      </c>
      <c r="B1959" t="s">
        <v>67</v>
      </c>
      <c r="C1959" t="s">
        <v>10</v>
      </c>
      <c r="D1959" t="s">
        <v>33</v>
      </c>
      <c r="E1959">
        <v>1991</v>
      </c>
      <c r="F1959" t="s">
        <v>18</v>
      </c>
      <c r="G1959" t="s">
        <v>19</v>
      </c>
      <c r="H1959" s="2">
        <v>312.77999999999997</v>
      </c>
    </row>
    <row r="1960" spans="1:8">
      <c r="A1960" t="s">
        <v>66</v>
      </c>
      <c r="B1960" t="s">
        <v>67</v>
      </c>
      <c r="C1960" t="s">
        <v>10</v>
      </c>
      <c r="D1960" t="s">
        <v>33</v>
      </c>
      <c r="E1960">
        <v>1991</v>
      </c>
      <c r="F1960" t="s">
        <v>14</v>
      </c>
      <c r="G1960" t="s">
        <v>13</v>
      </c>
      <c r="H1960" s="2">
        <v>7015.48</v>
      </c>
    </row>
    <row r="1961" spans="1:8">
      <c r="A1961" t="s">
        <v>66</v>
      </c>
      <c r="B1961" t="s">
        <v>67</v>
      </c>
      <c r="C1961" t="s">
        <v>10</v>
      </c>
      <c r="D1961" t="s">
        <v>33</v>
      </c>
      <c r="E1961">
        <v>1991</v>
      </c>
      <c r="F1961" t="s">
        <v>14</v>
      </c>
      <c r="G1961" t="s">
        <v>17</v>
      </c>
      <c r="H1961" s="2">
        <v>157.21</v>
      </c>
    </row>
    <row r="1962" spans="1:8">
      <c r="A1962" t="s">
        <v>66</v>
      </c>
      <c r="B1962" t="s">
        <v>67</v>
      </c>
      <c r="C1962" t="s">
        <v>10</v>
      </c>
      <c r="D1962" t="s">
        <v>33</v>
      </c>
      <c r="E1962">
        <v>1992</v>
      </c>
      <c r="F1962" t="s">
        <v>20</v>
      </c>
      <c r="G1962" t="s">
        <v>13</v>
      </c>
      <c r="H1962" s="2">
        <v>-6881.15</v>
      </c>
    </row>
    <row r="1963" spans="1:8">
      <c r="A1963" t="s">
        <v>66</v>
      </c>
      <c r="B1963" t="s">
        <v>67</v>
      </c>
      <c r="C1963" t="s">
        <v>10</v>
      </c>
      <c r="D1963" t="s">
        <v>33</v>
      </c>
      <c r="E1963">
        <v>1992</v>
      </c>
      <c r="F1963" t="s">
        <v>21</v>
      </c>
      <c r="G1963" t="s">
        <v>13</v>
      </c>
      <c r="H1963" s="2">
        <v>8258.31</v>
      </c>
    </row>
    <row r="1964" spans="1:8">
      <c r="A1964" t="s">
        <v>66</v>
      </c>
      <c r="B1964" t="s">
        <v>67</v>
      </c>
      <c r="C1964" t="s">
        <v>10</v>
      </c>
      <c r="D1964" t="s">
        <v>33</v>
      </c>
      <c r="E1964">
        <v>1993</v>
      </c>
      <c r="F1964" t="s">
        <v>20</v>
      </c>
      <c r="G1964" t="s">
        <v>15</v>
      </c>
      <c r="H1964" s="2">
        <v>-68.09</v>
      </c>
    </row>
    <row r="1965" spans="1:8">
      <c r="A1965" t="s">
        <v>66</v>
      </c>
      <c r="B1965" t="s">
        <v>67</v>
      </c>
      <c r="C1965" t="s">
        <v>10</v>
      </c>
      <c r="D1965" t="s">
        <v>33</v>
      </c>
      <c r="E1965">
        <v>1993</v>
      </c>
      <c r="F1965" t="s">
        <v>14</v>
      </c>
      <c r="G1965" t="s">
        <v>19</v>
      </c>
      <c r="H1965" s="2">
        <v>0</v>
      </c>
    </row>
    <row r="1966" spans="1:8">
      <c r="A1966" t="s">
        <v>66</v>
      </c>
      <c r="B1966" t="s">
        <v>67</v>
      </c>
      <c r="C1966" t="s">
        <v>10</v>
      </c>
      <c r="D1966" t="s">
        <v>33</v>
      </c>
      <c r="E1966">
        <v>1994</v>
      </c>
      <c r="F1966" t="s">
        <v>12</v>
      </c>
      <c r="G1966" t="s">
        <v>17</v>
      </c>
      <c r="H1966" s="2">
        <v>136.83000000000001</v>
      </c>
    </row>
    <row r="1967" spans="1:8">
      <c r="A1967" t="s">
        <v>66</v>
      </c>
      <c r="B1967" t="s">
        <v>67</v>
      </c>
      <c r="C1967" t="s">
        <v>10</v>
      </c>
      <c r="D1967" t="s">
        <v>33</v>
      </c>
      <c r="E1967">
        <v>1994</v>
      </c>
      <c r="F1967" t="s">
        <v>18</v>
      </c>
      <c r="G1967" t="s">
        <v>19</v>
      </c>
      <c r="H1967" s="2">
        <v>289.67</v>
      </c>
    </row>
    <row r="1968" spans="1:8">
      <c r="A1968" t="s">
        <v>66</v>
      </c>
      <c r="B1968" t="s">
        <v>67</v>
      </c>
      <c r="C1968" t="s">
        <v>10</v>
      </c>
      <c r="D1968" t="s">
        <v>33</v>
      </c>
      <c r="E1968">
        <v>1995</v>
      </c>
      <c r="F1968" t="s">
        <v>22</v>
      </c>
      <c r="G1968" t="s">
        <v>17</v>
      </c>
      <c r="H1968" s="2">
        <v>2486.8200000000002</v>
      </c>
    </row>
    <row r="1969" spans="1:8">
      <c r="A1969" t="s">
        <v>66</v>
      </c>
      <c r="B1969" t="s">
        <v>67</v>
      </c>
      <c r="C1969" t="s">
        <v>10</v>
      </c>
      <c r="D1969" t="s">
        <v>33</v>
      </c>
      <c r="E1969">
        <v>1995</v>
      </c>
      <c r="F1969" t="s">
        <v>18</v>
      </c>
      <c r="G1969" t="s">
        <v>19</v>
      </c>
      <c r="H1969" s="2">
        <v>297.56</v>
      </c>
    </row>
    <row r="1970" spans="1:8">
      <c r="A1970" t="s">
        <v>66</v>
      </c>
      <c r="B1970" t="s">
        <v>67</v>
      </c>
      <c r="C1970" t="s">
        <v>10</v>
      </c>
      <c r="D1970" t="s">
        <v>33</v>
      </c>
      <c r="E1970">
        <v>1995</v>
      </c>
      <c r="F1970" t="s">
        <v>16</v>
      </c>
      <c r="G1970" t="s">
        <v>15</v>
      </c>
      <c r="H1970" s="2">
        <v>1773.83</v>
      </c>
    </row>
    <row r="1971" spans="1:8">
      <c r="A1971" t="s">
        <v>66</v>
      </c>
      <c r="B1971" t="s">
        <v>67</v>
      </c>
      <c r="C1971" t="s">
        <v>10</v>
      </c>
      <c r="D1971" t="s">
        <v>33</v>
      </c>
      <c r="E1971">
        <v>1996</v>
      </c>
      <c r="F1971" t="s">
        <v>22</v>
      </c>
      <c r="G1971" t="s">
        <v>19</v>
      </c>
      <c r="H1971" s="2">
        <v>0</v>
      </c>
    </row>
    <row r="1972" spans="1:8">
      <c r="A1972" t="s">
        <v>66</v>
      </c>
      <c r="B1972" t="s">
        <v>67</v>
      </c>
      <c r="C1972" t="s">
        <v>10</v>
      </c>
      <c r="D1972" t="s">
        <v>33</v>
      </c>
      <c r="E1972">
        <v>1996</v>
      </c>
      <c r="F1972" t="s">
        <v>22</v>
      </c>
      <c r="G1972" t="s">
        <v>17</v>
      </c>
      <c r="H1972" s="2">
        <v>2592.67</v>
      </c>
    </row>
    <row r="1973" spans="1:8">
      <c r="A1973" t="s">
        <v>66</v>
      </c>
      <c r="B1973" t="s">
        <v>67</v>
      </c>
      <c r="C1973" t="s">
        <v>10</v>
      </c>
      <c r="D1973" t="s">
        <v>33</v>
      </c>
      <c r="E1973">
        <v>1996</v>
      </c>
      <c r="F1973" t="s">
        <v>12</v>
      </c>
      <c r="G1973" t="s">
        <v>19</v>
      </c>
      <c r="H1973" s="2">
        <v>0</v>
      </c>
    </row>
    <row r="1974" spans="1:8">
      <c r="A1974" t="s">
        <v>66</v>
      </c>
      <c r="B1974" t="s">
        <v>67</v>
      </c>
      <c r="C1974" t="s">
        <v>10</v>
      </c>
      <c r="D1974" t="s">
        <v>33</v>
      </c>
      <c r="E1974">
        <v>1996</v>
      </c>
      <c r="F1974" t="s">
        <v>18</v>
      </c>
      <c r="G1974" t="s">
        <v>19</v>
      </c>
      <c r="H1974" s="2">
        <v>307.93</v>
      </c>
    </row>
    <row r="1975" spans="1:8">
      <c r="A1975" t="s">
        <v>66</v>
      </c>
      <c r="B1975" t="s">
        <v>67</v>
      </c>
      <c r="C1975" t="s">
        <v>10</v>
      </c>
      <c r="D1975" t="s">
        <v>33</v>
      </c>
      <c r="E1975">
        <v>1997</v>
      </c>
      <c r="F1975" t="s">
        <v>22</v>
      </c>
      <c r="G1975" t="s">
        <v>13</v>
      </c>
      <c r="H1975" s="2">
        <v>1412.73</v>
      </c>
    </row>
    <row r="1976" spans="1:8">
      <c r="A1976" t="s">
        <v>66</v>
      </c>
      <c r="B1976" t="s">
        <v>67</v>
      </c>
      <c r="C1976" t="s">
        <v>10</v>
      </c>
      <c r="D1976" t="s">
        <v>33</v>
      </c>
      <c r="E1976">
        <v>1997</v>
      </c>
      <c r="F1976" t="s">
        <v>22</v>
      </c>
      <c r="G1976" t="s">
        <v>19</v>
      </c>
      <c r="H1976" s="2">
        <v>0</v>
      </c>
    </row>
    <row r="1977" spans="1:8">
      <c r="A1977" t="s">
        <v>66</v>
      </c>
      <c r="B1977" t="s">
        <v>67</v>
      </c>
      <c r="C1977" t="s">
        <v>10</v>
      </c>
      <c r="D1977" t="s">
        <v>33</v>
      </c>
      <c r="E1977">
        <v>1997</v>
      </c>
      <c r="F1977" t="s">
        <v>18</v>
      </c>
      <c r="G1977" t="s">
        <v>13</v>
      </c>
      <c r="H1977" s="2">
        <v>5804.02</v>
      </c>
    </row>
    <row r="1978" spans="1:8">
      <c r="A1978" t="s">
        <v>66</v>
      </c>
      <c r="B1978" t="s">
        <v>67</v>
      </c>
      <c r="C1978" t="s">
        <v>10</v>
      </c>
      <c r="D1978" t="s">
        <v>33</v>
      </c>
      <c r="E1978">
        <v>1997</v>
      </c>
      <c r="F1978" t="s">
        <v>18</v>
      </c>
      <c r="G1978" t="s">
        <v>19</v>
      </c>
      <c r="H1978" s="2">
        <v>309.58</v>
      </c>
    </row>
    <row r="1979" spans="1:8">
      <c r="A1979" t="s">
        <v>66</v>
      </c>
      <c r="B1979" t="s">
        <v>67</v>
      </c>
      <c r="C1979" t="s">
        <v>10</v>
      </c>
      <c r="D1979" t="s">
        <v>33</v>
      </c>
      <c r="E1979">
        <v>1997</v>
      </c>
      <c r="F1979" t="s">
        <v>14</v>
      </c>
      <c r="G1979" t="s">
        <v>17</v>
      </c>
      <c r="H1979" s="2">
        <v>161.08000000000001</v>
      </c>
    </row>
    <row r="1980" spans="1:8">
      <c r="A1980" t="s">
        <v>66</v>
      </c>
      <c r="B1980" t="s">
        <v>67</v>
      </c>
      <c r="C1980" t="s">
        <v>10</v>
      </c>
      <c r="D1980" t="s">
        <v>33</v>
      </c>
      <c r="E1980">
        <v>1997</v>
      </c>
      <c r="F1980" t="s">
        <v>21</v>
      </c>
      <c r="G1980" t="s">
        <v>15</v>
      </c>
      <c r="H1980" s="2">
        <v>198.15</v>
      </c>
    </row>
    <row r="1981" spans="1:8">
      <c r="A1981" t="s">
        <v>66</v>
      </c>
      <c r="B1981" t="s">
        <v>67</v>
      </c>
      <c r="C1981" t="s">
        <v>10</v>
      </c>
      <c r="D1981" t="s">
        <v>33</v>
      </c>
      <c r="E1981">
        <v>1997</v>
      </c>
      <c r="F1981" t="s">
        <v>16</v>
      </c>
      <c r="G1981" t="s">
        <v>17</v>
      </c>
      <c r="H1981" s="2">
        <v>155.91</v>
      </c>
    </row>
    <row r="1982" spans="1:8">
      <c r="A1982" t="s">
        <v>66</v>
      </c>
      <c r="B1982" t="s">
        <v>67</v>
      </c>
      <c r="C1982" t="s">
        <v>10</v>
      </c>
      <c r="D1982" t="s">
        <v>33</v>
      </c>
      <c r="E1982">
        <v>1998</v>
      </c>
      <c r="F1982" t="s">
        <v>22</v>
      </c>
      <c r="G1982" t="s">
        <v>19</v>
      </c>
      <c r="H1982" s="2">
        <v>0</v>
      </c>
    </row>
    <row r="1983" spans="1:8">
      <c r="A1983" t="s">
        <v>66</v>
      </c>
      <c r="B1983" t="s">
        <v>67</v>
      </c>
      <c r="C1983" t="s">
        <v>10</v>
      </c>
      <c r="D1983" t="s">
        <v>33</v>
      </c>
      <c r="E1983">
        <v>1998</v>
      </c>
      <c r="F1983" t="s">
        <v>18</v>
      </c>
      <c r="G1983" t="s">
        <v>15</v>
      </c>
      <c r="H1983" s="2">
        <v>347.73</v>
      </c>
    </row>
    <row r="1984" spans="1:8">
      <c r="A1984" t="s">
        <v>66</v>
      </c>
      <c r="B1984" t="s">
        <v>67</v>
      </c>
      <c r="C1984" t="s">
        <v>10</v>
      </c>
      <c r="D1984" t="s">
        <v>33</v>
      </c>
      <c r="E1984">
        <v>1998</v>
      </c>
      <c r="F1984" t="s">
        <v>18</v>
      </c>
      <c r="G1984" t="s">
        <v>17</v>
      </c>
      <c r="H1984" s="2">
        <v>337.3</v>
      </c>
    </row>
    <row r="1985" spans="1:8">
      <c r="A1985" t="s">
        <v>66</v>
      </c>
      <c r="B1985" t="s">
        <v>67</v>
      </c>
      <c r="C1985" t="s">
        <v>10</v>
      </c>
      <c r="D1985" t="s">
        <v>33</v>
      </c>
      <c r="E1985">
        <v>1998</v>
      </c>
      <c r="F1985" t="s">
        <v>20</v>
      </c>
      <c r="G1985" t="s">
        <v>15</v>
      </c>
      <c r="H1985" s="2">
        <v>-76.12</v>
      </c>
    </row>
    <row r="1986" spans="1:8">
      <c r="A1986" t="s">
        <v>66</v>
      </c>
      <c r="B1986" t="s">
        <v>67</v>
      </c>
      <c r="C1986" t="s">
        <v>10</v>
      </c>
      <c r="D1986" t="s">
        <v>33</v>
      </c>
      <c r="E1986">
        <v>1998</v>
      </c>
      <c r="F1986" t="s">
        <v>21</v>
      </c>
      <c r="G1986" t="s">
        <v>13</v>
      </c>
      <c r="H1986" s="2">
        <v>9208.94</v>
      </c>
    </row>
    <row r="1987" spans="1:8">
      <c r="A1987" t="s">
        <v>66</v>
      </c>
      <c r="B1987" t="s">
        <v>67</v>
      </c>
      <c r="C1987" t="s">
        <v>10</v>
      </c>
      <c r="D1987" t="s">
        <v>33</v>
      </c>
      <c r="E1987">
        <v>1999</v>
      </c>
      <c r="F1987" t="s">
        <v>22</v>
      </c>
      <c r="G1987" t="s">
        <v>13</v>
      </c>
      <c r="H1987" s="2">
        <v>1441.91</v>
      </c>
    </row>
    <row r="1988" spans="1:8">
      <c r="A1988" t="s">
        <v>66</v>
      </c>
      <c r="B1988" t="s">
        <v>67</v>
      </c>
      <c r="C1988" t="s">
        <v>10</v>
      </c>
      <c r="D1988" t="s">
        <v>33</v>
      </c>
      <c r="E1988">
        <v>1999</v>
      </c>
      <c r="F1988" t="s">
        <v>14</v>
      </c>
      <c r="G1988" t="s">
        <v>17</v>
      </c>
      <c r="H1988" s="2">
        <v>159.15</v>
      </c>
    </row>
    <row r="1989" spans="1:8">
      <c r="A1989" t="s">
        <v>66</v>
      </c>
      <c r="B1989" t="s">
        <v>67</v>
      </c>
      <c r="C1989" t="s">
        <v>10</v>
      </c>
      <c r="D1989" t="s">
        <v>33</v>
      </c>
      <c r="E1989">
        <v>1999</v>
      </c>
      <c r="F1989" t="s">
        <v>16</v>
      </c>
      <c r="G1989" t="s">
        <v>13</v>
      </c>
      <c r="H1989" s="2">
        <v>457.51</v>
      </c>
    </row>
    <row r="1990" spans="1:8">
      <c r="A1990" t="s">
        <v>66</v>
      </c>
      <c r="B1990" t="s">
        <v>67</v>
      </c>
      <c r="C1990" t="s">
        <v>10</v>
      </c>
      <c r="D1990" t="s">
        <v>33</v>
      </c>
      <c r="E1990">
        <v>1999</v>
      </c>
      <c r="F1990" t="s">
        <v>16</v>
      </c>
      <c r="G1990" t="s">
        <v>17</v>
      </c>
      <c r="H1990" s="2">
        <v>141.82</v>
      </c>
    </row>
    <row r="1991" spans="1:8">
      <c r="A1991" t="s">
        <v>66</v>
      </c>
      <c r="B1991" t="s">
        <v>67</v>
      </c>
      <c r="C1991" t="s">
        <v>10</v>
      </c>
      <c r="D1991" t="s">
        <v>33</v>
      </c>
      <c r="E1991">
        <v>2000</v>
      </c>
      <c r="F1991" t="s">
        <v>22</v>
      </c>
      <c r="G1991" t="s">
        <v>15</v>
      </c>
      <c r="H1991" s="2">
        <v>11440.4</v>
      </c>
    </row>
    <row r="1992" spans="1:8">
      <c r="A1992" t="s">
        <v>66</v>
      </c>
      <c r="B1992" t="s">
        <v>67</v>
      </c>
      <c r="C1992" t="s">
        <v>10</v>
      </c>
      <c r="D1992" t="s">
        <v>33</v>
      </c>
      <c r="E1992">
        <v>2000</v>
      </c>
      <c r="F1992" t="s">
        <v>21</v>
      </c>
      <c r="G1992" t="s">
        <v>15</v>
      </c>
      <c r="H1992" s="2">
        <v>192.97</v>
      </c>
    </row>
    <row r="1993" spans="1:8">
      <c r="A1993" t="s">
        <v>66</v>
      </c>
      <c r="B1993" t="s">
        <v>67</v>
      </c>
      <c r="C1993" t="s">
        <v>10</v>
      </c>
      <c r="D1993" t="s">
        <v>33</v>
      </c>
      <c r="E1993">
        <v>2001</v>
      </c>
      <c r="F1993" t="s">
        <v>14</v>
      </c>
      <c r="G1993" t="s">
        <v>19</v>
      </c>
      <c r="H1993" s="2">
        <v>0</v>
      </c>
    </row>
    <row r="1994" spans="1:8">
      <c r="A1994" t="s">
        <v>66</v>
      </c>
      <c r="B1994" t="s">
        <v>67</v>
      </c>
      <c r="C1994" t="s">
        <v>10</v>
      </c>
      <c r="D1994" t="s">
        <v>33</v>
      </c>
      <c r="E1994">
        <v>2002</v>
      </c>
      <c r="F1994" t="s">
        <v>22</v>
      </c>
      <c r="G1994" t="s">
        <v>13</v>
      </c>
      <c r="H1994" s="2">
        <v>1802.44</v>
      </c>
    </row>
    <row r="1995" spans="1:8">
      <c r="A1995" t="s">
        <v>66</v>
      </c>
      <c r="B1995" t="s">
        <v>67</v>
      </c>
      <c r="C1995" t="s">
        <v>10</v>
      </c>
      <c r="D1995" t="s">
        <v>33</v>
      </c>
      <c r="E1995">
        <v>2002</v>
      </c>
      <c r="F1995" t="s">
        <v>12</v>
      </c>
      <c r="G1995" t="s">
        <v>19</v>
      </c>
      <c r="H1995" s="2">
        <v>0</v>
      </c>
    </row>
    <row r="1996" spans="1:8">
      <c r="A1996" t="s">
        <v>66</v>
      </c>
      <c r="B1996" t="s">
        <v>67</v>
      </c>
      <c r="C1996" t="s">
        <v>10</v>
      </c>
      <c r="D1996" t="s">
        <v>33</v>
      </c>
      <c r="E1996">
        <v>2002</v>
      </c>
      <c r="F1996" t="s">
        <v>14</v>
      </c>
      <c r="G1996" t="s">
        <v>13</v>
      </c>
      <c r="H1996" s="2">
        <v>10356.969999999999</v>
      </c>
    </row>
    <row r="1997" spans="1:8">
      <c r="A1997" t="s">
        <v>66</v>
      </c>
      <c r="B1997" t="s">
        <v>67</v>
      </c>
      <c r="C1997" t="s">
        <v>10</v>
      </c>
      <c r="D1997" t="s">
        <v>33</v>
      </c>
      <c r="E1997">
        <v>2002</v>
      </c>
      <c r="F1997" t="s">
        <v>14</v>
      </c>
      <c r="G1997" t="s">
        <v>17</v>
      </c>
      <c r="H1997" s="2">
        <v>192.99</v>
      </c>
    </row>
    <row r="1998" spans="1:8">
      <c r="A1998" t="s">
        <v>66</v>
      </c>
      <c r="B1998" t="s">
        <v>67</v>
      </c>
      <c r="C1998" t="s">
        <v>10</v>
      </c>
      <c r="D1998" t="s">
        <v>33</v>
      </c>
      <c r="E1998">
        <v>2003</v>
      </c>
      <c r="F1998" t="s">
        <v>22</v>
      </c>
      <c r="G1998" t="s">
        <v>19</v>
      </c>
      <c r="H1998" s="2">
        <v>0</v>
      </c>
    </row>
    <row r="1999" spans="1:8">
      <c r="A1999" t="s">
        <v>66</v>
      </c>
      <c r="B1999" t="s">
        <v>67</v>
      </c>
      <c r="C1999" t="s">
        <v>10</v>
      </c>
      <c r="D1999" t="s">
        <v>33</v>
      </c>
      <c r="E1999">
        <v>2003</v>
      </c>
      <c r="F1999" t="s">
        <v>12</v>
      </c>
      <c r="G1999" t="s">
        <v>19</v>
      </c>
      <c r="H1999" s="2">
        <v>0</v>
      </c>
    </row>
    <row r="2000" spans="1:8">
      <c r="A2000" t="s">
        <v>66</v>
      </c>
      <c r="B2000" t="s">
        <v>67</v>
      </c>
      <c r="C2000" t="s">
        <v>10</v>
      </c>
      <c r="D2000" t="s">
        <v>33</v>
      </c>
      <c r="E2000">
        <v>2003</v>
      </c>
      <c r="F2000" t="s">
        <v>18</v>
      </c>
      <c r="G2000" t="s">
        <v>15</v>
      </c>
      <c r="H2000" s="2">
        <v>465</v>
      </c>
    </row>
    <row r="2001" spans="1:8">
      <c r="A2001" t="s">
        <v>66</v>
      </c>
      <c r="B2001" t="s">
        <v>67</v>
      </c>
      <c r="C2001" t="s">
        <v>10</v>
      </c>
      <c r="D2001" t="s">
        <v>33</v>
      </c>
      <c r="E2001">
        <v>2003</v>
      </c>
      <c r="F2001" t="s">
        <v>18</v>
      </c>
      <c r="G2001" t="s">
        <v>19</v>
      </c>
      <c r="H2001" s="2">
        <v>504.52</v>
      </c>
    </row>
    <row r="2002" spans="1:8">
      <c r="A2002" t="s">
        <v>66</v>
      </c>
      <c r="B2002" t="s">
        <v>67</v>
      </c>
      <c r="C2002" t="s">
        <v>10</v>
      </c>
      <c r="D2002" t="s">
        <v>33</v>
      </c>
      <c r="E2002">
        <v>2003</v>
      </c>
      <c r="F2002" t="s">
        <v>21</v>
      </c>
      <c r="G2002" t="s">
        <v>19</v>
      </c>
      <c r="H2002" s="2">
        <v>0</v>
      </c>
    </row>
    <row r="2003" spans="1:8">
      <c r="A2003" t="s">
        <v>66</v>
      </c>
      <c r="B2003" t="s">
        <v>67</v>
      </c>
      <c r="C2003" t="s">
        <v>10</v>
      </c>
      <c r="D2003" t="s">
        <v>33</v>
      </c>
      <c r="E2003">
        <v>2004</v>
      </c>
      <c r="F2003" t="s">
        <v>12</v>
      </c>
      <c r="G2003" t="s">
        <v>17</v>
      </c>
      <c r="H2003" s="2">
        <v>208.16</v>
      </c>
    </row>
    <row r="2004" spans="1:8">
      <c r="A2004" t="s">
        <v>66</v>
      </c>
      <c r="B2004" t="s">
        <v>67</v>
      </c>
      <c r="C2004" t="s">
        <v>10</v>
      </c>
      <c r="D2004" t="s">
        <v>33</v>
      </c>
      <c r="E2004">
        <v>2004</v>
      </c>
      <c r="F2004" t="s">
        <v>18</v>
      </c>
      <c r="G2004" t="s">
        <v>13</v>
      </c>
      <c r="H2004" s="2">
        <v>7301.73</v>
      </c>
    </row>
    <row r="2005" spans="1:8">
      <c r="A2005" t="s">
        <v>66</v>
      </c>
      <c r="B2005" t="s">
        <v>67</v>
      </c>
      <c r="C2005" t="s">
        <v>10</v>
      </c>
      <c r="D2005" t="s">
        <v>33</v>
      </c>
      <c r="E2005">
        <v>2004</v>
      </c>
      <c r="F2005" t="s">
        <v>20</v>
      </c>
      <c r="G2005" t="s">
        <v>15</v>
      </c>
      <c r="H2005" s="2">
        <v>-106.58</v>
      </c>
    </row>
    <row r="2006" spans="1:8">
      <c r="A2006" t="s">
        <v>66</v>
      </c>
      <c r="B2006" t="s">
        <v>67</v>
      </c>
      <c r="C2006" t="s">
        <v>10</v>
      </c>
      <c r="D2006" t="s">
        <v>33</v>
      </c>
      <c r="E2006">
        <v>2004</v>
      </c>
      <c r="F2006" t="s">
        <v>14</v>
      </c>
      <c r="G2006" t="s">
        <v>15</v>
      </c>
      <c r="H2006" s="2">
        <v>348.1</v>
      </c>
    </row>
    <row r="2007" spans="1:8">
      <c r="A2007" t="s">
        <v>66</v>
      </c>
      <c r="B2007" t="s">
        <v>67</v>
      </c>
      <c r="C2007" t="s">
        <v>10</v>
      </c>
      <c r="D2007" t="s">
        <v>33</v>
      </c>
      <c r="E2007">
        <v>2004</v>
      </c>
      <c r="F2007" t="s">
        <v>14</v>
      </c>
      <c r="G2007" t="s">
        <v>13</v>
      </c>
      <c r="H2007" s="2">
        <v>9307.59</v>
      </c>
    </row>
    <row r="2008" spans="1:8">
      <c r="A2008" t="s">
        <v>66</v>
      </c>
      <c r="B2008" t="s">
        <v>67</v>
      </c>
      <c r="C2008" t="s">
        <v>10</v>
      </c>
      <c r="D2008" t="s">
        <v>33</v>
      </c>
      <c r="E2008">
        <v>2005</v>
      </c>
      <c r="F2008" t="s">
        <v>20</v>
      </c>
      <c r="G2008" t="s">
        <v>15</v>
      </c>
      <c r="H2008" s="2">
        <v>-88.19</v>
      </c>
    </row>
    <row r="2009" spans="1:8">
      <c r="A2009" t="s">
        <v>66</v>
      </c>
      <c r="B2009" t="s">
        <v>67</v>
      </c>
      <c r="C2009" t="s">
        <v>10</v>
      </c>
      <c r="D2009" t="s">
        <v>33</v>
      </c>
      <c r="E2009">
        <v>2005</v>
      </c>
      <c r="F2009" t="s">
        <v>14</v>
      </c>
      <c r="G2009" t="s">
        <v>17</v>
      </c>
      <c r="H2009" s="2">
        <v>200.21</v>
      </c>
    </row>
    <row r="2010" spans="1:8">
      <c r="A2010" t="s">
        <v>66</v>
      </c>
      <c r="B2010" t="s">
        <v>67</v>
      </c>
      <c r="C2010" t="s">
        <v>10</v>
      </c>
      <c r="D2010" t="s">
        <v>33</v>
      </c>
      <c r="E2010">
        <v>2006</v>
      </c>
      <c r="F2010" t="s">
        <v>22</v>
      </c>
      <c r="G2010" t="s">
        <v>15</v>
      </c>
      <c r="H2010" s="2">
        <v>13377.25</v>
      </c>
    </row>
    <row r="2011" spans="1:8">
      <c r="A2011" t="s">
        <v>66</v>
      </c>
      <c r="B2011" t="s">
        <v>67</v>
      </c>
      <c r="C2011" t="s">
        <v>10</v>
      </c>
      <c r="D2011" t="s">
        <v>33</v>
      </c>
      <c r="E2011">
        <v>2006</v>
      </c>
      <c r="F2011" t="s">
        <v>21</v>
      </c>
      <c r="G2011" t="s">
        <v>15</v>
      </c>
      <c r="H2011" s="2">
        <v>275.85000000000002</v>
      </c>
    </row>
    <row r="2012" spans="1:8">
      <c r="A2012" t="s">
        <v>66</v>
      </c>
      <c r="B2012" t="s">
        <v>67</v>
      </c>
      <c r="C2012" t="s">
        <v>10</v>
      </c>
      <c r="D2012" t="s">
        <v>33</v>
      </c>
      <c r="E2012">
        <v>2006</v>
      </c>
      <c r="F2012" t="s">
        <v>21</v>
      </c>
      <c r="G2012" t="s">
        <v>13</v>
      </c>
      <c r="H2012" s="2">
        <v>13704.94</v>
      </c>
    </row>
    <row r="2013" spans="1:8">
      <c r="A2013" t="s">
        <v>66</v>
      </c>
      <c r="B2013" t="s">
        <v>67</v>
      </c>
      <c r="C2013" t="s">
        <v>10</v>
      </c>
      <c r="D2013" t="s">
        <v>33</v>
      </c>
      <c r="E2013">
        <v>2006</v>
      </c>
      <c r="F2013" t="s">
        <v>16</v>
      </c>
      <c r="G2013" t="s">
        <v>19</v>
      </c>
      <c r="H2013" s="2">
        <v>0</v>
      </c>
    </row>
    <row r="2014" spans="1:8">
      <c r="A2014" t="s">
        <v>66</v>
      </c>
      <c r="B2014" t="s">
        <v>67</v>
      </c>
      <c r="C2014" t="s">
        <v>10</v>
      </c>
      <c r="D2014" t="s">
        <v>33</v>
      </c>
      <c r="E2014">
        <v>2007</v>
      </c>
      <c r="F2014" t="s">
        <v>20</v>
      </c>
      <c r="G2014" t="s">
        <v>17</v>
      </c>
      <c r="H2014" s="2">
        <v>-115.29</v>
      </c>
    </row>
    <row r="2015" spans="1:8">
      <c r="A2015" t="s">
        <v>66</v>
      </c>
      <c r="B2015" t="s">
        <v>67</v>
      </c>
      <c r="C2015" t="s">
        <v>10</v>
      </c>
      <c r="D2015" t="s">
        <v>33</v>
      </c>
      <c r="E2015">
        <v>2007</v>
      </c>
      <c r="F2015" t="s">
        <v>14</v>
      </c>
      <c r="G2015" t="s">
        <v>15</v>
      </c>
      <c r="H2015" s="2">
        <v>364.38</v>
      </c>
    </row>
    <row r="2016" spans="1:8">
      <c r="A2016" t="s">
        <v>66</v>
      </c>
      <c r="B2016" t="s">
        <v>67</v>
      </c>
      <c r="C2016" t="s">
        <v>10</v>
      </c>
      <c r="D2016" t="s">
        <v>33</v>
      </c>
      <c r="E2016">
        <v>2007</v>
      </c>
      <c r="F2016" t="s">
        <v>14</v>
      </c>
      <c r="G2016" t="s">
        <v>13</v>
      </c>
      <c r="H2016" s="2">
        <v>11348.22</v>
      </c>
    </row>
    <row r="2017" spans="1:8">
      <c r="A2017" t="s">
        <v>66</v>
      </c>
      <c r="B2017" t="s">
        <v>67</v>
      </c>
      <c r="C2017" t="s">
        <v>10</v>
      </c>
      <c r="D2017" t="s">
        <v>33</v>
      </c>
      <c r="E2017">
        <v>2007</v>
      </c>
      <c r="F2017" t="s">
        <v>21</v>
      </c>
      <c r="G2017" t="s">
        <v>13</v>
      </c>
      <c r="H2017" s="2">
        <v>14166.07</v>
      </c>
    </row>
    <row r="2018" spans="1:8">
      <c r="A2018" t="s">
        <v>66</v>
      </c>
      <c r="B2018" t="s">
        <v>67</v>
      </c>
      <c r="C2018" t="s">
        <v>10</v>
      </c>
      <c r="D2018" t="s">
        <v>33</v>
      </c>
      <c r="E2018">
        <v>2007</v>
      </c>
      <c r="F2018" t="s">
        <v>16</v>
      </c>
      <c r="G2018" t="s">
        <v>15</v>
      </c>
      <c r="H2018" s="2">
        <v>3425.18</v>
      </c>
    </row>
    <row r="2019" spans="1:8">
      <c r="A2019" t="s">
        <v>66</v>
      </c>
      <c r="B2019" t="s">
        <v>67</v>
      </c>
      <c r="C2019" t="s">
        <v>10</v>
      </c>
      <c r="D2019" t="s">
        <v>33</v>
      </c>
      <c r="E2019">
        <v>2007</v>
      </c>
      <c r="F2019" t="s">
        <v>16</v>
      </c>
      <c r="G2019" t="s">
        <v>17</v>
      </c>
      <c r="H2019" s="2">
        <v>216.83</v>
      </c>
    </row>
    <row r="2020" spans="1:8">
      <c r="A2020" t="s">
        <v>66</v>
      </c>
      <c r="B2020" t="s">
        <v>67</v>
      </c>
      <c r="C2020" t="s">
        <v>10</v>
      </c>
      <c r="D2020" t="s">
        <v>33</v>
      </c>
      <c r="E2020">
        <v>2008</v>
      </c>
      <c r="F2020" t="s">
        <v>12</v>
      </c>
      <c r="G2020" t="s">
        <v>15</v>
      </c>
      <c r="H2020" s="2">
        <v>516.27</v>
      </c>
    </row>
    <row r="2021" spans="1:8">
      <c r="A2021" t="s">
        <v>66</v>
      </c>
      <c r="B2021" t="s">
        <v>67</v>
      </c>
      <c r="C2021" t="s">
        <v>10</v>
      </c>
      <c r="D2021" t="s">
        <v>33</v>
      </c>
      <c r="E2021">
        <v>2008</v>
      </c>
      <c r="F2021" t="s">
        <v>20</v>
      </c>
      <c r="G2021" t="s">
        <v>13</v>
      </c>
      <c r="H2021" s="2">
        <v>-10822.81</v>
      </c>
    </row>
    <row r="2022" spans="1:8">
      <c r="A2022" t="s">
        <v>66</v>
      </c>
      <c r="B2022" t="s">
        <v>67</v>
      </c>
      <c r="C2022" t="s">
        <v>10</v>
      </c>
      <c r="D2022" t="s">
        <v>33</v>
      </c>
      <c r="E2022">
        <v>2008</v>
      </c>
      <c r="F2022" t="s">
        <v>20</v>
      </c>
      <c r="G2022" t="s">
        <v>19</v>
      </c>
      <c r="H2022" s="2">
        <v>0</v>
      </c>
    </row>
    <row r="2023" spans="1:8">
      <c r="A2023" t="s">
        <v>66</v>
      </c>
      <c r="B2023" t="s">
        <v>67</v>
      </c>
      <c r="C2023" t="s">
        <v>10</v>
      </c>
      <c r="D2023" t="s">
        <v>33</v>
      </c>
      <c r="E2023">
        <v>2008</v>
      </c>
      <c r="F2023" t="s">
        <v>21</v>
      </c>
      <c r="G2023" t="s">
        <v>15</v>
      </c>
      <c r="H2023" s="2">
        <v>270.74</v>
      </c>
    </row>
    <row r="2024" spans="1:8">
      <c r="A2024" t="s">
        <v>66</v>
      </c>
      <c r="B2024" t="s">
        <v>67</v>
      </c>
      <c r="C2024" t="s">
        <v>10</v>
      </c>
      <c r="D2024" t="s">
        <v>33</v>
      </c>
      <c r="E2024">
        <v>2009</v>
      </c>
      <c r="F2024" t="s">
        <v>22</v>
      </c>
      <c r="G2024" t="s">
        <v>15</v>
      </c>
      <c r="H2024" s="2">
        <v>14655.74</v>
      </c>
    </row>
    <row r="2025" spans="1:8">
      <c r="A2025" t="s">
        <v>66</v>
      </c>
      <c r="B2025" t="s">
        <v>67</v>
      </c>
      <c r="C2025" t="s">
        <v>10</v>
      </c>
      <c r="D2025" t="s">
        <v>33</v>
      </c>
      <c r="E2025">
        <v>2009</v>
      </c>
      <c r="F2025" t="s">
        <v>22</v>
      </c>
      <c r="G2025" t="s">
        <v>13</v>
      </c>
      <c r="H2025" s="2">
        <v>2003.05</v>
      </c>
    </row>
    <row r="2026" spans="1:8">
      <c r="A2026" t="s">
        <v>66</v>
      </c>
      <c r="B2026" t="s">
        <v>67</v>
      </c>
      <c r="C2026" t="s">
        <v>10</v>
      </c>
      <c r="D2026" t="s">
        <v>33</v>
      </c>
      <c r="E2026">
        <v>2009</v>
      </c>
      <c r="F2026" t="s">
        <v>22</v>
      </c>
      <c r="G2026" t="s">
        <v>19</v>
      </c>
      <c r="H2026" s="2">
        <v>0</v>
      </c>
    </row>
    <row r="2027" spans="1:8">
      <c r="A2027" t="s">
        <v>66</v>
      </c>
      <c r="B2027" t="s">
        <v>67</v>
      </c>
      <c r="C2027" t="s">
        <v>10</v>
      </c>
      <c r="D2027" t="s">
        <v>33</v>
      </c>
      <c r="E2027">
        <v>2009</v>
      </c>
      <c r="F2027" t="s">
        <v>18</v>
      </c>
      <c r="G2027" t="s">
        <v>19</v>
      </c>
      <c r="H2027" s="2">
        <v>455.67</v>
      </c>
    </row>
    <row r="2028" spans="1:8">
      <c r="A2028" t="s">
        <v>66</v>
      </c>
      <c r="B2028" t="s">
        <v>67</v>
      </c>
      <c r="C2028" t="s">
        <v>10</v>
      </c>
      <c r="D2028" t="s">
        <v>33</v>
      </c>
      <c r="E2028">
        <v>2010</v>
      </c>
      <c r="F2028" t="s">
        <v>22</v>
      </c>
      <c r="G2028" t="s">
        <v>13</v>
      </c>
      <c r="H2028" s="2">
        <v>2152.6999999999998</v>
      </c>
    </row>
    <row r="2029" spans="1:8">
      <c r="A2029" t="s">
        <v>66</v>
      </c>
      <c r="B2029" t="s">
        <v>67</v>
      </c>
      <c r="C2029" t="s">
        <v>10</v>
      </c>
      <c r="D2029" t="s">
        <v>33</v>
      </c>
      <c r="E2029">
        <v>2010</v>
      </c>
      <c r="F2029" t="s">
        <v>12</v>
      </c>
      <c r="G2029" t="s">
        <v>13</v>
      </c>
      <c r="H2029" s="2">
        <v>7133.46</v>
      </c>
    </row>
    <row r="2030" spans="1:8">
      <c r="A2030" t="s">
        <v>66</v>
      </c>
      <c r="B2030" t="s">
        <v>67</v>
      </c>
      <c r="C2030" t="s">
        <v>10</v>
      </c>
      <c r="D2030" t="s">
        <v>33</v>
      </c>
      <c r="E2030">
        <v>2010</v>
      </c>
      <c r="F2030" t="s">
        <v>18</v>
      </c>
      <c r="G2030" t="s">
        <v>15</v>
      </c>
      <c r="H2030" s="2">
        <v>504.21</v>
      </c>
    </row>
    <row r="2031" spans="1:8">
      <c r="A2031" t="s">
        <v>66</v>
      </c>
      <c r="B2031" t="s">
        <v>67</v>
      </c>
      <c r="C2031" t="s">
        <v>10</v>
      </c>
      <c r="D2031" t="s">
        <v>33</v>
      </c>
      <c r="E2031">
        <v>2010</v>
      </c>
      <c r="F2031" t="s">
        <v>18</v>
      </c>
      <c r="G2031" t="s">
        <v>13</v>
      </c>
      <c r="H2031" s="2">
        <v>9247.98</v>
      </c>
    </row>
    <row r="2032" spans="1:8">
      <c r="A2032" t="s">
        <v>66</v>
      </c>
      <c r="B2032" t="s">
        <v>67</v>
      </c>
      <c r="C2032" t="s">
        <v>10</v>
      </c>
      <c r="D2032" t="s">
        <v>33</v>
      </c>
      <c r="E2032">
        <v>2010</v>
      </c>
      <c r="F2032" t="s">
        <v>14</v>
      </c>
      <c r="G2032" t="s">
        <v>13</v>
      </c>
      <c r="H2032" s="2">
        <v>12470.02</v>
      </c>
    </row>
    <row r="2033" spans="1:8">
      <c r="A2033" t="s">
        <v>66</v>
      </c>
      <c r="B2033" t="s">
        <v>67</v>
      </c>
      <c r="C2033" t="s">
        <v>10</v>
      </c>
      <c r="D2033" t="s">
        <v>33</v>
      </c>
      <c r="E2033">
        <v>2010</v>
      </c>
      <c r="F2033" t="s">
        <v>21</v>
      </c>
      <c r="G2033" t="s">
        <v>13</v>
      </c>
      <c r="H2033" s="2">
        <v>16116.12</v>
      </c>
    </row>
    <row r="2034" spans="1:8">
      <c r="A2034" t="s">
        <v>66</v>
      </c>
      <c r="B2034" t="s">
        <v>67</v>
      </c>
      <c r="C2034" t="s">
        <v>10</v>
      </c>
      <c r="D2034" t="s">
        <v>33</v>
      </c>
      <c r="E2034">
        <v>2010</v>
      </c>
      <c r="F2034" t="s">
        <v>21</v>
      </c>
      <c r="G2034" t="s">
        <v>19</v>
      </c>
      <c r="H2034" s="2">
        <v>0</v>
      </c>
    </row>
    <row r="2035" spans="1:8">
      <c r="A2035" t="s">
        <v>66</v>
      </c>
      <c r="B2035" t="s">
        <v>67</v>
      </c>
      <c r="C2035" t="s">
        <v>10</v>
      </c>
      <c r="D2035" t="s">
        <v>33</v>
      </c>
      <c r="E2035">
        <v>2011</v>
      </c>
      <c r="F2035" t="s">
        <v>12</v>
      </c>
      <c r="G2035" t="s">
        <v>15</v>
      </c>
      <c r="H2035" s="2">
        <v>549.13</v>
      </c>
    </row>
    <row r="2036" spans="1:8">
      <c r="A2036" t="s">
        <v>66</v>
      </c>
      <c r="B2036" t="s">
        <v>67</v>
      </c>
      <c r="C2036" t="s">
        <v>10</v>
      </c>
      <c r="D2036" t="s">
        <v>33</v>
      </c>
      <c r="E2036">
        <v>2011</v>
      </c>
      <c r="F2036" t="s">
        <v>14</v>
      </c>
      <c r="G2036" t="s">
        <v>13</v>
      </c>
      <c r="H2036" s="2">
        <v>10701.41</v>
      </c>
    </row>
    <row r="2037" spans="1:8">
      <c r="A2037" t="s">
        <v>66</v>
      </c>
      <c r="B2037" t="s">
        <v>67</v>
      </c>
      <c r="C2037" t="s">
        <v>10</v>
      </c>
      <c r="D2037" t="s">
        <v>33</v>
      </c>
      <c r="E2037">
        <v>2011</v>
      </c>
      <c r="F2037" t="s">
        <v>21</v>
      </c>
      <c r="G2037" t="s">
        <v>19</v>
      </c>
      <c r="H2037" s="2">
        <v>0</v>
      </c>
    </row>
    <row r="2038" spans="1:8">
      <c r="A2038" t="s">
        <v>66</v>
      </c>
      <c r="B2038" t="s">
        <v>67</v>
      </c>
      <c r="C2038" t="s">
        <v>10</v>
      </c>
      <c r="D2038" t="s">
        <v>33</v>
      </c>
      <c r="E2038">
        <v>2012</v>
      </c>
      <c r="F2038" t="s">
        <v>21</v>
      </c>
      <c r="G2038" t="s">
        <v>17</v>
      </c>
      <c r="H2038" s="2">
        <v>155.91</v>
      </c>
    </row>
    <row r="2039" spans="1:8">
      <c r="A2039" t="s">
        <v>66</v>
      </c>
      <c r="B2039" t="s">
        <v>67</v>
      </c>
      <c r="C2039" t="s">
        <v>10</v>
      </c>
      <c r="D2039" t="s">
        <v>33</v>
      </c>
      <c r="E2039">
        <v>2013</v>
      </c>
      <c r="F2039" t="s">
        <v>14</v>
      </c>
      <c r="G2039" t="s">
        <v>19</v>
      </c>
      <c r="H2039" s="2">
        <v>0</v>
      </c>
    </row>
    <row r="2040" spans="1:8">
      <c r="A2040" t="s">
        <v>66</v>
      </c>
      <c r="B2040" t="s">
        <v>67</v>
      </c>
      <c r="C2040" t="s">
        <v>10</v>
      </c>
      <c r="D2040" t="s">
        <v>33</v>
      </c>
      <c r="E2040">
        <v>2013</v>
      </c>
      <c r="F2040" t="s">
        <v>21</v>
      </c>
      <c r="G2040" t="s">
        <v>17</v>
      </c>
      <c r="H2040" s="2">
        <v>154.79</v>
      </c>
    </row>
    <row r="2041" spans="1:8">
      <c r="A2041" t="s">
        <v>66</v>
      </c>
      <c r="B2041" t="s">
        <v>67</v>
      </c>
      <c r="C2041" t="s">
        <v>10</v>
      </c>
      <c r="D2041" t="s">
        <v>33</v>
      </c>
      <c r="E2041">
        <v>2014</v>
      </c>
      <c r="F2041" t="s">
        <v>18</v>
      </c>
      <c r="G2041" t="s">
        <v>13</v>
      </c>
      <c r="H2041" s="2">
        <v>8216.36</v>
      </c>
    </row>
    <row r="2042" spans="1:8">
      <c r="A2042" t="s">
        <v>66</v>
      </c>
      <c r="B2042" t="s">
        <v>67</v>
      </c>
      <c r="C2042" t="s">
        <v>10</v>
      </c>
      <c r="D2042" t="s">
        <v>33</v>
      </c>
      <c r="E2042">
        <v>2015</v>
      </c>
      <c r="F2042" t="s">
        <v>22</v>
      </c>
      <c r="G2042" t="s">
        <v>17</v>
      </c>
      <c r="H2042" s="2">
        <v>3975.74</v>
      </c>
    </row>
    <row r="2043" spans="1:8">
      <c r="A2043" t="s">
        <v>66</v>
      </c>
      <c r="B2043" t="s">
        <v>67</v>
      </c>
      <c r="C2043" t="s">
        <v>10</v>
      </c>
      <c r="D2043" t="s">
        <v>33</v>
      </c>
      <c r="E2043">
        <v>2015</v>
      </c>
      <c r="F2043" t="s">
        <v>18</v>
      </c>
      <c r="G2043" t="s">
        <v>15</v>
      </c>
      <c r="H2043" s="2">
        <v>470.34</v>
      </c>
    </row>
    <row r="2044" spans="1:8">
      <c r="A2044" t="s">
        <v>66</v>
      </c>
      <c r="B2044" t="s">
        <v>67</v>
      </c>
      <c r="C2044" t="s">
        <v>10</v>
      </c>
      <c r="D2044" t="s">
        <v>33</v>
      </c>
      <c r="E2044">
        <v>2015</v>
      </c>
      <c r="F2044" t="s">
        <v>20</v>
      </c>
      <c r="G2044" t="s">
        <v>15</v>
      </c>
      <c r="H2044" s="2">
        <v>-115.17</v>
      </c>
    </row>
    <row r="2045" spans="1:8">
      <c r="A2045" t="s">
        <v>66</v>
      </c>
      <c r="B2045" t="s">
        <v>67</v>
      </c>
      <c r="C2045" t="s">
        <v>10</v>
      </c>
      <c r="D2045" t="s">
        <v>33</v>
      </c>
      <c r="E2045">
        <v>2015</v>
      </c>
      <c r="F2045" t="s">
        <v>16</v>
      </c>
      <c r="G2045" t="s">
        <v>19</v>
      </c>
      <c r="H2045" s="2">
        <v>0</v>
      </c>
    </row>
    <row r="2046" spans="1:8">
      <c r="A2046" t="s">
        <v>66</v>
      </c>
      <c r="B2046" t="s">
        <v>67</v>
      </c>
      <c r="C2046" t="s">
        <v>10</v>
      </c>
      <c r="D2046" t="s">
        <v>33</v>
      </c>
      <c r="E2046">
        <v>2015</v>
      </c>
      <c r="F2046" t="s">
        <v>16</v>
      </c>
      <c r="G2046" t="s">
        <v>17</v>
      </c>
      <c r="H2046" s="2">
        <v>211.6</v>
      </c>
    </row>
    <row r="2047" spans="1:8">
      <c r="A2047" t="s">
        <v>66</v>
      </c>
      <c r="B2047" t="s">
        <v>67</v>
      </c>
      <c r="C2047" t="s">
        <v>10</v>
      </c>
      <c r="D2047" t="s">
        <v>33</v>
      </c>
      <c r="E2047">
        <v>2016</v>
      </c>
      <c r="F2047" t="s">
        <v>14</v>
      </c>
      <c r="G2047" t="s">
        <v>19</v>
      </c>
      <c r="H2047" s="2">
        <v>0</v>
      </c>
    </row>
    <row r="2048" spans="1:8">
      <c r="A2048" t="s">
        <v>66</v>
      </c>
      <c r="B2048" t="s">
        <v>67</v>
      </c>
      <c r="C2048" t="s">
        <v>10</v>
      </c>
      <c r="D2048" t="s">
        <v>33</v>
      </c>
      <c r="E2048">
        <v>2016</v>
      </c>
      <c r="F2048" t="s">
        <v>14</v>
      </c>
      <c r="G2048" t="s">
        <v>17</v>
      </c>
      <c r="H2048" s="2">
        <v>265.16000000000003</v>
      </c>
    </row>
    <row r="2049" spans="1:8">
      <c r="A2049" t="s">
        <v>66</v>
      </c>
      <c r="B2049" t="s">
        <v>67</v>
      </c>
      <c r="C2049" t="s">
        <v>10</v>
      </c>
      <c r="D2049" t="s">
        <v>33</v>
      </c>
      <c r="E2049">
        <v>2017</v>
      </c>
      <c r="F2049" t="s">
        <v>22</v>
      </c>
      <c r="G2049" t="s">
        <v>17</v>
      </c>
      <c r="H2049" s="2">
        <v>4673.63</v>
      </c>
    </row>
    <row r="2050" spans="1:8">
      <c r="A2050" t="s">
        <v>66</v>
      </c>
      <c r="B2050" t="s">
        <v>67</v>
      </c>
      <c r="C2050" t="s">
        <v>10</v>
      </c>
      <c r="D2050" t="s">
        <v>33</v>
      </c>
      <c r="E2050">
        <v>2017</v>
      </c>
      <c r="F2050" t="s">
        <v>12</v>
      </c>
      <c r="G2050" t="s">
        <v>13</v>
      </c>
      <c r="H2050" s="2">
        <v>7455.87</v>
      </c>
    </row>
    <row r="2051" spans="1:8">
      <c r="A2051" t="s">
        <v>66</v>
      </c>
      <c r="B2051" t="s">
        <v>67</v>
      </c>
      <c r="C2051" t="s">
        <v>10</v>
      </c>
      <c r="D2051" t="s">
        <v>33</v>
      </c>
      <c r="E2051">
        <v>2017</v>
      </c>
      <c r="F2051" t="s">
        <v>16</v>
      </c>
      <c r="G2051" t="s">
        <v>17</v>
      </c>
      <c r="H2051" s="2">
        <v>248.3</v>
      </c>
    </row>
    <row r="2052" spans="1:8">
      <c r="A2052" t="s">
        <v>66</v>
      </c>
      <c r="B2052" t="s">
        <v>67</v>
      </c>
      <c r="C2052" t="s">
        <v>10</v>
      </c>
      <c r="D2052" t="s">
        <v>33</v>
      </c>
      <c r="E2052">
        <v>2018</v>
      </c>
      <c r="F2052" t="s">
        <v>18</v>
      </c>
      <c r="G2052" t="s">
        <v>15</v>
      </c>
      <c r="H2052" s="2">
        <v>499.84</v>
      </c>
    </row>
    <row r="2053" spans="1:8">
      <c r="A2053" t="s">
        <v>66</v>
      </c>
      <c r="B2053" t="s">
        <v>67</v>
      </c>
      <c r="C2053" t="s">
        <v>10</v>
      </c>
      <c r="D2053" t="s">
        <v>33</v>
      </c>
      <c r="E2053">
        <v>2018</v>
      </c>
      <c r="F2053" t="s">
        <v>18</v>
      </c>
      <c r="G2053" t="s">
        <v>19</v>
      </c>
      <c r="H2053" s="2">
        <v>568.20000000000005</v>
      </c>
    </row>
    <row r="2054" spans="1:8">
      <c r="A2054" t="s">
        <v>66</v>
      </c>
      <c r="B2054" t="s">
        <v>67</v>
      </c>
      <c r="C2054" t="s">
        <v>10</v>
      </c>
      <c r="D2054" t="s">
        <v>33</v>
      </c>
      <c r="E2054">
        <v>2018</v>
      </c>
      <c r="F2054" t="s">
        <v>20</v>
      </c>
      <c r="G2054" t="s">
        <v>15</v>
      </c>
      <c r="H2054" s="2">
        <v>-120.93</v>
      </c>
    </row>
    <row r="2055" spans="1:8">
      <c r="A2055" t="s">
        <v>66</v>
      </c>
      <c r="B2055" t="s">
        <v>67</v>
      </c>
      <c r="C2055" t="s">
        <v>10</v>
      </c>
      <c r="D2055" t="s">
        <v>33</v>
      </c>
      <c r="E2055">
        <v>2018</v>
      </c>
      <c r="F2055" t="s">
        <v>21</v>
      </c>
      <c r="G2055" t="s">
        <v>13</v>
      </c>
      <c r="H2055" s="2">
        <v>16239.47</v>
      </c>
    </row>
    <row r="2056" spans="1:8">
      <c r="A2056" t="s">
        <v>66</v>
      </c>
      <c r="B2056" t="s">
        <v>67</v>
      </c>
      <c r="C2056" t="s">
        <v>10</v>
      </c>
      <c r="D2056" t="s">
        <v>33</v>
      </c>
      <c r="E2056">
        <v>2019</v>
      </c>
      <c r="F2056" t="s">
        <v>22</v>
      </c>
      <c r="G2056" t="s">
        <v>19</v>
      </c>
      <c r="H2056" s="2">
        <v>0</v>
      </c>
    </row>
    <row r="2057" spans="1:8">
      <c r="A2057" t="s">
        <v>66</v>
      </c>
      <c r="B2057" t="s">
        <v>67</v>
      </c>
      <c r="C2057" t="s">
        <v>10</v>
      </c>
      <c r="D2057" t="s">
        <v>33</v>
      </c>
      <c r="E2057">
        <v>2019</v>
      </c>
      <c r="F2057" t="s">
        <v>22</v>
      </c>
      <c r="G2057" t="s">
        <v>17</v>
      </c>
      <c r="H2057" s="2">
        <v>4439.7</v>
      </c>
    </row>
    <row r="2058" spans="1:8">
      <c r="A2058" t="s">
        <v>66</v>
      </c>
      <c r="B2058" t="s">
        <v>67</v>
      </c>
      <c r="C2058" t="s">
        <v>10</v>
      </c>
      <c r="D2058" t="s">
        <v>33</v>
      </c>
      <c r="E2058">
        <v>2019</v>
      </c>
      <c r="F2058" t="s">
        <v>14</v>
      </c>
      <c r="G2058" t="s">
        <v>17</v>
      </c>
      <c r="H2058" s="2">
        <v>243.19</v>
      </c>
    </row>
    <row r="2059" spans="1:8">
      <c r="A2059" t="s">
        <v>66</v>
      </c>
      <c r="B2059" t="s">
        <v>67</v>
      </c>
      <c r="C2059" t="s">
        <v>10</v>
      </c>
      <c r="D2059" t="s">
        <v>33</v>
      </c>
      <c r="E2059">
        <v>2019</v>
      </c>
      <c r="F2059" t="s">
        <v>21</v>
      </c>
      <c r="G2059" t="s">
        <v>15</v>
      </c>
      <c r="H2059" s="2">
        <v>286</v>
      </c>
    </row>
    <row r="2060" spans="1:8">
      <c r="A2060" t="s">
        <v>66</v>
      </c>
      <c r="B2060" t="s">
        <v>67</v>
      </c>
      <c r="C2060" t="s">
        <v>10</v>
      </c>
      <c r="D2060" t="s">
        <v>33</v>
      </c>
      <c r="E2060">
        <v>2019</v>
      </c>
      <c r="F2060" t="s">
        <v>16</v>
      </c>
      <c r="G2060" t="s">
        <v>19</v>
      </c>
      <c r="H2060" s="2">
        <v>0</v>
      </c>
    </row>
    <row r="2061" spans="1:8">
      <c r="A2061" t="s">
        <v>66</v>
      </c>
      <c r="B2061" t="s">
        <v>67</v>
      </c>
      <c r="C2061" t="s">
        <v>10</v>
      </c>
      <c r="D2061" t="s">
        <v>33</v>
      </c>
      <c r="E2061">
        <v>2020</v>
      </c>
      <c r="F2061" t="s">
        <v>16</v>
      </c>
      <c r="G2061" t="s">
        <v>13</v>
      </c>
      <c r="H2061" s="2">
        <v>713.98</v>
      </c>
    </row>
    <row r="2062" spans="1:8">
      <c r="A2062" t="s">
        <v>66</v>
      </c>
      <c r="B2062" t="s">
        <v>67</v>
      </c>
      <c r="C2062" t="s">
        <v>10</v>
      </c>
      <c r="D2062" t="s">
        <v>33</v>
      </c>
      <c r="E2062">
        <v>2021</v>
      </c>
      <c r="F2062" t="s">
        <v>22</v>
      </c>
      <c r="G2062" t="s">
        <v>13</v>
      </c>
      <c r="H2062" s="2">
        <v>2198.61</v>
      </c>
    </row>
    <row r="2063" spans="1:8">
      <c r="A2063" t="s">
        <v>66</v>
      </c>
      <c r="B2063" t="s">
        <v>67</v>
      </c>
      <c r="C2063" t="s">
        <v>10</v>
      </c>
      <c r="D2063" t="s">
        <v>33</v>
      </c>
      <c r="E2063">
        <v>2021</v>
      </c>
      <c r="F2063" t="s">
        <v>18</v>
      </c>
      <c r="G2063" t="s">
        <v>15</v>
      </c>
      <c r="H2063" s="2">
        <v>533.71</v>
      </c>
    </row>
    <row r="2064" spans="1:8">
      <c r="A2064" t="s">
        <v>66</v>
      </c>
      <c r="B2064" t="s">
        <v>67</v>
      </c>
      <c r="C2064" t="s">
        <v>10</v>
      </c>
      <c r="D2064" t="s">
        <v>33</v>
      </c>
      <c r="E2064">
        <v>2021</v>
      </c>
      <c r="F2064" t="s">
        <v>20</v>
      </c>
      <c r="G2064" t="s">
        <v>17</v>
      </c>
      <c r="H2064" s="2">
        <v>-122.33</v>
      </c>
    </row>
    <row r="2065" spans="1:8">
      <c r="A2065" t="s">
        <v>66</v>
      </c>
      <c r="B2065" t="s">
        <v>67</v>
      </c>
      <c r="C2065" t="s">
        <v>10</v>
      </c>
      <c r="D2065" t="s">
        <v>33</v>
      </c>
      <c r="E2065">
        <v>2021</v>
      </c>
      <c r="F2065" t="s">
        <v>16</v>
      </c>
      <c r="G2065" t="s">
        <v>19</v>
      </c>
      <c r="H2065" s="2">
        <v>0</v>
      </c>
    </row>
    <row r="2066" spans="1:8">
      <c r="A2066" t="s">
        <v>66</v>
      </c>
      <c r="B2066" t="s">
        <v>67</v>
      </c>
      <c r="C2066" t="s">
        <v>10</v>
      </c>
      <c r="D2066" t="s">
        <v>33</v>
      </c>
      <c r="E2066">
        <v>2021</v>
      </c>
      <c r="F2066" t="s">
        <v>16</v>
      </c>
      <c r="G2066" t="s">
        <v>17</v>
      </c>
      <c r="H2066" s="2">
        <v>275.79000000000002</v>
      </c>
    </row>
    <row r="2067" spans="1:8">
      <c r="A2067" t="s">
        <v>66</v>
      </c>
      <c r="B2067" t="s">
        <v>67</v>
      </c>
      <c r="C2067" t="s">
        <v>10</v>
      </c>
      <c r="D2067" t="s">
        <v>33</v>
      </c>
      <c r="E2067">
        <v>2022</v>
      </c>
      <c r="F2067" t="s">
        <v>18</v>
      </c>
      <c r="G2067" t="s">
        <v>15</v>
      </c>
      <c r="H2067" s="2">
        <v>474.07</v>
      </c>
    </row>
    <row r="2068" spans="1:8">
      <c r="A2068" t="s">
        <v>66</v>
      </c>
      <c r="B2068" t="s">
        <v>67</v>
      </c>
      <c r="C2068" t="s">
        <v>10</v>
      </c>
      <c r="D2068" t="s">
        <v>33</v>
      </c>
      <c r="E2068">
        <v>2022</v>
      </c>
      <c r="F2068" t="s">
        <v>18</v>
      </c>
      <c r="G2068" t="s">
        <v>17</v>
      </c>
      <c r="H2068" s="2">
        <v>482.82</v>
      </c>
    </row>
    <row r="2069" spans="1:8">
      <c r="A2069" t="s">
        <v>66</v>
      </c>
      <c r="B2069" t="s">
        <v>67</v>
      </c>
      <c r="C2069" t="s">
        <v>10</v>
      </c>
      <c r="D2069" t="s">
        <v>33</v>
      </c>
      <c r="E2069">
        <v>2022</v>
      </c>
      <c r="F2069" t="s">
        <v>20</v>
      </c>
      <c r="G2069" t="s">
        <v>19</v>
      </c>
      <c r="H2069" s="2">
        <v>0</v>
      </c>
    </row>
    <row r="2070" spans="1:8">
      <c r="A2070" t="s">
        <v>66</v>
      </c>
      <c r="B2070" t="s">
        <v>67</v>
      </c>
      <c r="C2070" t="s">
        <v>10</v>
      </c>
      <c r="D2070" t="s">
        <v>33</v>
      </c>
      <c r="E2070">
        <v>2023</v>
      </c>
      <c r="F2070" t="s">
        <v>12</v>
      </c>
      <c r="G2070" t="s">
        <v>17</v>
      </c>
      <c r="H2070" s="2">
        <v>242.78</v>
      </c>
    </row>
    <row r="2071" spans="1:8">
      <c r="A2071" t="s">
        <v>66</v>
      </c>
      <c r="B2071" t="s">
        <v>67</v>
      </c>
      <c r="C2071" t="s">
        <v>10</v>
      </c>
      <c r="D2071" t="s">
        <v>33</v>
      </c>
      <c r="E2071">
        <v>2023</v>
      </c>
      <c r="F2071" t="s">
        <v>18</v>
      </c>
      <c r="G2071" t="s">
        <v>19</v>
      </c>
      <c r="H2071" s="2">
        <v>514.85</v>
      </c>
    </row>
    <row r="2072" spans="1:8">
      <c r="A2072" t="s">
        <v>66</v>
      </c>
      <c r="B2072" t="s">
        <v>67</v>
      </c>
      <c r="C2072" t="s">
        <v>10</v>
      </c>
      <c r="D2072" t="s">
        <v>33</v>
      </c>
      <c r="E2072">
        <v>2023</v>
      </c>
      <c r="F2072" t="s">
        <v>18</v>
      </c>
      <c r="G2072" t="s">
        <v>17</v>
      </c>
      <c r="H2072" s="2">
        <v>569.15</v>
      </c>
    </row>
    <row r="2073" spans="1:8">
      <c r="A2073" t="s">
        <v>66</v>
      </c>
      <c r="B2073" t="s">
        <v>67</v>
      </c>
      <c r="C2073" t="s">
        <v>10</v>
      </c>
      <c r="D2073" t="s">
        <v>33</v>
      </c>
      <c r="E2073">
        <v>2023</v>
      </c>
      <c r="F2073" t="s">
        <v>14</v>
      </c>
      <c r="G2073" t="s">
        <v>17</v>
      </c>
      <c r="H2073" s="2">
        <v>296.38</v>
      </c>
    </row>
    <row r="2074" spans="1:8">
      <c r="A2074" t="s">
        <v>66</v>
      </c>
      <c r="B2074" t="s">
        <v>67</v>
      </c>
      <c r="C2074" t="s">
        <v>10</v>
      </c>
      <c r="D2074" t="s">
        <v>33</v>
      </c>
      <c r="E2074">
        <v>2023</v>
      </c>
      <c r="F2074" t="s">
        <v>21</v>
      </c>
      <c r="G2074" t="s">
        <v>19</v>
      </c>
      <c r="H2074" s="2">
        <v>0</v>
      </c>
    </row>
    <row r="2075" spans="1:8">
      <c r="A2075" t="s">
        <v>66</v>
      </c>
      <c r="B2075" t="s">
        <v>67</v>
      </c>
      <c r="C2075" t="s">
        <v>10</v>
      </c>
      <c r="D2075" t="s">
        <v>33</v>
      </c>
      <c r="E2075">
        <v>2024</v>
      </c>
      <c r="F2075" t="s">
        <v>22</v>
      </c>
      <c r="G2075" t="s">
        <v>17</v>
      </c>
      <c r="H2075" s="2">
        <v>4751.1400000000003</v>
      </c>
    </row>
    <row r="2076" spans="1:8">
      <c r="A2076" t="s">
        <v>66</v>
      </c>
      <c r="B2076" t="s">
        <v>67</v>
      </c>
      <c r="C2076" t="s">
        <v>10</v>
      </c>
      <c r="D2076" t="s">
        <v>33</v>
      </c>
      <c r="E2076">
        <v>2024</v>
      </c>
      <c r="F2076" t="s">
        <v>12</v>
      </c>
      <c r="G2076" t="s">
        <v>19</v>
      </c>
      <c r="H2076" s="2">
        <v>0</v>
      </c>
    </row>
    <row r="2077" spans="1:8">
      <c r="A2077" t="s">
        <v>66</v>
      </c>
      <c r="B2077" t="s">
        <v>67</v>
      </c>
      <c r="C2077" t="s">
        <v>10</v>
      </c>
      <c r="D2077" t="s">
        <v>33</v>
      </c>
      <c r="E2077">
        <v>2024</v>
      </c>
      <c r="F2077" t="s">
        <v>12</v>
      </c>
      <c r="G2077" t="s">
        <v>17</v>
      </c>
      <c r="H2077" s="2">
        <v>282.52</v>
      </c>
    </row>
    <row r="2078" spans="1:8">
      <c r="A2078" t="s">
        <v>66</v>
      </c>
      <c r="B2078" t="s">
        <v>67</v>
      </c>
      <c r="C2078" t="s">
        <v>10</v>
      </c>
      <c r="D2078" t="s">
        <v>33</v>
      </c>
      <c r="E2078">
        <v>2024</v>
      </c>
      <c r="F2078" t="s">
        <v>14</v>
      </c>
      <c r="G2078" t="s">
        <v>15</v>
      </c>
      <c r="H2078" s="2">
        <v>414.96</v>
      </c>
    </row>
    <row r="2079" spans="1:8">
      <c r="A2079" t="s">
        <v>66</v>
      </c>
      <c r="B2079" t="s">
        <v>67</v>
      </c>
      <c r="C2079" t="s">
        <v>10</v>
      </c>
      <c r="D2079" t="s">
        <v>33</v>
      </c>
      <c r="E2079">
        <v>2024</v>
      </c>
      <c r="F2079" t="s">
        <v>16</v>
      </c>
      <c r="G2079" t="s">
        <v>15</v>
      </c>
      <c r="H2079" s="2">
        <v>4415.9399999999996</v>
      </c>
    </row>
    <row r="2080" spans="1:8">
      <c r="A2080" t="s">
        <v>66</v>
      </c>
      <c r="B2080" t="s">
        <v>67</v>
      </c>
      <c r="C2080" t="s">
        <v>10</v>
      </c>
      <c r="D2080" t="s">
        <v>33</v>
      </c>
      <c r="E2080">
        <v>2024</v>
      </c>
      <c r="F2080" t="s">
        <v>16</v>
      </c>
      <c r="G2080" t="s">
        <v>13</v>
      </c>
      <c r="H2080" s="2">
        <v>759.83</v>
      </c>
    </row>
    <row r="2081" spans="1:8">
      <c r="A2081" t="s">
        <v>66</v>
      </c>
      <c r="B2081" t="s">
        <v>67</v>
      </c>
      <c r="C2081" t="s">
        <v>10</v>
      </c>
      <c r="D2081" t="s">
        <v>33</v>
      </c>
      <c r="E2081">
        <v>2024</v>
      </c>
      <c r="F2081" t="s">
        <v>16</v>
      </c>
      <c r="G2081" t="s">
        <v>17</v>
      </c>
      <c r="H2081" s="2">
        <v>258.8</v>
      </c>
    </row>
    <row r="2082" spans="1:8">
      <c r="A2082" t="s">
        <v>68</v>
      </c>
      <c r="B2082" t="s">
        <v>69</v>
      </c>
      <c r="C2082" t="s">
        <v>32</v>
      </c>
      <c r="D2082" t="s">
        <v>29</v>
      </c>
      <c r="E2082">
        <v>1990</v>
      </c>
      <c r="F2082" t="s">
        <v>22</v>
      </c>
      <c r="G2082" t="s">
        <v>15</v>
      </c>
      <c r="H2082" s="2">
        <v>6281.83</v>
      </c>
    </row>
    <row r="2083" spans="1:8">
      <c r="A2083" t="s">
        <v>68</v>
      </c>
      <c r="B2083" t="s">
        <v>69</v>
      </c>
      <c r="C2083" t="s">
        <v>32</v>
      </c>
      <c r="D2083" t="s">
        <v>29</v>
      </c>
      <c r="E2083">
        <v>1990</v>
      </c>
      <c r="F2083" t="s">
        <v>18</v>
      </c>
      <c r="G2083" t="s">
        <v>13</v>
      </c>
      <c r="H2083" s="2">
        <v>25777.58</v>
      </c>
    </row>
    <row r="2084" spans="1:8">
      <c r="A2084" t="s">
        <v>68</v>
      </c>
      <c r="B2084" t="s">
        <v>69</v>
      </c>
      <c r="C2084" t="s">
        <v>32</v>
      </c>
      <c r="D2084" t="s">
        <v>29</v>
      </c>
      <c r="E2084">
        <v>1990</v>
      </c>
      <c r="F2084" t="s">
        <v>20</v>
      </c>
      <c r="G2084" t="s">
        <v>13</v>
      </c>
      <c r="H2084" s="2">
        <v>7460.73</v>
      </c>
    </row>
    <row r="2085" spans="1:8">
      <c r="A2085" t="s">
        <v>68</v>
      </c>
      <c r="B2085" t="s">
        <v>69</v>
      </c>
      <c r="C2085" t="s">
        <v>32</v>
      </c>
      <c r="D2085" t="s">
        <v>29</v>
      </c>
      <c r="E2085">
        <v>1990</v>
      </c>
      <c r="F2085" t="s">
        <v>21</v>
      </c>
      <c r="G2085" t="s">
        <v>13</v>
      </c>
      <c r="H2085" s="2">
        <v>43021.78</v>
      </c>
    </row>
    <row r="2086" spans="1:8">
      <c r="A2086" t="s">
        <v>68</v>
      </c>
      <c r="B2086" t="s">
        <v>69</v>
      </c>
      <c r="C2086" t="s">
        <v>32</v>
      </c>
      <c r="D2086" t="s">
        <v>29</v>
      </c>
      <c r="E2086">
        <v>1990</v>
      </c>
      <c r="F2086" t="s">
        <v>21</v>
      </c>
      <c r="G2086" t="s">
        <v>17</v>
      </c>
      <c r="H2086" s="2">
        <v>473.43</v>
      </c>
    </row>
    <row r="2087" spans="1:8">
      <c r="A2087" t="s">
        <v>68</v>
      </c>
      <c r="B2087" t="s">
        <v>69</v>
      </c>
      <c r="C2087" t="s">
        <v>32</v>
      </c>
      <c r="D2087" t="s">
        <v>29</v>
      </c>
      <c r="E2087">
        <v>1991</v>
      </c>
      <c r="F2087" t="s">
        <v>22</v>
      </c>
      <c r="G2087" t="s">
        <v>15</v>
      </c>
      <c r="H2087" s="2">
        <v>6365.13</v>
      </c>
    </row>
    <row r="2088" spans="1:8">
      <c r="A2088" t="s">
        <v>68</v>
      </c>
      <c r="B2088" t="s">
        <v>69</v>
      </c>
      <c r="C2088" t="s">
        <v>32</v>
      </c>
      <c r="D2088" t="s">
        <v>29</v>
      </c>
      <c r="E2088">
        <v>1991</v>
      </c>
      <c r="F2088" t="s">
        <v>22</v>
      </c>
      <c r="G2088" t="s">
        <v>13</v>
      </c>
      <c r="H2088" s="2">
        <v>809.07</v>
      </c>
    </row>
    <row r="2089" spans="1:8">
      <c r="A2089" t="s">
        <v>68</v>
      </c>
      <c r="B2089" t="s">
        <v>69</v>
      </c>
      <c r="C2089" t="s">
        <v>32</v>
      </c>
      <c r="D2089" t="s">
        <v>29</v>
      </c>
      <c r="E2089">
        <v>1992</v>
      </c>
      <c r="F2089" t="s">
        <v>12</v>
      </c>
      <c r="G2089" t="s">
        <v>19</v>
      </c>
      <c r="H2089" s="2">
        <v>0</v>
      </c>
    </row>
    <row r="2090" spans="1:8">
      <c r="A2090" t="s">
        <v>68</v>
      </c>
      <c r="B2090" t="s">
        <v>69</v>
      </c>
      <c r="C2090" t="s">
        <v>32</v>
      </c>
      <c r="D2090" t="s">
        <v>29</v>
      </c>
      <c r="E2090">
        <v>1992</v>
      </c>
      <c r="F2090" t="s">
        <v>18</v>
      </c>
      <c r="G2090" t="s">
        <v>13</v>
      </c>
      <c r="H2090" s="2">
        <v>22196.48</v>
      </c>
    </row>
    <row r="2091" spans="1:8">
      <c r="A2091" t="s">
        <v>68</v>
      </c>
      <c r="B2091" t="s">
        <v>69</v>
      </c>
      <c r="C2091" t="s">
        <v>32</v>
      </c>
      <c r="D2091" t="s">
        <v>29</v>
      </c>
      <c r="E2091">
        <v>1992</v>
      </c>
      <c r="F2091" t="s">
        <v>18</v>
      </c>
      <c r="G2091" t="s">
        <v>19</v>
      </c>
      <c r="H2091" s="2">
        <v>1402.71</v>
      </c>
    </row>
    <row r="2092" spans="1:8">
      <c r="A2092" t="s">
        <v>68</v>
      </c>
      <c r="B2092" t="s">
        <v>69</v>
      </c>
      <c r="C2092" t="s">
        <v>32</v>
      </c>
      <c r="D2092" t="s">
        <v>29</v>
      </c>
      <c r="E2092">
        <v>1992</v>
      </c>
      <c r="F2092" t="s">
        <v>21</v>
      </c>
      <c r="G2092" t="s">
        <v>17</v>
      </c>
      <c r="H2092" s="2">
        <v>435.48</v>
      </c>
    </row>
    <row r="2093" spans="1:8">
      <c r="A2093" t="s">
        <v>68</v>
      </c>
      <c r="B2093" t="s">
        <v>69</v>
      </c>
      <c r="C2093" t="s">
        <v>32</v>
      </c>
      <c r="D2093" t="s">
        <v>29</v>
      </c>
      <c r="E2093">
        <v>1993</v>
      </c>
      <c r="F2093" t="s">
        <v>12</v>
      </c>
      <c r="G2093" t="s">
        <v>19</v>
      </c>
      <c r="H2093" s="2">
        <v>0</v>
      </c>
    </row>
    <row r="2094" spans="1:8">
      <c r="A2094" t="s">
        <v>68</v>
      </c>
      <c r="B2094" t="s">
        <v>69</v>
      </c>
      <c r="C2094" t="s">
        <v>32</v>
      </c>
      <c r="D2094" t="s">
        <v>29</v>
      </c>
      <c r="E2094">
        <v>1993</v>
      </c>
      <c r="F2094" t="s">
        <v>14</v>
      </c>
      <c r="G2094" t="s">
        <v>19</v>
      </c>
      <c r="H2094" s="2">
        <v>0</v>
      </c>
    </row>
    <row r="2095" spans="1:8">
      <c r="A2095" t="s">
        <v>68</v>
      </c>
      <c r="B2095" t="s">
        <v>69</v>
      </c>
      <c r="C2095" t="s">
        <v>32</v>
      </c>
      <c r="D2095" t="s">
        <v>29</v>
      </c>
      <c r="E2095">
        <v>1993</v>
      </c>
      <c r="F2095" t="s">
        <v>21</v>
      </c>
      <c r="G2095" t="s">
        <v>17</v>
      </c>
      <c r="H2095" s="2">
        <v>490.3</v>
      </c>
    </row>
    <row r="2096" spans="1:8">
      <c r="A2096" t="s">
        <v>68</v>
      </c>
      <c r="B2096" t="s">
        <v>69</v>
      </c>
      <c r="C2096" t="s">
        <v>32</v>
      </c>
      <c r="D2096" t="s">
        <v>29</v>
      </c>
      <c r="E2096">
        <v>1993</v>
      </c>
      <c r="F2096" t="s">
        <v>16</v>
      </c>
      <c r="G2096" t="s">
        <v>19</v>
      </c>
      <c r="H2096" s="2">
        <v>0</v>
      </c>
    </row>
    <row r="2097" spans="1:8">
      <c r="A2097" t="s">
        <v>68</v>
      </c>
      <c r="B2097" t="s">
        <v>69</v>
      </c>
      <c r="C2097" t="s">
        <v>32</v>
      </c>
      <c r="D2097" t="s">
        <v>29</v>
      </c>
      <c r="E2097">
        <v>1994</v>
      </c>
      <c r="F2097" t="s">
        <v>22</v>
      </c>
      <c r="G2097" t="s">
        <v>19</v>
      </c>
      <c r="H2097" s="2">
        <v>0</v>
      </c>
    </row>
    <row r="2098" spans="1:8">
      <c r="A2098" t="s">
        <v>68</v>
      </c>
      <c r="B2098" t="s">
        <v>69</v>
      </c>
      <c r="C2098" t="s">
        <v>32</v>
      </c>
      <c r="D2098" t="s">
        <v>29</v>
      </c>
      <c r="E2098">
        <v>1996</v>
      </c>
      <c r="F2098" t="s">
        <v>18</v>
      </c>
      <c r="G2098" t="s">
        <v>13</v>
      </c>
      <c r="H2098" s="2">
        <v>24363.84</v>
      </c>
    </row>
    <row r="2099" spans="1:8">
      <c r="A2099" t="s">
        <v>68</v>
      </c>
      <c r="B2099" t="s">
        <v>69</v>
      </c>
      <c r="C2099" t="s">
        <v>32</v>
      </c>
      <c r="D2099" t="s">
        <v>29</v>
      </c>
      <c r="E2099">
        <v>1996</v>
      </c>
      <c r="F2099" t="s">
        <v>20</v>
      </c>
      <c r="G2099" t="s">
        <v>19</v>
      </c>
      <c r="H2099" s="2">
        <v>0</v>
      </c>
    </row>
    <row r="2100" spans="1:8">
      <c r="A2100" t="s">
        <v>68</v>
      </c>
      <c r="B2100" t="s">
        <v>69</v>
      </c>
      <c r="C2100" t="s">
        <v>32</v>
      </c>
      <c r="D2100" t="s">
        <v>29</v>
      </c>
      <c r="E2100">
        <v>1996</v>
      </c>
      <c r="F2100" t="s">
        <v>14</v>
      </c>
      <c r="G2100" t="s">
        <v>17</v>
      </c>
      <c r="H2100" s="2">
        <v>54.12</v>
      </c>
    </row>
    <row r="2101" spans="1:8">
      <c r="A2101" t="s">
        <v>68</v>
      </c>
      <c r="B2101" t="s">
        <v>69</v>
      </c>
      <c r="C2101" t="s">
        <v>32</v>
      </c>
      <c r="D2101" t="s">
        <v>29</v>
      </c>
      <c r="E2101">
        <v>1997</v>
      </c>
      <c r="F2101" t="s">
        <v>20</v>
      </c>
      <c r="G2101" t="s">
        <v>15</v>
      </c>
      <c r="H2101" s="2">
        <v>78.12</v>
      </c>
    </row>
    <row r="2102" spans="1:8">
      <c r="A2102" t="s">
        <v>68</v>
      </c>
      <c r="B2102" t="s">
        <v>69</v>
      </c>
      <c r="C2102" t="s">
        <v>32</v>
      </c>
      <c r="D2102" t="s">
        <v>29</v>
      </c>
      <c r="E2102">
        <v>1997</v>
      </c>
      <c r="F2102" t="s">
        <v>14</v>
      </c>
      <c r="G2102" t="s">
        <v>13</v>
      </c>
      <c r="H2102" s="2">
        <v>3361.32</v>
      </c>
    </row>
    <row r="2103" spans="1:8">
      <c r="A2103" t="s">
        <v>68</v>
      </c>
      <c r="B2103" t="s">
        <v>69</v>
      </c>
      <c r="C2103" t="s">
        <v>32</v>
      </c>
      <c r="D2103" t="s">
        <v>29</v>
      </c>
      <c r="E2103">
        <v>1997</v>
      </c>
      <c r="F2103" t="s">
        <v>14</v>
      </c>
      <c r="G2103" t="s">
        <v>17</v>
      </c>
      <c r="H2103" s="2">
        <v>57.55</v>
      </c>
    </row>
    <row r="2104" spans="1:8">
      <c r="A2104" t="s">
        <v>68</v>
      </c>
      <c r="B2104" t="s">
        <v>69</v>
      </c>
      <c r="C2104" t="s">
        <v>32</v>
      </c>
      <c r="D2104" t="s">
        <v>29</v>
      </c>
      <c r="E2104">
        <v>1997</v>
      </c>
      <c r="F2104" t="s">
        <v>21</v>
      </c>
      <c r="G2104" t="s">
        <v>15</v>
      </c>
      <c r="H2104" s="2">
        <v>899.35</v>
      </c>
    </row>
    <row r="2105" spans="1:8">
      <c r="A2105" t="s">
        <v>68</v>
      </c>
      <c r="B2105" t="s">
        <v>69</v>
      </c>
      <c r="C2105" t="s">
        <v>32</v>
      </c>
      <c r="D2105" t="s">
        <v>29</v>
      </c>
      <c r="E2105">
        <v>1998</v>
      </c>
      <c r="F2105" t="s">
        <v>22</v>
      </c>
      <c r="G2105" t="s">
        <v>13</v>
      </c>
      <c r="H2105" s="2">
        <v>859.83</v>
      </c>
    </row>
    <row r="2106" spans="1:8">
      <c r="A2106" t="s">
        <v>68</v>
      </c>
      <c r="B2106" t="s">
        <v>69</v>
      </c>
      <c r="C2106" t="s">
        <v>32</v>
      </c>
      <c r="D2106" t="s">
        <v>29</v>
      </c>
      <c r="E2106">
        <v>1998</v>
      </c>
      <c r="F2106" t="s">
        <v>18</v>
      </c>
      <c r="G2106" t="s">
        <v>13</v>
      </c>
      <c r="H2106" s="2">
        <v>25137.37</v>
      </c>
    </row>
    <row r="2107" spans="1:8">
      <c r="A2107" t="s">
        <v>68</v>
      </c>
      <c r="B2107" t="s">
        <v>69</v>
      </c>
      <c r="C2107" t="s">
        <v>32</v>
      </c>
      <c r="D2107" t="s">
        <v>29</v>
      </c>
      <c r="E2107">
        <v>1999</v>
      </c>
      <c r="F2107" t="s">
        <v>18</v>
      </c>
      <c r="G2107" t="s">
        <v>17</v>
      </c>
      <c r="H2107" s="2">
        <v>1457.83</v>
      </c>
    </row>
    <row r="2108" spans="1:8">
      <c r="A2108" t="s">
        <v>68</v>
      </c>
      <c r="B2108" t="s">
        <v>69</v>
      </c>
      <c r="C2108" t="s">
        <v>32</v>
      </c>
      <c r="D2108" t="s">
        <v>29</v>
      </c>
      <c r="E2108">
        <v>1999</v>
      </c>
      <c r="F2108" t="s">
        <v>20</v>
      </c>
      <c r="G2108" t="s">
        <v>19</v>
      </c>
      <c r="H2108" s="2">
        <v>0</v>
      </c>
    </row>
    <row r="2109" spans="1:8">
      <c r="A2109" t="s">
        <v>68</v>
      </c>
      <c r="B2109" t="s">
        <v>69</v>
      </c>
      <c r="C2109" t="s">
        <v>32</v>
      </c>
      <c r="D2109" t="s">
        <v>29</v>
      </c>
      <c r="E2109">
        <v>1999</v>
      </c>
      <c r="F2109" t="s">
        <v>14</v>
      </c>
      <c r="G2109" t="s">
        <v>15</v>
      </c>
      <c r="H2109" s="2">
        <v>89.51</v>
      </c>
    </row>
    <row r="2110" spans="1:8">
      <c r="A2110" t="s">
        <v>68</v>
      </c>
      <c r="B2110" t="s">
        <v>69</v>
      </c>
      <c r="C2110" t="s">
        <v>32</v>
      </c>
      <c r="D2110" t="s">
        <v>29</v>
      </c>
      <c r="E2110">
        <v>1999</v>
      </c>
      <c r="F2110" t="s">
        <v>14</v>
      </c>
      <c r="G2110" t="s">
        <v>19</v>
      </c>
      <c r="H2110" s="2">
        <v>0</v>
      </c>
    </row>
    <row r="2111" spans="1:8">
      <c r="A2111" t="s">
        <v>68</v>
      </c>
      <c r="B2111" t="s">
        <v>69</v>
      </c>
      <c r="C2111" t="s">
        <v>32</v>
      </c>
      <c r="D2111" t="s">
        <v>29</v>
      </c>
      <c r="E2111">
        <v>2000</v>
      </c>
      <c r="F2111" t="s">
        <v>21</v>
      </c>
      <c r="G2111" t="s">
        <v>15</v>
      </c>
      <c r="H2111" s="2">
        <v>833.6</v>
      </c>
    </row>
    <row r="2112" spans="1:8">
      <c r="A2112" t="s">
        <v>68</v>
      </c>
      <c r="B2112" t="s">
        <v>69</v>
      </c>
      <c r="C2112" t="s">
        <v>32</v>
      </c>
      <c r="D2112" t="s">
        <v>29</v>
      </c>
      <c r="E2112">
        <v>2001</v>
      </c>
      <c r="F2112" t="s">
        <v>12</v>
      </c>
      <c r="G2112" t="s">
        <v>13</v>
      </c>
      <c r="H2112" s="2">
        <v>9673.5400000000009</v>
      </c>
    </row>
    <row r="2113" spans="1:8">
      <c r="A2113" t="s">
        <v>68</v>
      </c>
      <c r="B2113" t="s">
        <v>69</v>
      </c>
      <c r="C2113" t="s">
        <v>32</v>
      </c>
      <c r="D2113" t="s">
        <v>29</v>
      </c>
      <c r="E2113">
        <v>2001</v>
      </c>
      <c r="F2113" t="s">
        <v>20</v>
      </c>
      <c r="G2113" t="s">
        <v>15</v>
      </c>
      <c r="H2113" s="2">
        <v>71.849999999999994</v>
      </c>
    </row>
    <row r="2114" spans="1:8">
      <c r="A2114" t="s">
        <v>68</v>
      </c>
      <c r="B2114" t="s">
        <v>69</v>
      </c>
      <c r="C2114" t="s">
        <v>32</v>
      </c>
      <c r="D2114" t="s">
        <v>29</v>
      </c>
      <c r="E2114">
        <v>2001</v>
      </c>
      <c r="F2114" t="s">
        <v>21</v>
      </c>
      <c r="G2114" t="s">
        <v>19</v>
      </c>
      <c r="H2114" s="2">
        <v>0</v>
      </c>
    </row>
    <row r="2115" spans="1:8">
      <c r="A2115" t="s">
        <v>68</v>
      </c>
      <c r="B2115" t="s">
        <v>69</v>
      </c>
      <c r="C2115" t="s">
        <v>32</v>
      </c>
      <c r="D2115" t="s">
        <v>29</v>
      </c>
      <c r="E2115">
        <v>2002</v>
      </c>
      <c r="F2115" t="s">
        <v>22</v>
      </c>
      <c r="G2115" t="s">
        <v>13</v>
      </c>
      <c r="H2115" s="2">
        <v>901.74</v>
      </c>
    </row>
    <row r="2116" spans="1:8">
      <c r="A2116" t="s">
        <v>68</v>
      </c>
      <c r="B2116" t="s">
        <v>69</v>
      </c>
      <c r="C2116" t="s">
        <v>32</v>
      </c>
      <c r="D2116" t="s">
        <v>29</v>
      </c>
      <c r="E2116">
        <v>2002</v>
      </c>
      <c r="F2116" t="s">
        <v>12</v>
      </c>
      <c r="G2116" t="s">
        <v>13</v>
      </c>
      <c r="H2116" s="2">
        <v>10008.61</v>
      </c>
    </row>
    <row r="2117" spans="1:8">
      <c r="A2117" t="s">
        <v>68</v>
      </c>
      <c r="B2117" t="s">
        <v>69</v>
      </c>
      <c r="C2117" t="s">
        <v>32</v>
      </c>
      <c r="D2117" t="s">
        <v>29</v>
      </c>
      <c r="E2117">
        <v>2002</v>
      </c>
      <c r="F2117" t="s">
        <v>12</v>
      </c>
      <c r="G2117" t="s">
        <v>17</v>
      </c>
      <c r="H2117" s="2">
        <v>346.26</v>
      </c>
    </row>
    <row r="2118" spans="1:8">
      <c r="A2118" t="s">
        <v>68</v>
      </c>
      <c r="B2118" t="s">
        <v>69</v>
      </c>
      <c r="C2118" t="s">
        <v>32</v>
      </c>
      <c r="D2118" t="s">
        <v>29</v>
      </c>
      <c r="E2118">
        <v>2002</v>
      </c>
      <c r="F2118" t="s">
        <v>20</v>
      </c>
      <c r="G2118" t="s">
        <v>19</v>
      </c>
      <c r="H2118" s="2">
        <v>0</v>
      </c>
    </row>
    <row r="2119" spans="1:8">
      <c r="A2119" t="s">
        <v>68</v>
      </c>
      <c r="B2119" t="s">
        <v>69</v>
      </c>
      <c r="C2119" t="s">
        <v>32</v>
      </c>
      <c r="D2119" t="s">
        <v>29</v>
      </c>
      <c r="E2119">
        <v>2002</v>
      </c>
      <c r="F2119" t="s">
        <v>21</v>
      </c>
      <c r="G2119" t="s">
        <v>19</v>
      </c>
      <c r="H2119" s="2">
        <v>0</v>
      </c>
    </row>
    <row r="2120" spans="1:8">
      <c r="A2120" t="s">
        <v>68</v>
      </c>
      <c r="B2120" t="s">
        <v>69</v>
      </c>
      <c r="C2120" t="s">
        <v>32</v>
      </c>
      <c r="D2120" t="s">
        <v>29</v>
      </c>
      <c r="E2120">
        <v>2002</v>
      </c>
      <c r="F2120" t="s">
        <v>16</v>
      </c>
      <c r="G2120" t="s">
        <v>13</v>
      </c>
      <c r="H2120" s="2">
        <v>771.92</v>
      </c>
    </row>
    <row r="2121" spans="1:8">
      <c r="A2121" t="s">
        <v>68</v>
      </c>
      <c r="B2121" t="s">
        <v>69</v>
      </c>
      <c r="C2121" t="s">
        <v>32</v>
      </c>
      <c r="D2121" t="s">
        <v>29</v>
      </c>
      <c r="E2121">
        <v>2003</v>
      </c>
      <c r="F2121" t="s">
        <v>22</v>
      </c>
      <c r="G2121" t="s">
        <v>15</v>
      </c>
      <c r="H2121" s="2">
        <v>6266.64</v>
      </c>
    </row>
    <row r="2122" spans="1:8">
      <c r="A2122" t="s">
        <v>68</v>
      </c>
      <c r="B2122" t="s">
        <v>69</v>
      </c>
      <c r="C2122" t="s">
        <v>32</v>
      </c>
      <c r="D2122" t="s">
        <v>29</v>
      </c>
      <c r="E2122">
        <v>2003</v>
      </c>
      <c r="F2122" t="s">
        <v>12</v>
      </c>
      <c r="G2122" t="s">
        <v>17</v>
      </c>
      <c r="H2122" s="2">
        <v>327.5</v>
      </c>
    </row>
    <row r="2123" spans="1:8">
      <c r="A2123" t="s">
        <v>68</v>
      </c>
      <c r="B2123" t="s">
        <v>69</v>
      </c>
      <c r="C2123" t="s">
        <v>32</v>
      </c>
      <c r="D2123" t="s">
        <v>29</v>
      </c>
      <c r="E2123">
        <v>2003</v>
      </c>
      <c r="F2123" t="s">
        <v>14</v>
      </c>
      <c r="G2123" t="s">
        <v>15</v>
      </c>
      <c r="H2123" s="2">
        <v>92.28</v>
      </c>
    </row>
    <row r="2124" spans="1:8">
      <c r="A2124" t="s">
        <v>68</v>
      </c>
      <c r="B2124" t="s">
        <v>69</v>
      </c>
      <c r="C2124" t="s">
        <v>32</v>
      </c>
      <c r="D2124" t="s">
        <v>29</v>
      </c>
      <c r="E2124">
        <v>2003</v>
      </c>
      <c r="F2124" t="s">
        <v>21</v>
      </c>
      <c r="G2124" t="s">
        <v>19</v>
      </c>
      <c r="H2124" s="2">
        <v>0</v>
      </c>
    </row>
    <row r="2125" spans="1:8">
      <c r="A2125" t="s">
        <v>68</v>
      </c>
      <c r="B2125" t="s">
        <v>69</v>
      </c>
      <c r="C2125" t="s">
        <v>32</v>
      </c>
      <c r="D2125" t="s">
        <v>29</v>
      </c>
      <c r="E2125">
        <v>2003</v>
      </c>
      <c r="F2125" t="s">
        <v>16</v>
      </c>
      <c r="G2125" t="s">
        <v>15</v>
      </c>
      <c r="H2125" s="2">
        <v>3774.49</v>
      </c>
    </row>
    <row r="2126" spans="1:8">
      <c r="A2126" t="s">
        <v>68</v>
      </c>
      <c r="B2126" t="s">
        <v>69</v>
      </c>
      <c r="C2126" t="s">
        <v>32</v>
      </c>
      <c r="D2126" t="s">
        <v>29</v>
      </c>
      <c r="E2126">
        <v>2004</v>
      </c>
      <c r="F2126" t="s">
        <v>22</v>
      </c>
      <c r="G2126" t="s">
        <v>17</v>
      </c>
      <c r="H2126" s="2">
        <v>1730.33</v>
      </c>
    </row>
    <row r="2127" spans="1:8">
      <c r="A2127" t="s">
        <v>68</v>
      </c>
      <c r="B2127" t="s">
        <v>69</v>
      </c>
      <c r="C2127" t="s">
        <v>32</v>
      </c>
      <c r="D2127" t="s">
        <v>29</v>
      </c>
      <c r="E2127">
        <v>2005</v>
      </c>
      <c r="F2127" t="s">
        <v>12</v>
      </c>
      <c r="G2127" t="s">
        <v>13</v>
      </c>
      <c r="H2127" s="2">
        <v>12405.73</v>
      </c>
    </row>
    <row r="2128" spans="1:8">
      <c r="A2128" t="s">
        <v>68</v>
      </c>
      <c r="B2128" t="s">
        <v>69</v>
      </c>
      <c r="C2128" t="s">
        <v>32</v>
      </c>
      <c r="D2128" t="s">
        <v>29</v>
      </c>
      <c r="E2128">
        <v>2005</v>
      </c>
      <c r="F2128" t="s">
        <v>20</v>
      </c>
      <c r="G2128" t="s">
        <v>17</v>
      </c>
      <c r="H2128" s="2">
        <v>80.77</v>
      </c>
    </row>
    <row r="2129" spans="1:8">
      <c r="A2129" t="s">
        <v>68</v>
      </c>
      <c r="B2129" t="s">
        <v>69</v>
      </c>
      <c r="C2129" t="s">
        <v>32</v>
      </c>
      <c r="D2129" t="s">
        <v>29</v>
      </c>
      <c r="E2129">
        <v>2006</v>
      </c>
      <c r="F2129" t="s">
        <v>22</v>
      </c>
      <c r="G2129" t="s">
        <v>19</v>
      </c>
      <c r="H2129" s="2">
        <v>0</v>
      </c>
    </row>
    <row r="2130" spans="1:8">
      <c r="A2130" t="s">
        <v>68</v>
      </c>
      <c r="B2130" t="s">
        <v>69</v>
      </c>
      <c r="C2130" t="s">
        <v>32</v>
      </c>
      <c r="D2130" t="s">
        <v>29</v>
      </c>
      <c r="E2130">
        <v>2006</v>
      </c>
      <c r="F2130" t="s">
        <v>20</v>
      </c>
      <c r="G2130" t="s">
        <v>19</v>
      </c>
      <c r="H2130" s="2">
        <v>0</v>
      </c>
    </row>
    <row r="2131" spans="1:8">
      <c r="A2131" t="s">
        <v>68</v>
      </c>
      <c r="B2131" t="s">
        <v>69</v>
      </c>
      <c r="C2131" t="s">
        <v>32</v>
      </c>
      <c r="D2131" t="s">
        <v>29</v>
      </c>
      <c r="E2131">
        <v>2006</v>
      </c>
      <c r="F2131" t="s">
        <v>21</v>
      </c>
      <c r="G2131" t="s">
        <v>19</v>
      </c>
      <c r="H2131" s="2">
        <v>0</v>
      </c>
    </row>
    <row r="2132" spans="1:8">
      <c r="A2132" t="s">
        <v>68</v>
      </c>
      <c r="B2132" t="s">
        <v>69</v>
      </c>
      <c r="C2132" t="s">
        <v>32</v>
      </c>
      <c r="D2132" t="s">
        <v>29</v>
      </c>
      <c r="E2132">
        <v>2006</v>
      </c>
      <c r="F2132" t="s">
        <v>16</v>
      </c>
      <c r="G2132" t="s">
        <v>13</v>
      </c>
      <c r="H2132" s="2">
        <v>904.78</v>
      </c>
    </row>
    <row r="2133" spans="1:8">
      <c r="A2133" t="s">
        <v>68</v>
      </c>
      <c r="B2133" t="s">
        <v>69</v>
      </c>
      <c r="C2133" t="s">
        <v>32</v>
      </c>
      <c r="D2133" t="s">
        <v>29</v>
      </c>
      <c r="E2133">
        <v>2007</v>
      </c>
      <c r="F2133" t="s">
        <v>18</v>
      </c>
      <c r="G2133" t="s">
        <v>17</v>
      </c>
      <c r="H2133" s="2">
        <v>1564.18</v>
      </c>
    </row>
    <row r="2134" spans="1:8">
      <c r="A2134" t="s">
        <v>68</v>
      </c>
      <c r="B2134" t="s">
        <v>69</v>
      </c>
      <c r="C2134" t="s">
        <v>32</v>
      </c>
      <c r="D2134" t="s">
        <v>29</v>
      </c>
      <c r="E2134">
        <v>2007</v>
      </c>
      <c r="F2134" t="s">
        <v>21</v>
      </c>
      <c r="G2134" t="s">
        <v>17</v>
      </c>
      <c r="H2134" s="2">
        <v>479.77</v>
      </c>
    </row>
    <row r="2135" spans="1:8">
      <c r="A2135" t="s">
        <v>68</v>
      </c>
      <c r="B2135" t="s">
        <v>69</v>
      </c>
      <c r="C2135" t="s">
        <v>32</v>
      </c>
      <c r="D2135" t="s">
        <v>29</v>
      </c>
      <c r="E2135">
        <v>2007</v>
      </c>
      <c r="F2135" t="s">
        <v>16</v>
      </c>
      <c r="G2135" t="s">
        <v>13</v>
      </c>
      <c r="H2135" s="2">
        <v>905.68</v>
      </c>
    </row>
    <row r="2136" spans="1:8">
      <c r="A2136" t="s">
        <v>68</v>
      </c>
      <c r="B2136" t="s">
        <v>69</v>
      </c>
      <c r="C2136" t="s">
        <v>32</v>
      </c>
      <c r="D2136" t="s">
        <v>29</v>
      </c>
      <c r="E2136">
        <v>2008</v>
      </c>
      <c r="F2136" t="s">
        <v>14</v>
      </c>
      <c r="G2136" t="s">
        <v>13</v>
      </c>
      <c r="H2136" s="2">
        <v>3190.93</v>
      </c>
    </row>
    <row r="2137" spans="1:8">
      <c r="A2137" t="s">
        <v>68</v>
      </c>
      <c r="B2137" t="s">
        <v>69</v>
      </c>
      <c r="C2137" t="s">
        <v>32</v>
      </c>
      <c r="D2137" t="s">
        <v>29</v>
      </c>
      <c r="E2137">
        <v>2008</v>
      </c>
      <c r="F2137" t="s">
        <v>14</v>
      </c>
      <c r="G2137" t="s">
        <v>19</v>
      </c>
      <c r="H2137" s="2">
        <v>0</v>
      </c>
    </row>
    <row r="2138" spans="1:8">
      <c r="A2138" t="s">
        <v>68</v>
      </c>
      <c r="B2138" t="s">
        <v>69</v>
      </c>
      <c r="C2138" t="s">
        <v>32</v>
      </c>
      <c r="D2138" t="s">
        <v>29</v>
      </c>
      <c r="E2138">
        <v>2008</v>
      </c>
      <c r="F2138" t="s">
        <v>21</v>
      </c>
      <c r="G2138" t="s">
        <v>17</v>
      </c>
      <c r="H2138" s="2">
        <v>535.20000000000005</v>
      </c>
    </row>
    <row r="2139" spans="1:8">
      <c r="A2139" t="s">
        <v>68</v>
      </c>
      <c r="B2139" t="s">
        <v>69</v>
      </c>
      <c r="C2139" t="s">
        <v>32</v>
      </c>
      <c r="D2139" t="s">
        <v>29</v>
      </c>
      <c r="E2139">
        <v>2009</v>
      </c>
      <c r="F2139" t="s">
        <v>22</v>
      </c>
      <c r="G2139" t="s">
        <v>17</v>
      </c>
      <c r="H2139" s="2">
        <v>2123.5</v>
      </c>
    </row>
    <row r="2140" spans="1:8">
      <c r="A2140" t="s">
        <v>68</v>
      </c>
      <c r="B2140" t="s">
        <v>69</v>
      </c>
      <c r="C2140" t="s">
        <v>32</v>
      </c>
      <c r="D2140" t="s">
        <v>29</v>
      </c>
      <c r="E2140">
        <v>2009</v>
      </c>
      <c r="F2140" t="s">
        <v>14</v>
      </c>
      <c r="G2140" t="s">
        <v>15</v>
      </c>
      <c r="H2140" s="2">
        <v>108.3</v>
      </c>
    </row>
    <row r="2141" spans="1:8">
      <c r="A2141" t="s">
        <v>68</v>
      </c>
      <c r="B2141" t="s">
        <v>69</v>
      </c>
      <c r="C2141" t="s">
        <v>32</v>
      </c>
      <c r="D2141" t="s">
        <v>29</v>
      </c>
      <c r="E2141">
        <v>2009</v>
      </c>
      <c r="F2141" t="s">
        <v>14</v>
      </c>
      <c r="G2141" t="s">
        <v>13</v>
      </c>
      <c r="H2141" s="2">
        <v>3333.84</v>
      </c>
    </row>
    <row r="2142" spans="1:8">
      <c r="A2142" t="s">
        <v>68</v>
      </c>
      <c r="B2142" t="s">
        <v>69</v>
      </c>
      <c r="C2142" t="s">
        <v>32</v>
      </c>
      <c r="D2142" t="s">
        <v>29</v>
      </c>
      <c r="E2142">
        <v>2009</v>
      </c>
      <c r="F2142" t="s">
        <v>14</v>
      </c>
      <c r="G2142" t="s">
        <v>19</v>
      </c>
      <c r="H2142" s="2">
        <v>0</v>
      </c>
    </row>
    <row r="2143" spans="1:8">
      <c r="A2143" t="s">
        <v>68</v>
      </c>
      <c r="B2143" t="s">
        <v>69</v>
      </c>
      <c r="C2143" t="s">
        <v>32</v>
      </c>
      <c r="D2143" t="s">
        <v>29</v>
      </c>
      <c r="E2143">
        <v>2009</v>
      </c>
      <c r="F2143" t="s">
        <v>16</v>
      </c>
      <c r="G2143" t="s">
        <v>13</v>
      </c>
      <c r="H2143" s="2">
        <v>922.24</v>
      </c>
    </row>
    <row r="2144" spans="1:8">
      <c r="A2144" t="s">
        <v>68</v>
      </c>
      <c r="B2144" t="s">
        <v>69</v>
      </c>
      <c r="C2144" t="s">
        <v>32</v>
      </c>
      <c r="D2144" t="s">
        <v>29</v>
      </c>
      <c r="E2144">
        <v>2010</v>
      </c>
      <c r="F2144" t="s">
        <v>22</v>
      </c>
      <c r="G2144" t="s">
        <v>19</v>
      </c>
      <c r="H2144" s="2">
        <v>0</v>
      </c>
    </row>
    <row r="2145" spans="1:8">
      <c r="A2145" t="s">
        <v>68</v>
      </c>
      <c r="B2145" t="s">
        <v>69</v>
      </c>
      <c r="C2145" t="s">
        <v>32</v>
      </c>
      <c r="D2145" t="s">
        <v>29</v>
      </c>
      <c r="E2145">
        <v>2011</v>
      </c>
      <c r="F2145" t="s">
        <v>22</v>
      </c>
      <c r="G2145" t="s">
        <v>19</v>
      </c>
      <c r="H2145" s="2">
        <v>0</v>
      </c>
    </row>
    <row r="2146" spans="1:8">
      <c r="A2146" t="s">
        <v>68</v>
      </c>
      <c r="B2146" t="s">
        <v>69</v>
      </c>
      <c r="C2146" t="s">
        <v>32</v>
      </c>
      <c r="D2146" t="s">
        <v>29</v>
      </c>
      <c r="E2146">
        <v>2011</v>
      </c>
      <c r="F2146" t="s">
        <v>18</v>
      </c>
      <c r="G2146" t="s">
        <v>13</v>
      </c>
      <c r="H2146" s="2">
        <v>27414.44</v>
      </c>
    </row>
    <row r="2147" spans="1:8">
      <c r="A2147" t="s">
        <v>68</v>
      </c>
      <c r="B2147" t="s">
        <v>69</v>
      </c>
      <c r="C2147" t="s">
        <v>32</v>
      </c>
      <c r="D2147" t="s">
        <v>29</v>
      </c>
      <c r="E2147">
        <v>2012</v>
      </c>
      <c r="F2147" t="s">
        <v>22</v>
      </c>
      <c r="G2147" t="s">
        <v>19</v>
      </c>
      <c r="H2147" s="2">
        <v>0</v>
      </c>
    </row>
    <row r="2148" spans="1:8">
      <c r="A2148" t="s">
        <v>68</v>
      </c>
      <c r="B2148" t="s">
        <v>69</v>
      </c>
      <c r="C2148" t="s">
        <v>32</v>
      </c>
      <c r="D2148" t="s">
        <v>29</v>
      </c>
      <c r="E2148">
        <v>2012</v>
      </c>
      <c r="F2148" t="s">
        <v>12</v>
      </c>
      <c r="G2148" t="s">
        <v>13</v>
      </c>
      <c r="H2148" s="2">
        <v>10141.280000000001</v>
      </c>
    </row>
    <row r="2149" spans="1:8">
      <c r="A2149" t="s">
        <v>68</v>
      </c>
      <c r="B2149" t="s">
        <v>69</v>
      </c>
      <c r="C2149" t="s">
        <v>32</v>
      </c>
      <c r="D2149" t="s">
        <v>29</v>
      </c>
      <c r="E2149">
        <v>2012</v>
      </c>
      <c r="F2149" t="s">
        <v>16</v>
      </c>
      <c r="G2149" t="s">
        <v>15</v>
      </c>
      <c r="H2149" s="2">
        <v>4289.6000000000004</v>
      </c>
    </row>
    <row r="2150" spans="1:8">
      <c r="A2150" t="s">
        <v>68</v>
      </c>
      <c r="B2150" t="s">
        <v>69</v>
      </c>
      <c r="C2150" t="s">
        <v>32</v>
      </c>
      <c r="D2150" t="s">
        <v>29</v>
      </c>
      <c r="E2150">
        <v>2013</v>
      </c>
      <c r="F2150" t="s">
        <v>12</v>
      </c>
      <c r="G2150" t="s">
        <v>19</v>
      </c>
      <c r="H2150" s="2">
        <v>0</v>
      </c>
    </row>
    <row r="2151" spans="1:8">
      <c r="A2151" t="s">
        <v>68</v>
      </c>
      <c r="B2151" t="s">
        <v>69</v>
      </c>
      <c r="C2151" t="s">
        <v>32</v>
      </c>
      <c r="D2151" t="s">
        <v>29</v>
      </c>
      <c r="E2151">
        <v>2013</v>
      </c>
      <c r="F2151" t="s">
        <v>12</v>
      </c>
      <c r="G2151" t="s">
        <v>17</v>
      </c>
      <c r="H2151" s="2">
        <v>366.51</v>
      </c>
    </row>
    <row r="2152" spans="1:8">
      <c r="A2152" t="s">
        <v>68</v>
      </c>
      <c r="B2152" t="s">
        <v>69</v>
      </c>
      <c r="C2152" t="s">
        <v>32</v>
      </c>
      <c r="D2152" t="s">
        <v>29</v>
      </c>
      <c r="E2152">
        <v>2013</v>
      </c>
      <c r="F2152" t="s">
        <v>20</v>
      </c>
      <c r="G2152" t="s">
        <v>15</v>
      </c>
      <c r="H2152" s="2">
        <v>72.900000000000006</v>
      </c>
    </row>
    <row r="2153" spans="1:8">
      <c r="A2153" t="s">
        <v>68</v>
      </c>
      <c r="B2153" t="s">
        <v>69</v>
      </c>
      <c r="C2153" t="s">
        <v>32</v>
      </c>
      <c r="D2153" t="s">
        <v>29</v>
      </c>
      <c r="E2153">
        <v>2014</v>
      </c>
      <c r="F2153" t="s">
        <v>12</v>
      </c>
      <c r="G2153" t="s">
        <v>15</v>
      </c>
      <c r="H2153" s="2">
        <v>827.24</v>
      </c>
    </row>
    <row r="2154" spans="1:8">
      <c r="A2154" t="s">
        <v>68</v>
      </c>
      <c r="B2154" t="s">
        <v>69</v>
      </c>
      <c r="C2154" t="s">
        <v>32</v>
      </c>
      <c r="D2154" t="s">
        <v>29</v>
      </c>
      <c r="E2154">
        <v>2014</v>
      </c>
      <c r="F2154" t="s">
        <v>12</v>
      </c>
      <c r="G2154" t="s">
        <v>17</v>
      </c>
      <c r="H2154" s="2">
        <v>341.24</v>
      </c>
    </row>
    <row r="2155" spans="1:8">
      <c r="A2155" t="s">
        <v>68</v>
      </c>
      <c r="B2155" t="s">
        <v>69</v>
      </c>
      <c r="C2155" t="s">
        <v>32</v>
      </c>
      <c r="D2155" t="s">
        <v>29</v>
      </c>
      <c r="E2155">
        <v>2014</v>
      </c>
      <c r="F2155" t="s">
        <v>20</v>
      </c>
      <c r="G2155" t="s">
        <v>15</v>
      </c>
      <c r="H2155" s="2">
        <v>75.37</v>
      </c>
    </row>
    <row r="2156" spans="1:8">
      <c r="A2156" t="s">
        <v>68</v>
      </c>
      <c r="B2156" t="s">
        <v>69</v>
      </c>
      <c r="C2156" t="s">
        <v>32</v>
      </c>
      <c r="D2156" t="s">
        <v>29</v>
      </c>
      <c r="E2156">
        <v>2014</v>
      </c>
      <c r="F2156" t="s">
        <v>14</v>
      </c>
      <c r="G2156" t="s">
        <v>17</v>
      </c>
      <c r="H2156" s="2">
        <v>61.05</v>
      </c>
    </row>
    <row r="2157" spans="1:8">
      <c r="A2157" t="s">
        <v>68</v>
      </c>
      <c r="B2157" t="s">
        <v>69</v>
      </c>
      <c r="C2157" t="s">
        <v>32</v>
      </c>
      <c r="D2157" t="s">
        <v>29</v>
      </c>
      <c r="E2157">
        <v>2014</v>
      </c>
      <c r="F2157" t="s">
        <v>16</v>
      </c>
      <c r="G2157" t="s">
        <v>13</v>
      </c>
      <c r="H2157" s="2">
        <v>724.28</v>
      </c>
    </row>
    <row r="2158" spans="1:8">
      <c r="A2158" t="s">
        <v>68</v>
      </c>
      <c r="B2158" t="s">
        <v>69</v>
      </c>
      <c r="C2158" t="s">
        <v>32</v>
      </c>
      <c r="D2158" t="s">
        <v>29</v>
      </c>
      <c r="E2158">
        <v>2015</v>
      </c>
      <c r="F2158" t="s">
        <v>22</v>
      </c>
      <c r="G2158" t="s">
        <v>17</v>
      </c>
      <c r="H2158" s="2">
        <v>2032.46</v>
      </c>
    </row>
    <row r="2159" spans="1:8">
      <c r="A2159" t="s">
        <v>68</v>
      </c>
      <c r="B2159" t="s">
        <v>69</v>
      </c>
      <c r="C2159" t="s">
        <v>32</v>
      </c>
      <c r="D2159" t="s">
        <v>29</v>
      </c>
      <c r="E2159">
        <v>2015</v>
      </c>
      <c r="F2159" t="s">
        <v>12</v>
      </c>
      <c r="G2159" t="s">
        <v>15</v>
      </c>
      <c r="H2159" s="2">
        <v>907.64</v>
      </c>
    </row>
    <row r="2160" spans="1:8">
      <c r="A2160" t="s">
        <v>68</v>
      </c>
      <c r="B2160" t="s">
        <v>69</v>
      </c>
      <c r="C2160" t="s">
        <v>32</v>
      </c>
      <c r="D2160" t="s">
        <v>29</v>
      </c>
      <c r="E2160">
        <v>2015</v>
      </c>
      <c r="F2160" t="s">
        <v>12</v>
      </c>
      <c r="G2160" t="s">
        <v>13</v>
      </c>
      <c r="H2160" s="2">
        <v>12162.86</v>
      </c>
    </row>
    <row r="2161" spans="1:8">
      <c r="A2161" t="s">
        <v>68</v>
      </c>
      <c r="B2161" t="s">
        <v>69</v>
      </c>
      <c r="C2161" t="s">
        <v>32</v>
      </c>
      <c r="D2161" t="s">
        <v>29</v>
      </c>
      <c r="E2161">
        <v>2015</v>
      </c>
      <c r="F2161" t="s">
        <v>20</v>
      </c>
      <c r="G2161" t="s">
        <v>19</v>
      </c>
      <c r="H2161" s="2">
        <v>0</v>
      </c>
    </row>
    <row r="2162" spans="1:8">
      <c r="A2162" t="s">
        <v>68</v>
      </c>
      <c r="B2162" t="s">
        <v>69</v>
      </c>
      <c r="C2162" t="s">
        <v>32</v>
      </c>
      <c r="D2162" t="s">
        <v>29</v>
      </c>
      <c r="E2162">
        <v>2015</v>
      </c>
      <c r="F2162" t="s">
        <v>14</v>
      </c>
      <c r="G2162" t="s">
        <v>15</v>
      </c>
      <c r="H2162" s="2">
        <v>95.6</v>
      </c>
    </row>
    <row r="2163" spans="1:8">
      <c r="A2163" t="s">
        <v>68</v>
      </c>
      <c r="B2163" t="s">
        <v>69</v>
      </c>
      <c r="C2163" t="s">
        <v>32</v>
      </c>
      <c r="D2163" t="s">
        <v>29</v>
      </c>
      <c r="E2163">
        <v>2016</v>
      </c>
      <c r="F2163" t="s">
        <v>12</v>
      </c>
      <c r="G2163" t="s">
        <v>15</v>
      </c>
      <c r="H2163" s="2">
        <v>796.64</v>
      </c>
    </row>
    <row r="2164" spans="1:8">
      <c r="A2164" t="s">
        <v>68</v>
      </c>
      <c r="B2164" t="s">
        <v>69</v>
      </c>
      <c r="C2164" t="s">
        <v>32</v>
      </c>
      <c r="D2164" t="s">
        <v>29</v>
      </c>
      <c r="E2164">
        <v>2016</v>
      </c>
      <c r="F2164" t="s">
        <v>12</v>
      </c>
      <c r="G2164" t="s">
        <v>17</v>
      </c>
      <c r="H2164" s="2">
        <v>341.16</v>
      </c>
    </row>
    <row r="2165" spans="1:8">
      <c r="A2165" t="s">
        <v>68</v>
      </c>
      <c r="B2165" t="s">
        <v>69</v>
      </c>
      <c r="C2165" t="s">
        <v>32</v>
      </c>
      <c r="D2165" t="s">
        <v>29</v>
      </c>
      <c r="E2165">
        <v>2016</v>
      </c>
      <c r="F2165" t="s">
        <v>18</v>
      </c>
      <c r="G2165" t="s">
        <v>15</v>
      </c>
      <c r="H2165" s="2">
        <v>1411.14</v>
      </c>
    </row>
    <row r="2166" spans="1:8">
      <c r="A2166" t="s">
        <v>68</v>
      </c>
      <c r="B2166" t="s">
        <v>69</v>
      </c>
      <c r="C2166" t="s">
        <v>32</v>
      </c>
      <c r="D2166" t="s">
        <v>29</v>
      </c>
      <c r="E2166">
        <v>2016</v>
      </c>
      <c r="F2166" t="s">
        <v>20</v>
      </c>
      <c r="G2166" t="s">
        <v>19</v>
      </c>
      <c r="H2166" s="2">
        <v>0</v>
      </c>
    </row>
    <row r="2167" spans="1:8">
      <c r="A2167" t="s">
        <v>68</v>
      </c>
      <c r="B2167" t="s">
        <v>69</v>
      </c>
      <c r="C2167" t="s">
        <v>32</v>
      </c>
      <c r="D2167" t="s">
        <v>29</v>
      </c>
      <c r="E2167">
        <v>2017</v>
      </c>
      <c r="F2167" t="s">
        <v>18</v>
      </c>
      <c r="G2167" t="s">
        <v>15</v>
      </c>
      <c r="H2167" s="2">
        <v>1614.32</v>
      </c>
    </row>
    <row r="2168" spans="1:8">
      <c r="A2168" t="s">
        <v>68</v>
      </c>
      <c r="B2168" t="s">
        <v>69</v>
      </c>
      <c r="C2168" t="s">
        <v>32</v>
      </c>
      <c r="D2168" t="s">
        <v>29</v>
      </c>
      <c r="E2168">
        <v>2017</v>
      </c>
      <c r="F2168" t="s">
        <v>20</v>
      </c>
      <c r="G2168" t="s">
        <v>13</v>
      </c>
      <c r="H2168" s="2">
        <v>7989.66</v>
      </c>
    </row>
    <row r="2169" spans="1:8">
      <c r="A2169" t="s">
        <v>68</v>
      </c>
      <c r="B2169" t="s">
        <v>69</v>
      </c>
      <c r="C2169" t="s">
        <v>32</v>
      </c>
      <c r="D2169" t="s">
        <v>29</v>
      </c>
      <c r="E2169">
        <v>2017</v>
      </c>
      <c r="F2169" t="s">
        <v>16</v>
      </c>
      <c r="G2169" t="s">
        <v>17</v>
      </c>
      <c r="H2169" s="2">
        <v>289.35000000000002</v>
      </c>
    </row>
    <row r="2170" spans="1:8">
      <c r="A2170" t="s">
        <v>68</v>
      </c>
      <c r="B2170" t="s">
        <v>69</v>
      </c>
      <c r="C2170" t="s">
        <v>32</v>
      </c>
      <c r="D2170" t="s">
        <v>29</v>
      </c>
      <c r="E2170">
        <v>2018</v>
      </c>
      <c r="F2170" t="s">
        <v>22</v>
      </c>
      <c r="G2170" t="s">
        <v>17</v>
      </c>
      <c r="H2170" s="2">
        <v>1872.77</v>
      </c>
    </row>
    <row r="2171" spans="1:8">
      <c r="A2171" t="s">
        <v>68</v>
      </c>
      <c r="B2171" t="s">
        <v>69</v>
      </c>
      <c r="C2171" t="s">
        <v>32</v>
      </c>
      <c r="D2171" t="s">
        <v>29</v>
      </c>
      <c r="E2171">
        <v>2018</v>
      </c>
      <c r="F2171" t="s">
        <v>14</v>
      </c>
      <c r="G2171" t="s">
        <v>13</v>
      </c>
      <c r="H2171" s="2">
        <v>3098.72</v>
      </c>
    </row>
    <row r="2172" spans="1:8">
      <c r="A2172" t="s">
        <v>68</v>
      </c>
      <c r="B2172" t="s">
        <v>69</v>
      </c>
      <c r="C2172" t="s">
        <v>32</v>
      </c>
      <c r="D2172" t="s">
        <v>29</v>
      </c>
      <c r="E2172">
        <v>2018</v>
      </c>
      <c r="F2172" t="s">
        <v>21</v>
      </c>
      <c r="G2172" t="s">
        <v>17</v>
      </c>
      <c r="H2172" s="2">
        <v>484.36</v>
      </c>
    </row>
    <row r="2173" spans="1:8">
      <c r="A2173" t="s">
        <v>68</v>
      </c>
      <c r="B2173" t="s">
        <v>69</v>
      </c>
      <c r="C2173" t="s">
        <v>32</v>
      </c>
      <c r="D2173" t="s">
        <v>29</v>
      </c>
      <c r="E2173">
        <v>2019</v>
      </c>
      <c r="F2173" t="s">
        <v>22</v>
      </c>
      <c r="G2173" t="s">
        <v>15</v>
      </c>
      <c r="H2173" s="2">
        <v>6258.38</v>
      </c>
    </row>
    <row r="2174" spans="1:8">
      <c r="A2174" t="s">
        <v>68</v>
      </c>
      <c r="B2174" t="s">
        <v>69</v>
      </c>
      <c r="C2174" t="s">
        <v>32</v>
      </c>
      <c r="D2174" t="s">
        <v>29</v>
      </c>
      <c r="E2174">
        <v>2019</v>
      </c>
      <c r="F2174" t="s">
        <v>21</v>
      </c>
      <c r="G2174" t="s">
        <v>15</v>
      </c>
      <c r="H2174" s="2">
        <v>865.85</v>
      </c>
    </row>
    <row r="2175" spans="1:8">
      <c r="A2175" t="s">
        <v>68</v>
      </c>
      <c r="B2175" t="s">
        <v>69</v>
      </c>
      <c r="C2175" t="s">
        <v>32</v>
      </c>
      <c r="D2175" t="s">
        <v>29</v>
      </c>
      <c r="E2175">
        <v>2020</v>
      </c>
      <c r="F2175" t="s">
        <v>12</v>
      </c>
      <c r="G2175" t="s">
        <v>19</v>
      </c>
      <c r="H2175" s="2">
        <v>0</v>
      </c>
    </row>
    <row r="2176" spans="1:8">
      <c r="A2176" t="s">
        <v>68</v>
      </c>
      <c r="B2176" t="s">
        <v>69</v>
      </c>
      <c r="C2176" t="s">
        <v>32</v>
      </c>
      <c r="D2176" t="s">
        <v>29</v>
      </c>
      <c r="E2176">
        <v>2020</v>
      </c>
      <c r="F2176" t="s">
        <v>21</v>
      </c>
      <c r="G2176" t="s">
        <v>15</v>
      </c>
      <c r="H2176" s="2">
        <v>866.27</v>
      </c>
    </row>
    <row r="2177" spans="1:8">
      <c r="A2177" t="s">
        <v>68</v>
      </c>
      <c r="B2177" t="s">
        <v>69</v>
      </c>
      <c r="C2177" t="s">
        <v>32</v>
      </c>
      <c r="D2177" t="s">
        <v>29</v>
      </c>
      <c r="E2177">
        <v>2021</v>
      </c>
      <c r="F2177" t="s">
        <v>20</v>
      </c>
      <c r="G2177" t="s">
        <v>17</v>
      </c>
      <c r="H2177" s="2">
        <v>75.489999999999995</v>
      </c>
    </row>
    <row r="2178" spans="1:8">
      <c r="A2178" t="s">
        <v>68</v>
      </c>
      <c r="B2178" t="s">
        <v>69</v>
      </c>
      <c r="C2178" t="s">
        <v>32</v>
      </c>
      <c r="D2178" t="s">
        <v>29</v>
      </c>
      <c r="E2178">
        <v>2021</v>
      </c>
      <c r="F2178" t="s">
        <v>21</v>
      </c>
      <c r="G2178" t="s">
        <v>19</v>
      </c>
      <c r="H2178" s="2">
        <v>0</v>
      </c>
    </row>
    <row r="2179" spans="1:8">
      <c r="A2179" t="s">
        <v>68</v>
      </c>
      <c r="B2179" t="s">
        <v>69</v>
      </c>
      <c r="C2179" t="s">
        <v>32</v>
      </c>
      <c r="D2179" t="s">
        <v>29</v>
      </c>
      <c r="E2179">
        <v>2021</v>
      </c>
      <c r="F2179" t="s">
        <v>16</v>
      </c>
      <c r="G2179" t="s">
        <v>17</v>
      </c>
      <c r="H2179" s="2">
        <v>253.37</v>
      </c>
    </row>
    <row r="2180" spans="1:8">
      <c r="A2180" t="s">
        <v>68</v>
      </c>
      <c r="B2180" t="s">
        <v>69</v>
      </c>
      <c r="C2180" t="s">
        <v>32</v>
      </c>
      <c r="D2180" t="s">
        <v>29</v>
      </c>
      <c r="E2180">
        <v>2022</v>
      </c>
      <c r="F2180" t="s">
        <v>20</v>
      </c>
      <c r="G2180" t="s">
        <v>17</v>
      </c>
      <c r="H2180" s="2">
        <v>73.680000000000007</v>
      </c>
    </row>
    <row r="2181" spans="1:8">
      <c r="A2181" t="s">
        <v>68</v>
      </c>
      <c r="B2181" t="s">
        <v>69</v>
      </c>
      <c r="C2181" t="s">
        <v>32</v>
      </c>
      <c r="D2181" t="s">
        <v>29</v>
      </c>
      <c r="E2181">
        <v>2023</v>
      </c>
      <c r="F2181" t="s">
        <v>18</v>
      </c>
      <c r="G2181" t="s">
        <v>13</v>
      </c>
      <c r="H2181" s="2">
        <v>20654.3</v>
      </c>
    </row>
    <row r="2182" spans="1:8">
      <c r="A2182" t="s">
        <v>68</v>
      </c>
      <c r="B2182" t="s">
        <v>69</v>
      </c>
      <c r="C2182" t="s">
        <v>32</v>
      </c>
      <c r="D2182" t="s">
        <v>29</v>
      </c>
      <c r="E2182">
        <v>2024</v>
      </c>
      <c r="F2182" t="s">
        <v>12</v>
      </c>
      <c r="G2182" t="s">
        <v>13</v>
      </c>
      <c r="H2182" s="2">
        <v>10659.93</v>
      </c>
    </row>
    <row r="2183" spans="1:8">
      <c r="A2183" t="s">
        <v>68</v>
      </c>
      <c r="B2183" t="s">
        <v>69</v>
      </c>
      <c r="C2183" t="s">
        <v>32</v>
      </c>
      <c r="D2183" t="s">
        <v>29</v>
      </c>
      <c r="E2183">
        <v>2024</v>
      </c>
      <c r="F2183" t="s">
        <v>18</v>
      </c>
      <c r="G2183" t="s">
        <v>13</v>
      </c>
      <c r="H2183" s="2">
        <v>23279.1</v>
      </c>
    </row>
    <row r="2184" spans="1:8">
      <c r="A2184" t="s">
        <v>68</v>
      </c>
      <c r="B2184" t="s">
        <v>69</v>
      </c>
      <c r="C2184" t="s">
        <v>32</v>
      </c>
      <c r="D2184" t="s">
        <v>29</v>
      </c>
      <c r="E2184">
        <v>2024</v>
      </c>
      <c r="F2184" t="s">
        <v>20</v>
      </c>
      <c r="G2184" t="s">
        <v>17</v>
      </c>
      <c r="H2184" s="2">
        <v>68.45</v>
      </c>
    </row>
    <row r="2185" spans="1:8">
      <c r="A2185" t="s">
        <v>68</v>
      </c>
      <c r="B2185" t="s">
        <v>69</v>
      </c>
      <c r="C2185" t="s">
        <v>32</v>
      </c>
      <c r="D2185" t="s">
        <v>29</v>
      </c>
      <c r="E2185">
        <v>2024</v>
      </c>
      <c r="F2185" t="s">
        <v>21</v>
      </c>
      <c r="G2185" t="s">
        <v>19</v>
      </c>
      <c r="H2185" s="2">
        <v>0</v>
      </c>
    </row>
    <row r="2186" spans="1:8">
      <c r="A2186" t="s">
        <v>68</v>
      </c>
      <c r="B2186" t="s">
        <v>69</v>
      </c>
      <c r="C2186" t="s">
        <v>32</v>
      </c>
      <c r="D2186" t="s">
        <v>29</v>
      </c>
      <c r="E2186">
        <v>2024</v>
      </c>
      <c r="F2186" t="s">
        <v>16</v>
      </c>
      <c r="G2186" t="s">
        <v>15</v>
      </c>
      <c r="H2186" s="2">
        <v>3845.48</v>
      </c>
    </row>
    <row r="2187" spans="1:8">
      <c r="A2187" t="s">
        <v>70</v>
      </c>
      <c r="B2187" t="s">
        <v>71</v>
      </c>
      <c r="C2187" t="s">
        <v>32</v>
      </c>
      <c r="D2187" t="s">
        <v>11</v>
      </c>
      <c r="E2187">
        <v>1991</v>
      </c>
      <c r="F2187" t="s">
        <v>18</v>
      </c>
      <c r="G2187" t="s">
        <v>17</v>
      </c>
      <c r="H2187" s="2">
        <v>200.83</v>
      </c>
    </row>
    <row r="2188" spans="1:8">
      <c r="A2188" t="s">
        <v>70</v>
      </c>
      <c r="B2188" t="s">
        <v>71</v>
      </c>
      <c r="C2188" t="s">
        <v>32</v>
      </c>
      <c r="D2188" t="s">
        <v>11</v>
      </c>
      <c r="E2188">
        <v>1991</v>
      </c>
      <c r="F2188" t="s">
        <v>16</v>
      </c>
      <c r="G2188" t="s">
        <v>15</v>
      </c>
      <c r="H2188" s="2">
        <v>11188.08</v>
      </c>
    </row>
    <row r="2189" spans="1:8">
      <c r="A2189" t="s">
        <v>70</v>
      </c>
      <c r="B2189" t="s">
        <v>71</v>
      </c>
      <c r="C2189" t="s">
        <v>32</v>
      </c>
      <c r="D2189" t="s">
        <v>11</v>
      </c>
      <c r="E2189">
        <v>1993</v>
      </c>
      <c r="F2189" t="s">
        <v>22</v>
      </c>
      <c r="G2189" t="s">
        <v>15</v>
      </c>
      <c r="H2189" s="2">
        <v>23492.799999999999</v>
      </c>
    </row>
    <row r="2190" spans="1:8">
      <c r="A2190" t="s">
        <v>70</v>
      </c>
      <c r="B2190" t="s">
        <v>71</v>
      </c>
      <c r="C2190" t="s">
        <v>32</v>
      </c>
      <c r="D2190" t="s">
        <v>11</v>
      </c>
      <c r="E2190">
        <v>1993</v>
      </c>
      <c r="F2190" t="s">
        <v>18</v>
      </c>
      <c r="G2190" t="s">
        <v>15</v>
      </c>
      <c r="H2190" s="2">
        <v>276.97000000000003</v>
      </c>
    </row>
    <row r="2191" spans="1:8">
      <c r="A2191" t="s">
        <v>70</v>
      </c>
      <c r="B2191" t="s">
        <v>71</v>
      </c>
      <c r="C2191" t="s">
        <v>32</v>
      </c>
      <c r="D2191" t="s">
        <v>11</v>
      </c>
      <c r="E2191">
        <v>1993</v>
      </c>
      <c r="F2191" t="s">
        <v>18</v>
      </c>
      <c r="G2191" t="s">
        <v>17</v>
      </c>
      <c r="H2191" s="2">
        <v>280.04000000000002</v>
      </c>
    </row>
    <row r="2192" spans="1:8">
      <c r="A2192" t="s">
        <v>70</v>
      </c>
      <c r="B2192" t="s">
        <v>71</v>
      </c>
      <c r="C2192" t="s">
        <v>32</v>
      </c>
      <c r="D2192" t="s">
        <v>11</v>
      </c>
      <c r="E2192">
        <v>1993</v>
      </c>
      <c r="F2192" t="s">
        <v>20</v>
      </c>
      <c r="G2192" t="s">
        <v>17</v>
      </c>
      <c r="H2192" s="2">
        <v>81.489999999999995</v>
      </c>
    </row>
    <row r="2193" spans="1:8">
      <c r="A2193" t="s">
        <v>70</v>
      </c>
      <c r="B2193" t="s">
        <v>71</v>
      </c>
      <c r="C2193" t="s">
        <v>32</v>
      </c>
      <c r="D2193" t="s">
        <v>11</v>
      </c>
      <c r="E2193">
        <v>1993</v>
      </c>
      <c r="F2193" t="s">
        <v>14</v>
      </c>
      <c r="G2193" t="s">
        <v>15</v>
      </c>
      <c r="H2193" s="2">
        <v>413.23</v>
      </c>
    </row>
    <row r="2194" spans="1:8">
      <c r="A2194" t="s">
        <v>70</v>
      </c>
      <c r="B2194" t="s">
        <v>71</v>
      </c>
      <c r="C2194" t="s">
        <v>32</v>
      </c>
      <c r="D2194" t="s">
        <v>11</v>
      </c>
      <c r="E2194">
        <v>1993</v>
      </c>
      <c r="F2194" t="s">
        <v>21</v>
      </c>
      <c r="G2194" t="s">
        <v>15</v>
      </c>
      <c r="H2194" s="2">
        <v>183.58</v>
      </c>
    </row>
    <row r="2195" spans="1:8">
      <c r="A2195" t="s">
        <v>70</v>
      </c>
      <c r="B2195" t="s">
        <v>71</v>
      </c>
      <c r="C2195" t="s">
        <v>32</v>
      </c>
      <c r="D2195" t="s">
        <v>11</v>
      </c>
      <c r="E2195">
        <v>1993</v>
      </c>
      <c r="F2195" t="s">
        <v>21</v>
      </c>
      <c r="G2195" t="s">
        <v>19</v>
      </c>
      <c r="H2195" s="2">
        <v>0</v>
      </c>
    </row>
    <row r="2196" spans="1:8">
      <c r="A2196" t="s">
        <v>70</v>
      </c>
      <c r="B2196" t="s">
        <v>71</v>
      </c>
      <c r="C2196" t="s">
        <v>32</v>
      </c>
      <c r="D2196" t="s">
        <v>11</v>
      </c>
      <c r="E2196">
        <v>1994</v>
      </c>
      <c r="F2196" t="s">
        <v>18</v>
      </c>
      <c r="G2196" t="s">
        <v>13</v>
      </c>
      <c r="H2196" s="2">
        <v>4172.71</v>
      </c>
    </row>
    <row r="2197" spans="1:8">
      <c r="A2197" t="s">
        <v>70</v>
      </c>
      <c r="B2197" t="s">
        <v>71</v>
      </c>
      <c r="C2197" t="s">
        <v>32</v>
      </c>
      <c r="D2197" t="s">
        <v>11</v>
      </c>
      <c r="E2197">
        <v>1994</v>
      </c>
      <c r="F2197" t="s">
        <v>18</v>
      </c>
      <c r="G2197" t="s">
        <v>17</v>
      </c>
      <c r="H2197" s="2">
        <v>236.66</v>
      </c>
    </row>
    <row r="2198" spans="1:8">
      <c r="A2198" t="s">
        <v>70</v>
      </c>
      <c r="B2198" t="s">
        <v>71</v>
      </c>
      <c r="C2198" t="s">
        <v>32</v>
      </c>
      <c r="D2198" t="s">
        <v>11</v>
      </c>
      <c r="E2198">
        <v>1995</v>
      </c>
      <c r="F2198" t="s">
        <v>22</v>
      </c>
      <c r="G2198" t="s">
        <v>17</v>
      </c>
      <c r="H2198" s="2">
        <v>6443.51</v>
      </c>
    </row>
    <row r="2199" spans="1:8">
      <c r="A2199" t="s">
        <v>70</v>
      </c>
      <c r="B2199" t="s">
        <v>71</v>
      </c>
      <c r="C2199" t="s">
        <v>32</v>
      </c>
      <c r="D2199" t="s">
        <v>11</v>
      </c>
      <c r="E2199">
        <v>1995</v>
      </c>
      <c r="F2199" t="s">
        <v>18</v>
      </c>
      <c r="G2199" t="s">
        <v>17</v>
      </c>
      <c r="H2199" s="2">
        <v>263.73</v>
      </c>
    </row>
    <row r="2200" spans="1:8">
      <c r="A2200" t="s">
        <v>70</v>
      </c>
      <c r="B2200" t="s">
        <v>71</v>
      </c>
      <c r="C2200" t="s">
        <v>32</v>
      </c>
      <c r="D2200" t="s">
        <v>11</v>
      </c>
      <c r="E2200">
        <v>1995</v>
      </c>
      <c r="F2200" t="s">
        <v>14</v>
      </c>
      <c r="G2200" t="s">
        <v>19</v>
      </c>
      <c r="H2200" s="2">
        <v>0</v>
      </c>
    </row>
    <row r="2201" spans="1:8">
      <c r="A2201" t="s">
        <v>70</v>
      </c>
      <c r="B2201" t="s">
        <v>71</v>
      </c>
      <c r="C2201" t="s">
        <v>32</v>
      </c>
      <c r="D2201" t="s">
        <v>11</v>
      </c>
      <c r="E2201">
        <v>1995</v>
      </c>
      <c r="F2201" t="s">
        <v>21</v>
      </c>
      <c r="G2201" t="s">
        <v>17</v>
      </c>
      <c r="H2201" s="2">
        <v>78.930000000000007</v>
      </c>
    </row>
    <row r="2202" spans="1:8">
      <c r="A2202" t="s">
        <v>70</v>
      </c>
      <c r="B2202" t="s">
        <v>71</v>
      </c>
      <c r="C2202" t="s">
        <v>32</v>
      </c>
      <c r="D2202" t="s">
        <v>11</v>
      </c>
      <c r="E2202">
        <v>1996</v>
      </c>
      <c r="F2202" t="s">
        <v>12</v>
      </c>
      <c r="G2202" t="s">
        <v>13</v>
      </c>
      <c r="H2202" s="2">
        <v>8580.98</v>
      </c>
    </row>
    <row r="2203" spans="1:8">
      <c r="A2203" t="s">
        <v>70</v>
      </c>
      <c r="B2203" t="s">
        <v>71</v>
      </c>
      <c r="C2203" t="s">
        <v>32</v>
      </c>
      <c r="D2203" t="s">
        <v>11</v>
      </c>
      <c r="E2203">
        <v>1996</v>
      </c>
      <c r="F2203" t="s">
        <v>12</v>
      </c>
      <c r="G2203" t="s">
        <v>19</v>
      </c>
      <c r="H2203" s="2">
        <v>0</v>
      </c>
    </row>
    <row r="2204" spans="1:8">
      <c r="A2204" t="s">
        <v>70</v>
      </c>
      <c r="B2204" t="s">
        <v>71</v>
      </c>
      <c r="C2204" t="s">
        <v>32</v>
      </c>
      <c r="D2204" t="s">
        <v>11</v>
      </c>
      <c r="E2204">
        <v>1996</v>
      </c>
      <c r="F2204" t="s">
        <v>14</v>
      </c>
      <c r="G2204" t="s">
        <v>17</v>
      </c>
      <c r="H2204" s="2">
        <v>298.74</v>
      </c>
    </row>
    <row r="2205" spans="1:8">
      <c r="A2205" t="s">
        <v>70</v>
      </c>
      <c r="B2205" t="s">
        <v>71</v>
      </c>
      <c r="C2205" t="s">
        <v>32</v>
      </c>
      <c r="D2205" t="s">
        <v>11</v>
      </c>
      <c r="E2205">
        <v>1997</v>
      </c>
      <c r="F2205" t="s">
        <v>20</v>
      </c>
      <c r="G2205" t="s">
        <v>17</v>
      </c>
      <c r="H2205" s="2">
        <v>80.180000000000007</v>
      </c>
    </row>
    <row r="2206" spans="1:8">
      <c r="A2206" t="s">
        <v>70</v>
      </c>
      <c r="B2206" t="s">
        <v>71</v>
      </c>
      <c r="C2206" t="s">
        <v>32</v>
      </c>
      <c r="D2206" t="s">
        <v>11</v>
      </c>
      <c r="E2206">
        <v>1998</v>
      </c>
      <c r="F2206" t="s">
        <v>22</v>
      </c>
      <c r="G2206" t="s">
        <v>19</v>
      </c>
      <c r="H2206" s="2">
        <v>0</v>
      </c>
    </row>
    <row r="2207" spans="1:8">
      <c r="A2207" t="s">
        <v>70</v>
      </c>
      <c r="B2207" t="s">
        <v>71</v>
      </c>
      <c r="C2207" t="s">
        <v>32</v>
      </c>
      <c r="D2207" t="s">
        <v>11</v>
      </c>
      <c r="E2207">
        <v>1999</v>
      </c>
      <c r="F2207" t="s">
        <v>22</v>
      </c>
      <c r="G2207" t="s">
        <v>15</v>
      </c>
      <c r="H2207" s="2">
        <v>26796.23</v>
      </c>
    </row>
    <row r="2208" spans="1:8">
      <c r="A2208" t="s">
        <v>70</v>
      </c>
      <c r="B2208" t="s">
        <v>71</v>
      </c>
      <c r="C2208" t="s">
        <v>32</v>
      </c>
      <c r="D2208" t="s">
        <v>11</v>
      </c>
      <c r="E2208">
        <v>1999</v>
      </c>
      <c r="F2208" t="s">
        <v>12</v>
      </c>
      <c r="G2208" t="s">
        <v>13</v>
      </c>
      <c r="H2208" s="2">
        <v>10422.469999999999</v>
      </c>
    </row>
    <row r="2209" spans="1:8">
      <c r="A2209" t="s">
        <v>70</v>
      </c>
      <c r="B2209" t="s">
        <v>71</v>
      </c>
      <c r="C2209" t="s">
        <v>32</v>
      </c>
      <c r="D2209" t="s">
        <v>11</v>
      </c>
      <c r="E2209">
        <v>1999</v>
      </c>
      <c r="F2209" t="s">
        <v>18</v>
      </c>
      <c r="G2209" t="s">
        <v>19</v>
      </c>
      <c r="H2209" s="2">
        <v>284.85000000000002</v>
      </c>
    </row>
    <row r="2210" spans="1:8">
      <c r="A2210" t="s">
        <v>70</v>
      </c>
      <c r="B2210" t="s">
        <v>71</v>
      </c>
      <c r="C2210" t="s">
        <v>32</v>
      </c>
      <c r="D2210" t="s">
        <v>11</v>
      </c>
      <c r="E2210">
        <v>1999</v>
      </c>
      <c r="F2210" t="s">
        <v>14</v>
      </c>
      <c r="G2210" t="s">
        <v>17</v>
      </c>
      <c r="H2210" s="2">
        <v>269.23</v>
      </c>
    </row>
    <row r="2211" spans="1:8">
      <c r="A2211" t="s">
        <v>70</v>
      </c>
      <c r="B2211" t="s">
        <v>71</v>
      </c>
      <c r="C2211" t="s">
        <v>32</v>
      </c>
      <c r="D2211" t="s">
        <v>11</v>
      </c>
      <c r="E2211">
        <v>2000</v>
      </c>
      <c r="F2211" t="s">
        <v>12</v>
      </c>
      <c r="G2211" t="s">
        <v>13</v>
      </c>
      <c r="H2211" s="2">
        <v>8080.4</v>
      </c>
    </row>
    <row r="2212" spans="1:8">
      <c r="A2212" t="s">
        <v>70</v>
      </c>
      <c r="B2212" t="s">
        <v>71</v>
      </c>
      <c r="C2212" t="s">
        <v>32</v>
      </c>
      <c r="D2212" t="s">
        <v>11</v>
      </c>
      <c r="E2212">
        <v>2000</v>
      </c>
      <c r="F2212" t="s">
        <v>14</v>
      </c>
      <c r="G2212" t="s">
        <v>15</v>
      </c>
      <c r="H2212" s="2">
        <v>389.74</v>
      </c>
    </row>
    <row r="2213" spans="1:8">
      <c r="A2213" t="s">
        <v>70</v>
      </c>
      <c r="B2213" t="s">
        <v>71</v>
      </c>
      <c r="C2213" t="s">
        <v>32</v>
      </c>
      <c r="D2213" t="s">
        <v>11</v>
      </c>
      <c r="E2213">
        <v>2001</v>
      </c>
      <c r="F2213" t="s">
        <v>12</v>
      </c>
      <c r="G2213" t="s">
        <v>17</v>
      </c>
      <c r="H2213" s="2">
        <v>305.38</v>
      </c>
    </row>
    <row r="2214" spans="1:8">
      <c r="A2214" t="s">
        <v>70</v>
      </c>
      <c r="B2214" t="s">
        <v>71</v>
      </c>
      <c r="C2214" t="s">
        <v>32</v>
      </c>
      <c r="D2214" t="s">
        <v>11</v>
      </c>
      <c r="E2214">
        <v>2001</v>
      </c>
      <c r="F2214" t="s">
        <v>21</v>
      </c>
      <c r="G2214" t="s">
        <v>15</v>
      </c>
      <c r="H2214" s="2">
        <v>206.54</v>
      </c>
    </row>
    <row r="2215" spans="1:8">
      <c r="A2215" t="s">
        <v>70</v>
      </c>
      <c r="B2215" t="s">
        <v>71</v>
      </c>
      <c r="C2215" t="s">
        <v>32</v>
      </c>
      <c r="D2215" t="s">
        <v>11</v>
      </c>
      <c r="E2215">
        <v>2002</v>
      </c>
      <c r="F2215" t="s">
        <v>20</v>
      </c>
      <c r="G2215" t="s">
        <v>15</v>
      </c>
      <c r="H2215" s="2">
        <v>76.83</v>
      </c>
    </row>
    <row r="2216" spans="1:8">
      <c r="A2216" t="s">
        <v>70</v>
      </c>
      <c r="B2216" t="s">
        <v>71</v>
      </c>
      <c r="C2216" t="s">
        <v>32</v>
      </c>
      <c r="D2216" t="s">
        <v>11</v>
      </c>
      <c r="E2216">
        <v>2002</v>
      </c>
      <c r="F2216" t="s">
        <v>21</v>
      </c>
      <c r="G2216" t="s">
        <v>13</v>
      </c>
      <c r="H2216" s="2">
        <v>8961.52</v>
      </c>
    </row>
    <row r="2217" spans="1:8">
      <c r="A2217" t="s">
        <v>70</v>
      </c>
      <c r="B2217" t="s">
        <v>71</v>
      </c>
      <c r="C2217" t="s">
        <v>32</v>
      </c>
      <c r="D2217" t="s">
        <v>11</v>
      </c>
      <c r="E2217">
        <v>2004</v>
      </c>
      <c r="F2217" t="s">
        <v>12</v>
      </c>
      <c r="G2217" t="s">
        <v>15</v>
      </c>
      <c r="H2217" s="2">
        <v>785.62</v>
      </c>
    </row>
    <row r="2218" spans="1:8">
      <c r="A2218" t="s">
        <v>70</v>
      </c>
      <c r="B2218" t="s">
        <v>71</v>
      </c>
      <c r="C2218" t="s">
        <v>32</v>
      </c>
      <c r="D2218" t="s">
        <v>11</v>
      </c>
      <c r="E2218">
        <v>2004</v>
      </c>
      <c r="F2218" t="s">
        <v>16</v>
      </c>
      <c r="G2218" t="s">
        <v>15</v>
      </c>
      <c r="H2218" s="2">
        <v>13612.14</v>
      </c>
    </row>
    <row r="2219" spans="1:8">
      <c r="A2219" t="s">
        <v>70</v>
      </c>
      <c r="B2219" t="s">
        <v>71</v>
      </c>
      <c r="C2219" t="s">
        <v>32</v>
      </c>
      <c r="D2219" t="s">
        <v>11</v>
      </c>
      <c r="E2219">
        <v>2004</v>
      </c>
      <c r="F2219" t="s">
        <v>16</v>
      </c>
      <c r="G2219" t="s">
        <v>17</v>
      </c>
      <c r="H2219" s="2">
        <v>883.82</v>
      </c>
    </row>
    <row r="2220" spans="1:8">
      <c r="A2220" t="s">
        <v>70</v>
      </c>
      <c r="B2220" t="s">
        <v>71</v>
      </c>
      <c r="C2220" t="s">
        <v>32</v>
      </c>
      <c r="D2220" t="s">
        <v>11</v>
      </c>
      <c r="E2220">
        <v>2005</v>
      </c>
      <c r="F2220" t="s">
        <v>22</v>
      </c>
      <c r="G2220" t="s">
        <v>15</v>
      </c>
      <c r="H2220" s="2">
        <v>26112.3</v>
      </c>
    </row>
    <row r="2221" spans="1:8">
      <c r="A2221" t="s">
        <v>70</v>
      </c>
      <c r="B2221" t="s">
        <v>71</v>
      </c>
      <c r="C2221" t="s">
        <v>32</v>
      </c>
      <c r="D2221" t="s">
        <v>11</v>
      </c>
      <c r="E2221">
        <v>2005</v>
      </c>
      <c r="F2221" t="s">
        <v>18</v>
      </c>
      <c r="G2221" t="s">
        <v>19</v>
      </c>
      <c r="H2221" s="2">
        <v>316.52999999999997</v>
      </c>
    </row>
    <row r="2222" spans="1:8">
      <c r="A2222" t="s">
        <v>70</v>
      </c>
      <c r="B2222" t="s">
        <v>71</v>
      </c>
      <c r="C2222" t="s">
        <v>32</v>
      </c>
      <c r="D2222" t="s">
        <v>11</v>
      </c>
      <c r="E2222">
        <v>2005</v>
      </c>
      <c r="F2222" t="s">
        <v>21</v>
      </c>
      <c r="G2222" t="s">
        <v>15</v>
      </c>
      <c r="H2222" s="2">
        <v>198.46</v>
      </c>
    </row>
    <row r="2223" spans="1:8">
      <c r="A2223" t="s">
        <v>70</v>
      </c>
      <c r="B2223" t="s">
        <v>71</v>
      </c>
      <c r="C2223" t="s">
        <v>32</v>
      </c>
      <c r="D2223" t="s">
        <v>11</v>
      </c>
      <c r="E2223">
        <v>2005</v>
      </c>
      <c r="F2223" t="s">
        <v>16</v>
      </c>
      <c r="G2223" t="s">
        <v>17</v>
      </c>
      <c r="H2223" s="2">
        <v>846.74</v>
      </c>
    </row>
    <row r="2224" spans="1:8">
      <c r="A2224" t="s">
        <v>70</v>
      </c>
      <c r="B2224" t="s">
        <v>71</v>
      </c>
      <c r="C2224" t="s">
        <v>32</v>
      </c>
      <c r="D2224" t="s">
        <v>11</v>
      </c>
      <c r="E2224">
        <v>2006</v>
      </c>
      <c r="F2224" t="s">
        <v>22</v>
      </c>
      <c r="G2224" t="s">
        <v>19</v>
      </c>
      <c r="H2224" s="2">
        <v>0</v>
      </c>
    </row>
    <row r="2225" spans="1:8">
      <c r="A2225" t="s">
        <v>70</v>
      </c>
      <c r="B2225" t="s">
        <v>71</v>
      </c>
      <c r="C2225" t="s">
        <v>32</v>
      </c>
      <c r="D2225" t="s">
        <v>11</v>
      </c>
      <c r="E2225">
        <v>2006</v>
      </c>
      <c r="F2225" t="s">
        <v>18</v>
      </c>
      <c r="G2225" t="s">
        <v>15</v>
      </c>
      <c r="H2225" s="2">
        <v>294.18</v>
      </c>
    </row>
    <row r="2226" spans="1:8">
      <c r="A2226" t="s">
        <v>70</v>
      </c>
      <c r="B2226" t="s">
        <v>71</v>
      </c>
      <c r="C2226" t="s">
        <v>32</v>
      </c>
      <c r="D2226" t="s">
        <v>11</v>
      </c>
      <c r="E2226">
        <v>2006</v>
      </c>
      <c r="F2226" t="s">
        <v>18</v>
      </c>
      <c r="G2226" t="s">
        <v>17</v>
      </c>
      <c r="H2226" s="2">
        <v>302.10000000000002</v>
      </c>
    </row>
    <row r="2227" spans="1:8">
      <c r="A2227" t="s">
        <v>70</v>
      </c>
      <c r="B2227" t="s">
        <v>71</v>
      </c>
      <c r="C2227" t="s">
        <v>32</v>
      </c>
      <c r="D2227" t="s">
        <v>11</v>
      </c>
      <c r="E2227">
        <v>2006</v>
      </c>
      <c r="F2227" t="s">
        <v>20</v>
      </c>
      <c r="G2227" t="s">
        <v>17</v>
      </c>
      <c r="H2227" s="2">
        <v>95.08</v>
      </c>
    </row>
    <row r="2228" spans="1:8">
      <c r="A2228" t="s">
        <v>70</v>
      </c>
      <c r="B2228" t="s">
        <v>71</v>
      </c>
      <c r="C2228" t="s">
        <v>32</v>
      </c>
      <c r="D2228" t="s">
        <v>11</v>
      </c>
      <c r="E2228">
        <v>2006</v>
      </c>
      <c r="F2228" t="s">
        <v>14</v>
      </c>
      <c r="G2228" t="s">
        <v>15</v>
      </c>
      <c r="H2228" s="2">
        <v>474.02</v>
      </c>
    </row>
    <row r="2229" spans="1:8">
      <c r="A2229" t="s">
        <v>70</v>
      </c>
      <c r="B2229" t="s">
        <v>71</v>
      </c>
      <c r="C2229" t="s">
        <v>32</v>
      </c>
      <c r="D2229" t="s">
        <v>11</v>
      </c>
      <c r="E2229">
        <v>2006</v>
      </c>
      <c r="F2229" t="s">
        <v>21</v>
      </c>
      <c r="G2229" t="s">
        <v>17</v>
      </c>
      <c r="H2229" s="2">
        <v>95.88</v>
      </c>
    </row>
    <row r="2230" spans="1:8">
      <c r="A2230" t="s">
        <v>70</v>
      </c>
      <c r="B2230" t="s">
        <v>71</v>
      </c>
      <c r="C2230" t="s">
        <v>32</v>
      </c>
      <c r="D2230" t="s">
        <v>11</v>
      </c>
      <c r="E2230">
        <v>2007</v>
      </c>
      <c r="F2230" t="s">
        <v>21</v>
      </c>
      <c r="G2230" t="s">
        <v>15</v>
      </c>
      <c r="H2230" s="2">
        <v>190.84</v>
      </c>
    </row>
    <row r="2231" spans="1:8">
      <c r="A2231" t="s">
        <v>70</v>
      </c>
      <c r="B2231" t="s">
        <v>71</v>
      </c>
      <c r="C2231" t="s">
        <v>32</v>
      </c>
      <c r="D2231" t="s">
        <v>11</v>
      </c>
      <c r="E2231">
        <v>2007</v>
      </c>
      <c r="F2231" t="s">
        <v>16</v>
      </c>
      <c r="G2231" t="s">
        <v>15</v>
      </c>
      <c r="H2231" s="2">
        <v>13827.66</v>
      </c>
    </row>
    <row r="2232" spans="1:8">
      <c r="A2232" t="s">
        <v>70</v>
      </c>
      <c r="B2232" t="s">
        <v>71</v>
      </c>
      <c r="C2232" t="s">
        <v>32</v>
      </c>
      <c r="D2232" t="s">
        <v>11</v>
      </c>
      <c r="E2232">
        <v>2008</v>
      </c>
      <c r="F2232" t="s">
        <v>12</v>
      </c>
      <c r="G2232" t="s">
        <v>19</v>
      </c>
      <c r="H2232" s="2">
        <v>0</v>
      </c>
    </row>
    <row r="2233" spans="1:8">
      <c r="A2233" t="s">
        <v>70</v>
      </c>
      <c r="B2233" t="s">
        <v>71</v>
      </c>
      <c r="C2233" t="s">
        <v>32</v>
      </c>
      <c r="D2233" t="s">
        <v>11</v>
      </c>
      <c r="E2233">
        <v>2009</v>
      </c>
      <c r="F2233" t="s">
        <v>12</v>
      </c>
      <c r="G2233" t="s">
        <v>15</v>
      </c>
      <c r="H2233" s="2">
        <v>841.36</v>
      </c>
    </row>
    <row r="2234" spans="1:8">
      <c r="A2234" t="s">
        <v>70</v>
      </c>
      <c r="B2234" t="s">
        <v>71</v>
      </c>
      <c r="C2234" t="s">
        <v>32</v>
      </c>
      <c r="D2234" t="s">
        <v>11</v>
      </c>
      <c r="E2234">
        <v>2009</v>
      </c>
      <c r="F2234" t="s">
        <v>12</v>
      </c>
      <c r="G2234" t="s">
        <v>17</v>
      </c>
      <c r="H2234" s="2">
        <v>349.41</v>
      </c>
    </row>
    <row r="2235" spans="1:8">
      <c r="A2235" t="s">
        <v>70</v>
      </c>
      <c r="B2235" t="s">
        <v>71</v>
      </c>
      <c r="C2235" t="s">
        <v>32</v>
      </c>
      <c r="D2235" t="s">
        <v>11</v>
      </c>
      <c r="E2235">
        <v>2009</v>
      </c>
      <c r="F2235" t="s">
        <v>21</v>
      </c>
      <c r="G2235" t="s">
        <v>19</v>
      </c>
      <c r="H2235" s="2">
        <v>0</v>
      </c>
    </row>
    <row r="2236" spans="1:8">
      <c r="A2236" t="s">
        <v>70</v>
      </c>
      <c r="B2236" t="s">
        <v>71</v>
      </c>
      <c r="C2236" t="s">
        <v>32</v>
      </c>
      <c r="D2236" t="s">
        <v>11</v>
      </c>
      <c r="E2236">
        <v>2010</v>
      </c>
      <c r="F2236" t="s">
        <v>22</v>
      </c>
      <c r="G2236" t="s">
        <v>13</v>
      </c>
      <c r="H2236" s="2">
        <v>3897.64</v>
      </c>
    </row>
    <row r="2237" spans="1:8">
      <c r="A2237" t="s">
        <v>70</v>
      </c>
      <c r="B2237" t="s">
        <v>71</v>
      </c>
      <c r="C2237" t="s">
        <v>32</v>
      </c>
      <c r="D2237" t="s">
        <v>11</v>
      </c>
      <c r="E2237">
        <v>2010</v>
      </c>
      <c r="F2237" t="s">
        <v>20</v>
      </c>
      <c r="G2237" t="s">
        <v>19</v>
      </c>
      <c r="H2237" s="2">
        <v>0</v>
      </c>
    </row>
    <row r="2238" spans="1:8">
      <c r="A2238" t="s">
        <v>70</v>
      </c>
      <c r="B2238" t="s">
        <v>71</v>
      </c>
      <c r="C2238" t="s">
        <v>32</v>
      </c>
      <c r="D2238" t="s">
        <v>11</v>
      </c>
      <c r="E2238">
        <v>2011</v>
      </c>
      <c r="F2238" t="s">
        <v>18</v>
      </c>
      <c r="G2238" t="s">
        <v>15</v>
      </c>
      <c r="H2238" s="2">
        <v>304.01</v>
      </c>
    </row>
    <row r="2239" spans="1:8">
      <c r="A2239" t="s">
        <v>70</v>
      </c>
      <c r="B2239" t="s">
        <v>71</v>
      </c>
      <c r="C2239" t="s">
        <v>32</v>
      </c>
      <c r="D2239" t="s">
        <v>11</v>
      </c>
      <c r="E2239">
        <v>2011</v>
      </c>
      <c r="F2239" t="s">
        <v>14</v>
      </c>
      <c r="G2239" t="s">
        <v>19</v>
      </c>
      <c r="H2239" s="2">
        <v>0</v>
      </c>
    </row>
    <row r="2240" spans="1:8">
      <c r="A2240" t="s">
        <v>70</v>
      </c>
      <c r="B2240" t="s">
        <v>71</v>
      </c>
      <c r="C2240" t="s">
        <v>32</v>
      </c>
      <c r="D2240" t="s">
        <v>11</v>
      </c>
      <c r="E2240">
        <v>2011</v>
      </c>
      <c r="F2240" t="s">
        <v>14</v>
      </c>
      <c r="G2240" t="s">
        <v>17</v>
      </c>
      <c r="H2240" s="2">
        <v>317.05</v>
      </c>
    </row>
    <row r="2241" spans="1:8">
      <c r="A2241" t="s">
        <v>70</v>
      </c>
      <c r="B2241" t="s">
        <v>71</v>
      </c>
      <c r="C2241" t="s">
        <v>32</v>
      </c>
      <c r="D2241" t="s">
        <v>11</v>
      </c>
      <c r="E2241">
        <v>2011</v>
      </c>
      <c r="F2241" t="s">
        <v>16</v>
      </c>
      <c r="G2241" t="s">
        <v>13</v>
      </c>
      <c r="H2241" s="2">
        <v>3047.07</v>
      </c>
    </row>
    <row r="2242" spans="1:8">
      <c r="A2242" t="s">
        <v>70</v>
      </c>
      <c r="B2242" t="s">
        <v>71</v>
      </c>
      <c r="C2242" t="s">
        <v>32</v>
      </c>
      <c r="D2242" t="s">
        <v>11</v>
      </c>
      <c r="E2242">
        <v>2012</v>
      </c>
      <c r="F2242" t="s">
        <v>22</v>
      </c>
      <c r="G2242" t="s">
        <v>13</v>
      </c>
      <c r="H2242" s="2">
        <v>3652.48</v>
      </c>
    </row>
    <row r="2243" spans="1:8">
      <c r="A2243" t="s">
        <v>70</v>
      </c>
      <c r="B2243" t="s">
        <v>71</v>
      </c>
      <c r="C2243" t="s">
        <v>32</v>
      </c>
      <c r="D2243" t="s">
        <v>11</v>
      </c>
      <c r="E2243">
        <v>2012</v>
      </c>
      <c r="F2243" t="s">
        <v>12</v>
      </c>
      <c r="G2243" t="s">
        <v>19</v>
      </c>
      <c r="H2243" s="2">
        <v>0</v>
      </c>
    </row>
    <row r="2244" spans="1:8">
      <c r="A2244" t="s">
        <v>70</v>
      </c>
      <c r="B2244" t="s">
        <v>71</v>
      </c>
      <c r="C2244" t="s">
        <v>32</v>
      </c>
      <c r="D2244" t="s">
        <v>11</v>
      </c>
      <c r="E2244">
        <v>2012</v>
      </c>
      <c r="F2244" t="s">
        <v>16</v>
      </c>
      <c r="G2244" t="s">
        <v>17</v>
      </c>
      <c r="H2244" s="2">
        <v>912.69</v>
      </c>
    </row>
    <row r="2245" spans="1:8">
      <c r="A2245" t="s">
        <v>70</v>
      </c>
      <c r="B2245" t="s">
        <v>71</v>
      </c>
      <c r="C2245" t="s">
        <v>32</v>
      </c>
      <c r="D2245" t="s">
        <v>11</v>
      </c>
      <c r="E2245">
        <v>2013</v>
      </c>
      <c r="F2245" t="s">
        <v>22</v>
      </c>
      <c r="G2245" t="s">
        <v>17</v>
      </c>
      <c r="H2245" s="2">
        <v>7985.56</v>
      </c>
    </row>
    <row r="2246" spans="1:8">
      <c r="A2246" t="s">
        <v>70</v>
      </c>
      <c r="B2246" t="s">
        <v>71</v>
      </c>
      <c r="C2246" t="s">
        <v>32</v>
      </c>
      <c r="D2246" t="s">
        <v>11</v>
      </c>
      <c r="E2246">
        <v>2013</v>
      </c>
      <c r="F2246" t="s">
        <v>12</v>
      </c>
      <c r="G2246" t="s">
        <v>13</v>
      </c>
      <c r="H2246" s="2">
        <v>10465.879999999999</v>
      </c>
    </row>
    <row r="2247" spans="1:8">
      <c r="A2247" t="s">
        <v>70</v>
      </c>
      <c r="B2247" t="s">
        <v>71</v>
      </c>
      <c r="C2247" t="s">
        <v>32</v>
      </c>
      <c r="D2247" t="s">
        <v>11</v>
      </c>
      <c r="E2247">
        <v>2014</v>
      </c>
      <c r="F2247" t="s">
        <v>12</v>
      </c>
      <c r="G2247" t="s">
        <v>15</v>
      </c>
      <c r="H2247" s="2">
        <v>742.44</v>
      </c>
    </row>
    <row r="2248" spans="1:8">
      <c r="A2248" t="s">
        <v>70</v>
      </c>
      <c r="B2248" t="s">
        <v>71</v>
      </c>
      <c r="C2248" t="s">
        <v>32</v>
      </c>
      <c r="D2248" t="s">
        <v>11</v>
      </c>
      <c r="E2248">
        <v>2014</v>
      </c>
      <c r="F2248" t="s">
        <v>18</v>
      </c>
      <c r="G2248" t="s">
        <v>17</v>
      </c>
      <c r="H2248" s="2">
        <v>293.52999999999997</v>
      </c>
    </row>
    <row r="2249" spans="1:8">
      <c r="A2249" t="s">
        <v>70</v>
      </c>
      <c r="B2249" t="s">
        <v>71</v>
      </c>
      <c r="C2249" t="s">
        <v>32</v>
      </c>
      <c r="D2249" t="s">
        <v>11</v>
      </c>
      <c r="E2249">
        <v>2014</v>
      </c>
      <c r="F2249" t="s">
        <v>20</v>
      </c>
      <c r="G2249" t="s">
        <v>15</v>
      </c>
      <c r="H2249" s="2">
        <v>84.93</v>
      </c>
    </row>
    <row r="2250" spans="1:8">
      <c r="A2250" t="s">
        <v>70</v>
      </c>
      <c r="B2250" t="s">
        <v>71</v>
      </c>
      <c r="C2250" t="s">
        <v>32</v>
      </c>
      <c r="D2250" t="s">
        <v>11</v>
      </c>
      <c r="E2250">
        <v>2014</v>
      </c>
      <c r="F2250" t="s">
        <v>14</v>
      </c>
      <c r="G2250" t="s">
        <v>15</v>
      </c>
      <c r="H2250" s="2">
        <v>419.32</v>
      </c>
    </row>
    <row r="2251" spans="1:8">
      <c r="A2251" t="s">
        <v>70</v>
      </c>
      <c r="B2251" t="s">
        <v>71</v>
      </c>
      <c r="C2251" t="s">
        <v>32</v>
      </c>
      <c r="D2251" t="s">
        <v>11</v>
      </c>
      <c r="E2251">
        <v>2014</v>
      </c>
      <c r="F2251" t="s">
        <v>21</v>
      </c>
      <c r="G2251" t="s">
        <v>17</v>
      </c>
      <c r="H2251" s="2">
        <v>91.76</v>
      </c>
    </row>
    <row r="2252" spans="1:8">
      <c r="A2252" t="s">
        <v>70</v>
      </c>
      <c r="B2252" t="s">
        <v>71</v>
      </c>
      <c r="C2252" t="s">
        <v>32</v>
      </c>
      <c r="D2252" t="s">
        <v>11</v>
      </c>
      <c r="E2252">
        <v>2014</v>
      </c>
      <c r="F2252" t="s">
        <v>16</v>
      </c>
      <c r="G2252" t="s">
        <v>15</v>
      </c>
      <c r="H2252" s="2">
        <v>13732.2</v>
      </c>
    </row>
    <row r="2253" spans="1:8">
      <c r="A2253" t="s">
        <v>70</v>
      </c>
      <c r="B2253" t="s">
        <v>71</v>
      </c>
      <c r="C2253" t="s">
        <v>32</v>
      </c>
      <c r="D2253" t="s">
        <v>11</v>
      </c>
      <c r="E2253">
        <v>2015</v>
      </c>
      <c r="F2253" t="s">
        <v>18</v>
      </c>
      <c r="G2253" t="s">
        <v>15</v>
      </c>
      <c r="H2253" s="2">
        <v>346.45</v>
      </c>
    </row>
    <row r="2254" spans="1:8">
      <c r="A2254" t="s">
        <v>70</v>
      </c>
      <c r="B2254" t="s">
        <v>71</v>
      </c>
      <c r="C2254" t="s">
        <v>32</v>
      </c>
      <c r="D2254" t="s">
        <v>11</v>
      </c>
      <c r="E2254">
        <v>2015</v>
      </c>
      <c r="F2254" t="s">
        <v>14</v>
      </c>
      <c r="G2254" t="s">
        <v>15</v>
      </c>
      <c r="H2254" s="2">
        <v>545.97</v>
      </c>
    </row>
    <row r="2255" spans="1:8">
      <c r="A2255" t="s">
        <v>70</v>
      </c>
      <c r="B2255" t="s">
        <v>71</v>
      </c>
      <c r="C2255" t="s">
        <v>32</v>
      </c>
      <c r="D2255" t="s">
        <v>11</v>
      </c>
      <c r="E2255">
        <v>2015</v>
      </c>
      <c r="F2255" t="s">
        <v>16</v>
      </c>
      <c r="G2255" t="s">
        <v>13</v>
      </c>
      <c r="H2255" s="2">
        <v>2834.44</v>
      </c>
    </row>
    <row r="2256" spans="1:8">
      <c r="A2256" t="s">
        <v>70</v>
      </c>
      <c r="B2256" t="s">
        <v>71</v>
      </c>
      <c r="C2256" t="s">
        <v>32</v>
      </c>
      <c r="D2256" t="s">
        <v>11</v>
      </c>
      <c r="E2256">
        <v>2016</v>
      </c>
      <c r="F2256" t="s">
        <v>12</v>
      </c>
      <c r="G2256" t="s">
        <v>15</v>
      </c>
      <c r="H2256" s="2">
        <v>808.73</v>
      </c>
    </row>
    <row r="2257" spans="1:8">
      <c r="A2257" t="s">
        <v>70</v>
      </c>
      <c r="B2257" t="s">
        <v>71</v>
      </c>
      <c r="C2257" t="s">
        <v>32</v>
      </c>
      <c r="D2257" t="s">
        <v>11</v>
      </c>
      <c r="E2257">
        <v>2016</v>
      </c>
      <c r="F2257" t="s">
        <v>18</v>
      </c>
      <c r="G2257" t="s">
        <v>15</v>
      </c>
      <c r="H2257" s="2">
        <v>303.52</v>
      </c>
    </row>
    <row r="2258" spans="1:8">
      <c r="A2258" t="s">
        <v>70</v>
      </c>
      <c r="B2258" t="s">
        <v>71</v>
      </c>
      <c r="C2258" t="s">
        <v>32</v>
      </c>
      <c r="D2258" t="s">
        <v>11</v>
      </c>
      <c r="E2258">
        <v>2016</v>
      </c>
      <c r="F2258" t="s">
        <v>20</v>
      </c>
      <c r="G2258" t="s">
        <v>19</v>
      </c>
      <c r="H2258" s="2">
        <v>0</v>
      </c>
    </row>
    <row r="2259" spans="1:8">
      <c r="A2259" t="s">
        <v>70</v>
      </c>
      <c r="B2259" t="s">
        <v>71</v>
      </c>
      <c r="C2259" t="s">
        <v>32</v>
      </c>
      <c r="D2259" t="s">
        <v>11</v>
      </c>
      <c r="E2259">
        <v>2016</v>
      </c>
      <c r="F2259" t="s">
        <v>16</v>
      </c>
      <c r="G2259" t="s">
        <v>17</v>
      </c>
      <c r="H2259" s="2">
        <v>908.56</v>
      </c>
    </row>
    <row r="2260" spans="1:8">
      <c r="A2260" t="s">
        <v>70</v>
      </c>
      <c r="B2260" t="s">
        <v>71</v>
      </c>
      <c r="C2260" t="s">
        <v>32</v>
      </c>
      <c r="D2260" t="s">
        <v>11</v>
      </c>
      <c r="E2260">
        <v>2017</v>
      </c>
      <c r="F2260" t="s">
        <v>18</v>
      </c>
      <c r="G2260" t="s">
        <v>19</v>
      </c>
      <c r="H2260" s="2">
        <v>332.15</v>
      </c>
    </row>
    <row r="2261" spans="1:8">
      <c r="A2261" t="s">
        <v>70</v>
      </c>
      <c r="B2261" t="s">
        <v>71</v>
      </c>
      <c r="C2261" t="s">
        <v>32</v>
      </c>
      <c r="D2261" t="s">
        <v>11</v>
      </c>
      <c r="E2261">
        <v>2017</v>
      </c>
      <c r="F2261" t="s">
        <v>20</v>
      </c>
      <c r="G2261" t="s">
        <v>17</v>
      </c>
      <c r="H2261" s="2">
        <v>101.21</v>
      </c>
    </row>
    <row r="2262" spans="1:8">
      <c r="A2262" t="s">
        <v>70</v>
      </c>
      <c r="B2262" t="s">
        <v>71</v>
      </c>
      <c r="C2262" t="s">
        <v>32</v>
      </c>
      <c r="D2262" t="s">
        <v>11</v>
      </c>
      <c r="E2262">
        <v>2018</v>
      </c>
      <c r="F2262" t="s">
        <v>22</v>
      </c>
      <c r="G2262" t="s">
        <v>15</v>
      </c>
      <c r="H2262" s="2">
        <v>28867.88</v>
      </c>
    </row>
    <row r="2263" spans="1:8">
      <c r="A2263" t="s">
        <v>70</v>
      </c>
      <c r="B2263" t="s">
        <v>71</v>
      </c>
      <c r="C2263" t="s">
        <v>32</v>
      </c>
      <c r="D2263" t="s">
        <v>11</v>
      </c>
      <c r="E2263">
        <v>2018</v>
      </c>
      <c r="F2263" t="s">
        <v>22</v>
      </c>
      <c r="G2263" t="s">
        <v>17</v>
      </c>
      <c r="H2263" s="2">
        <v>8768.56</v>
      </c>
    </row>
    <row r="2264" spans="1:8">
      <c r="A2264" t="s">
        <v>70</v>
      </c>
      <c r="B2264" t="s">
        <v>71</v>
      </c>
      <c r="C2264" t="s">
        <v>32</v>
      </c>
      <c r="D2264" t="s">
        <v>11</v>
      </c>
      <c r="E2264">
        <v>2018</v>
      </c>
      <c r="F2264" t="s">
        <v>20</v>
      </c>
      <c r="G2264" t="s">
        <v>15</v>
      </c>
      <c r="H2264" s="2">
        <v>100.63</v>
      </c>
    </row>
    <row r="2265" spans="1:8">
      <c r="A2265" t="s">
        <v>70</v>
      </c>
      <c r="B2265" t="s">
        <v>71</v>
      </c>
      <c r="C2265" t="s">
        <v>32</v>
      </c>
      <c r="D2265" t="s">
        <v>11</v>
      </c>
      <c r="E2265">
        <v>2018</v>
      </c>
      <c r="F2265" t="s">
        <v>14</v>
      </c>
      <c r="G2265" t="s">
        <v>13</v>
      </c>
      <c r="H2265" s="2">
        <v>15996.12</v>
      </c>
    </row>
    <row r="2266" spans="1:8">
      <c r="A2266" t="s">
        <v>70</v>
      </c>
      <c r="B2266" t="s">
        <v>71</v>
      </c>
      <c r="C2266" t="s">
        <v>32</v>
      </c>
      <c r="D2266" t="s">
        <v>11</v>
      </c>
      <c r="E2266">
        <v>2018</v>
      </c>
      <c r="F2266" t="s">
        <v>14</v>
      </c>
      <c r="G2266" t="s">
        <v>19</v>
      </c>
      <c r="H2266" s="2">
        <v>0</v>
      </c>
    </row>
    <row r="2267" spans="1:8">
      <c r="A2267" t="s">
        <v>70</v>
      </c>
      <c r="B2267" t="s">
        <v>71</v>
      </c>
      <c r="C2267" t="s">
        <v>32</v>
      </c>
      <c r="D2267" t="s">
        <v>11</v>
      </c>
      <c r="E2267">
        <v>2019</v>
      </c>
      <c r="F2267" t="s">
        <v>22</v>
      </c>
      <c r="G2267" t="s">
        <v>15</v>
      </c>
      <c r="H2267" s="2">
        <v>24976.27</v>
      </c>
    </row>
    <row r="2268" spans="1:8">
      <c r="A2268" t="s">
        <v>70</v>
      </c>
      <c r="B2268" t="s">
        <v>71</v>
      </c>
      <c r="C2268" t="s">
        <v>32</v>
      </c>
      <c r="D2268" t="s">
        <v>11</v>
      </c>
      <c r="E2268">
        <v>2019</v>
      </c>
      <c r="F2268" t="s">
        <v>18</v>
      </c>
      <c r="G2268" t="s">
        <v>19</v>
      </c>
      <c r="H2268" s="2">
        <v>294.42</v>
      </c>
    </row>
    <row r="2269" spans="1:8">
      <c r="A2269" t="s">
        <v>70</v>
      </c>
      <c r="B2269" t="s">
        <v>71</v>
      </c>
      <c r="C2269" t="s">
        <v>32</v>
      </c>
      <c r="D2269" t="s">
        <v>11</v>
      </c>
      <c r="E2269">
        <v>2019</v>
      </c>
      <c r="F2269" t="s">
        <v>21</v>
      </c>
      <c r="G2269" t="s">
        <v>19</v>
      </c>
      <c r="H2269" s="2">
        <v>0</v>
      </c>
    </row>
    <row r="2270" spans="1:8">
      <c r="A2270" t="s">
        <v>70</v>
      </c>
      <c r="B2270" t="s">
        <v>71</v>
      </c>
      <c r="C2270" t="s">
        <v>32</v>
      </c>
      <c r="D2270" t="s">
        <v>11</v>
      </c>
      <c r="E2270">
        <v>2020</v>
      </c>
      <c r="F2270" t="s">
        <v>12</v>
      </c>
      <c r="G2270" t="s">
        <v>15</v>
      </c>
      <c r="H2270" s="2">
        <v>848.93</v>
      </c>
    </row>
    <row r="2271" spans="1:8">
      <c r="A2271" t="s">
        <v>70</v>
      </c>
      <c r="B2271" t="s">
        <v>71</v>
      </c>
      <c r="C2271" t="s">
        <v>32</v>
      </c>
      <c r="D2271" t="s">
        <v>11</v>
      </c>
      <c r="E2271">
        <v>2020</v>
      </c>
      <c r="F2271" t="s">
        <v>21</v>
      </c>
      <c r="G2271" t="s">
        <v>13</v>
      </c>
      <c r="H2271" s="2">
        <v>10820.27</v>
      </c>
    </row>
    <row r="2272" spans="1:8">
      <c r="A2272" t="s">
        <v>70</v>
      </c>
      <c r="B2272" t="s">
        <v>71</v>
      </c>
      <c r="C2272" t="s">
        <v>32</v>
      </c>
      <c r="D2272" t="s">
        <v>11</v>
      </c>
      <c r="E2272">
        <v>2020</v>
      </c>
      <c r="F2272" t="s">
        <v>21</v>
      </c>
      <c r="G2272" t="s">
        <v>19</v>
      </c>
      <c r="H2272" s="2">
        <v>0</v>
      </c>
    </row>
    <row r="2273" spans="1:8">
      <c r="A2273" t="s">
        <v>70</v>
      </c>
      <c r="B2273" t="s">
        <v>71</v>
      </c>
      <c r="C2273" t="s">
        <v>32</v>
      </c>
      <c r="D2273" t="s">
        <v>11</v>
      </c>
      <c r="E2273">
        <v>2020</v>
      </c>
      <c r="F2273" t="s">
        <v>16</v>
      </c>
      <c r="G2273" t="s">
        <v>15</v>
      </c>
      <c r="H2273" s="2">
        <v>15925.13</v>
      </c>
    </row>
    <row r="2274" spans="1:8">
      <c r="A2274" t="s">
        <v>70</v>
      </c>
      <c r="B2274" t="s">
        <v>71</v>
      </c>
      <c r="C2274" t="s">
        <v>32</v>
      </c>
      <c r="D2274" t="s">
        <v>11</v>
      </c>
      <c r="E2274">
        <v>2021</v>
      </c>
      <c r="F2274" t="s">
        <v>14</v>
      </c>
      <c r="G2274" t="s">
        <v>17</v>
      </c>
      <c r="H2274" s="2">
        <v>334.95</v>
      </c>
    </row>
    <row r="2275" spans="1:8">
      <c r="A2275" t="s">
        <v>70</v>
      </c>
      <c r="B2275" t="s">
        <v>71</v>
      </c>
      <c r="C2275" t="s">
        <v>32</v>
      </c>
      <c r="D2275" t="s">
        <v>11</v>
      </c>
      <c r="E2275">
        <v>2021</v>
      </c>
      <c r="F2275" t="s">
        <v>16</v>
      </c>
      <c r="G2275" t="s">
        <v>13</v>
      </c>
      <c r="H2275" s="2">
        <v>2604.92</v>
      </c>
    </row>
    <row r="2276" spans="1:8">
      <c r="A2276" t="s">
        <v>70</v>
      </c>
      <c r="B2276" t="s">
        <v>71</v>
      </c>
      <c r="C2276" t="s">
        <v>32</v>
      </c>
      <c r="D2276" t="s">
        <v>11</v>
      </c>
      <c r="E2276">
        <v>2022</v>
      </c>
      <c r="F2276" t="s">
        <v>22</v>
      </c>
      <c r="G2276" t="s">
        <v>17</v>
      </c>
      <c r="H2276" s="2">
        <v>7801.79</v>
      </c>
    </row>
    <row r="2277" spans="1:8">
      <c r="A2277" t="s">
        <v>70</v>
      </c>
      <c r="B2277" t="s">
        <v>71</v>
      </c>
      <c r="C2277" t="s">
        <v>32</v>
      </c>
      <c r="D2277" t="s">
        <v>11</v>
      </c>
      <c r="E2277">
        <v>2022</v>
      </c>
      <c r="F2277" t="s">
        <v>18</v>
      </c>
      <c r="G2277" t="s">
        <v>19</v>
      </c>
      <c r="H2277" s="2">
        <v>291.27</v>
      </c>
    </row>
    <row r="2278" spans="1:8">
      <c r="A2278" t="s">
        <v>70</v>
      </c>
      <c r="B2278" t="s">
        <v>71</v>
      </c>
      <c r="C2278" t="s">
        <v>32</v>
      </c>
      <c r="D2278" t="s">
        <v>11</v>
      </c>
      <c r="E2278">
        <v>2022</v>
      </c>
      <c r="F2278" t="s">
        <v>20</v>
      </c>
      <c r="G2278" t="s">
        <v>19</v>
      </c>
      <c r="H2278" s="2">
        <v>0</v>
      </c>
    </row>
    <row r="2279" spans="1:8">
      <c r="A2279" t="s">
        <v>70</v>
      </c>
      <c r="B2279" t="s">
        <v>71</v>
      </c>
      <c r="C2279" t="s">
        <v>32</v>
      </c>
      <c r="D2279" t="s">
        <v>11</v>
      </c>
      <c r="E2279">
        <v>2023</v>
      </c>
      <c r="F2279" t="s">
        <v>16</v>
      </c>
      <c r="G2279" t="s">
        <v>15</v>
      </c>
      <c r="H2279" s="2">
        <v>17004.55</v>
      </c>
    </row>
    <row r="2280" spans="1:8">
      <c r="A2280" t="s">
        <v>70</v>
      </c>
      <c r="B2280" t="s">
        <v>71</v>
      </c>
      <c r="C2280" t="s">
        <v>32</v>
      </c>
      <c r="D2280" t="s">
        <v>11</v>
      </c>
      <c r="E2280">
        <v>2024</v>
      </c>
      <c r="F2280" t="s">
        <v>12</v>
      </c>
      <c r="G2280" t="s">
        <v>13</v>
      </c>
      <c r="H2280" s="2">
        <v>9223.15</v>
      </c>
    </row>
    <row r="2281" spans="1:8">
      <c r="A2281" t="s">
        <v>70</v>
      </c>
      <c r="B2281" t="s">
        <v>71</v>
      </c>
      <c r="C2281" t="s">
        <v>32</v>
      </c>
      <c r="D2281" t="s">
        <v>11</v>
      </c>
      <c r="E2281">
        <v>2024</v>
      </c>
      <c r="F2281" t="s">
        <v>18</v>
      </c>
      <c r="G2281" t="s">
        <v>13</v>
      </c>
      <c r="H2281" s="2">
        <v>4683.82</v>
      </c>
    </row>
    <row r="2282" spans="1:8">
      <c r="A2282" t="s">
        <v>70</v>
      </c>
      <c r="B2282" t="s">
        <v>71</v>
      </c>
      <c r="C2282" t="s">
        <v>32</v>
      </c>
      <c r="D2282" t="s">
        <v>11</v>
      </c>
      <c r="E2282">
        <v>2024</v>
      </c>
      <c r="F2282" t="s">
        <v>14</v>
      </c>
      <c r="G2282" t="s">
        <v>19</v>
      </c>
      <c r="H2282" s="2">
        <v>0</v>
      </c>
    </row>
    <row r="2283" spans="1:8">
      <c r="A2283" t="s">
        <v>70</v>
      </c>
      <c r="B2283" t="s">
        <v>71</v>
      </c>
      <c r="C2283" t="s">
        <v>32</v>
      </c>
      <c r="D2283" t="s">
        <v>11</v>
      </c>
      <c r="E2283">
        <v>2024</v>
      </c>
      <c r="F2283" t="s">
        <v>21</v>
      </c>
      <c r="G2283" t="s">
        <v>19</v>
      </c>
      <c r="H2283" s="2">
        <v>0</v>
      </c>
    </row>
    <row r="2284" spans="1:8">
      <c r="A2284" t="s">
        <v>72</v>
      </c>
      <c r="B2284" t="s">
        <v>73</v>
      </c>
      <c r="C2284" t="s">
        <v>25</v>
      </c>
      <c r="D2284" t="s">
        <v>11</v>
      </c>
      <c r="E2284">
        <v>1990</v>
      </c>
      <c r="F2284" t="s">
        <v>20</v>
      </c>
      <c r="G2284" t="s">
        <v>17</v>
      </c>
      <c r="H2284" s="2">
        <v>-61.06</v>
      </c>
    </row>
    <row r="2285" spans="1:8">
      <c r="A2285" t="s">
        <v>72</v>
      </c>
      <c r="B2285" t="s">
        <v>73</v>
      </c>
      <c r="C2285" t="s">
        <v>25</v>
      </c>
      <c r="D2285" t="s">
        <v>11</v>
      </c>
      <c r="E2285">
        <v>1990</v>
      </c>
      <c r="F2285" t="s">
        <v>14</v>
      </c>
      <c r="G2285" t="s">
        <v>17</v>
      </c>
      <c r="H2285" s="2">
        <v>2884.64</v>
      </c>
    </row>
    <row r="2286" spans="1:8">
      <c r="A2286" t="s">
        <v>72</v>
      </c>
      <c r="B2286" t="s">
        <v>73</v>
      </c>
      <c r="C2286" t="s">
        <v>25</v>
      </c>
      <c r="D2286" t="s">
        <v>11</v>
      </c>
      <c r="E2286">
        <v>1991</v>
      </c>
      <c r="F2286" t="s">
        <v>22</v>
      </c>
      <c r="G2286" t="s">
        <v>19</v>
      </c>
      <c r="H2286" s="2">
        <v>0</v>
      </c>
    </row>
    <row r="2287" spans="1:8">
      <c r="A2287" t="s">
        <v>72</v>
      </c>
      <c r="B2287" t="s">
        <v>73</v>
      </c>
      <c r="C2287" t="s">
        <v>25</v>
      </c>
      <c r="D2287" t="s">
        <v>11</v>
      </c>
      <c r="E2287">
        <v>1991</v>
      </c>
      <c r="F2287" t="s">
        <v>18</v>
      </c>
      <c r="G2287" t="s">
        <v>15</v>
      </c>
      <c r="H2287" s="2">
        <v>9588.0499999999993</v>
      </c>
    </row>
    <row r="2288" spans="1:8">
      <c r="A2288" t="s">
        <v>72</v>
      </c>
      <c r="B2288" t="s">
        <v>73</v>
      </c>
      <c r="C2288" t="s">
        <v>25</v>
      </c>
      <c r="D2288" t="s">
        <v>11</v>
      </c>
      <c r="E2288">
        <v>1991</v>
      </c>
      <c r="F2288" t="s">
        <v>20</v>
      </c>
      <c r="G2288" t="s">
        <v>17</v>
      </c>
      <c r="H2288" s="2">
        <v>-58.09</v>
      </c>
    </row>
    <row r="2289" spans="1:8">
      <c r="A2289" t="s">
        <v>72</v>
      </c>
      <c r="B2289" t="s">
        <v>73</v>
      </c>
      <c r="C2289" t="s">
        <v>25</v>
      </c>
      <c r="D2289" t="s">
        <v>11</v>
      </c>
      <c r="E2289">
        <v>1992</v>
      </c>
      <c r="F2289" t="s">
        <v>18</v>
      </c>
      <c r="G2289" t="s">
        <v>13</v>
      </c>
      <c r="H2289" s="2">
        <v>178642.02</v>
      </c>
    </row>
    <row r="2290" spans="1:8">
      <c r="A2290" t="s">
        <v>72</v>
      </c>
      <c r="B2290" t="s">
        <v>73</v>
      </c>
      <c r="C2290" t="s">
        <v>25</v>
      </c>
      <c r="D2290" t="s">
        <v>11</v>
      </c>
      <c r="E2290">
        <v>1992</v>
      </c>
      <c r="F2290" t="s">
        <v>20</v>
      </c>
      <c r="G2290" t="s">
        <v>13</v>
      </c>
      <c r="H2290" s="2">
        <v>-6723.21</v>
      </c>
    </row>
    <row r="2291" spans="1:8">
      <c r="A2291" t="s">
        <v>72</v>
      </c>
      <c r="B2291" t="s">
        <v>73</v>
      </c>
      <c r="C2291" t="s">
        <v>25</v>
      </c>
      <c r="D2291" t="s">
        <v>11</v>
      </c>
      <c r="E2291">
        <v>1994</v>
      </c>
      <c r="F2291" t="s">
        <v>22</v>
      </c>
      <c r="G2291" t="s">
        <v>17</v>
      </c>
      <c r="H2291" s="2">
        <v>17063.830000000002</v>
      </c>
    </row>
    <row r="2292" spans="1:8">
      <c r="A2292" t="s">
        <v>72</v>
      </c>
      <c r="B2292" t="s">
        <v>73</v>
      </c>
      <c r="C2292" t="s">
        <v>25</v>
      </c>
      <c r="D2292" t="s">
        <v>11</v>
      </c>
      <c r="E2292">
        <v>1995</v>
      </c>
      <c r="F2292" t="s">
        <v>18</v>
      </c>
      <c r="G2292" t="s">
        <v>17</v>
      </c>
      <c r="H2292" s="2">
        <v>10715.34</v>
      </c>
    </row>
    <row r="2293" spans="1:8">
      <c r="A2293" t="s">
        <v>72</v>
      </c>
      <c r="B2293" t="s">
        <v>73</v>
      </c>
      <c r="C2293" t="s">
        <v>25</v>
      </c>
      <c r="D2293" t="s">
        <v>11</v>
      </c>
      <c r="E2293">
        <v>1996</v>
      </c>
      <c r="F2293" t="s">
        <v>14</v>
      </c>
      <c r="G2293" t="s">
        <v>15</v>
      </c>
      <c r="H2293" s="2">
        <v>4977.3</v>
      </c>
    </row>
    <row r="2294" spans="1:8">
      <c r="A2294" t="s">
        <v>72</v>
      </c>
      <c r="B2294" t="s">
        <v>73</v>
      </c>
      <c r="C2294" t="s">
        <v>25</v>
      </c>
      <c r="D2294" t="s">
        <v>11</v>
      </c>
      <c r="E2294">
        <v>1996</v>
      </c>
      <c r="F2294" t="s">
        <v>14</v>
      </c>
      <c r="G2294" t="s">
        <v>13</v>
      </c>
      <c r="H2294" s="2">
        <v>153843.76999999999</v>
      </c>
    </row>
    <row r="2295" spans="1:8">
      <c r="A2295" t="s">
        <v>72</v>
      </c>
      <c r="B2295" t="s">
        <v>73</v>
      </c>
      <c r="C2295" t="s">
        <v>25</v>
      </c>
      <c r="D2295" t="s">
        <v>11</v>
      </c>
      <c r="E2295">
        <v>1997</v>
      </c>
      <c r="F2295" t="s">
        <v>16</v>
      </c>
      <c r="G2295" t="s">
        <v>15</v>
      </c>
      <c r="H2295" s="2">
        <v>66080</v>
      </c>
    </row>
    <row r="2296" spans="1:8">
      <c r="A2296" t="s">
        <v>72</v>
      </c>
      <c r="B2296" t="s">
        <v>73</v>
      </c>
      <c r="C2296" t="s">
        <v>25</v>
      </c>
      <c r="D2296" t="s">
        <v>11</v>
      </c>
      <c r="E2296">
        <v>1998</v>
      </c>
      <c r="F2296" t="s">
        <v>14</v>
      </c>
      <c r="G2296" t="s">
        <v>19</v>
      </c>
      <c r="H2296" s="2">
        <v>0</v>
      </c>
    </row>
    <row r="2297" spans="1:8">
      <c r="A2297" t="s">
        <v>72</v>
      </c>
      <c r="B2297" t="s">
        <v>73</v>
      </c>
      <c r="C2297" t="s">
        <v>25</v>
      </c>
      <c r="D2297" t="s">
        <v>11</v>
      </c>
      <c r="E2297">
        <v>1998</v>
      </c>
      <c r="F2297" t="s">
        <v>14</v>
      </c>
      <c r="G2297" t="s">
        <v>17</v>
      </c>
      <c r="H2297" s="2">
        <v>2966.93</v>
      </c>
    </row>
    <row r="2298" spans="1:8">
      <c r="A2298" t="s">
        <v>72</v>
      </c>
      <c r="B2298" t="s">
        <v>73</v>
      </c>
      <c r="C2298" t="s">
        <v>25</v>
      </c>
      <c r="D2298" t="s">
        <v>11</v>
      </c>
      <c r="E2298">
        <v>1998</v>
      </c>
      <c r="F2298" t="s">
        <v>16</v>
      </c>
      <c r="G2298" t="s">
        <v>15</v>
      </c>
      <c r="H2298" s="2">
        <v>63567.69</v>
      </c>
    </row>
    <row r="2299" spans="1:8">
      <c r="A2299" t="s">
        <v>72</v>
      </c>
      <c r="B2299" t="s">
        <v>73</v>
      </c>
      <c r="C2299" t="s">
        <v>25</v>
      </c>
      <c r="D2299" t="s">
        <v>11</v>
      </c>
      <c r="E2299">
        <v>1999</v>
      </c>
      <c r="F2299" t="s">
        <v>18</v>
      </c>
      <c r="G2299" t="s">
        <v>15</v>
      </c>
      <c r="H2299" s="2">
        <v>11846.82</v>
      </c>
    </row>
    <row r="2300" spans="1:8">
      <c r="A2300" t="s">
        <v>72</v>
      </c>
      <c r="B2300" t="s">
        <v>73</v>
      </c>
      <c r="C2300" t="s">
        <v>25</v>
      </c>
      <c r="D2300" t="s">
        <v>11</v>
      </c>
      <c r="E2300">
        <v>1999</v>
      </c>
      <c r="F2300" t="s">
        <v>16</v>
      </c>
      <c r="G2300" t="s">
        <v>17</v>
      </c>
      <c r="H2300" s="2">
        <v>4580.0600000000004</v>
      </c>
    </row>
    <row r="2301" spans="1:8">
      <c r="A2301" t="s">
        <v>72</v>
      </c>
      <c r="B2301" t="s">
        <v>73</v>
      </c>
      <c r="C2301" t="s">
        <v>25</v>
      </c>
      <c r="D2301" t="s">
        <v>11</v>
      </c>
      <c r="E2301">
        <v>2000</v>
      </c>
      <c r="F2301" t="s">
        <v>22</v>
      </c>
      <c r="G2301" t="s">
        <v>13</v>
      </c>
      <c r="H2301" s="2">
        <v>11845.05</v>
      </c>
    </row>
    <row r="2302" spans="1:8">
      <c r="A2302" t="s">
        <v>72</v>
      </c>
      <c r="B2302" t="s">
        <v>73</v>
      </c>
      <c r="C2302" t="s">
        <v>25</v>
      </c>
      <c r="D2302" t="s">
        <v>11</v>
      </c>
      <c r="E2302">
        <v>2000</v>
      </c>
      <c r="F2302" t="s">
        <v>22</v>
      </c>
      <c r="G2302" t="s">
        <v>19</v>
      </c>
      <c r="H2302" s="2">
        <v>0</v>
      </c>
    </row>
    <row r="2303" spans="1:8">
      <c r="A2303" t="s">
        <v>72</v>
      </c>
      <c r="B2303" t="s">
        <v>73</v>
      </c>
      <c r="C2303" t="s">
        <v>25</v>
      </c>
      <c r="D2303" t="s">
        <v>11</v>
      </c>
      <c r="E2303">
        <v>2000</v>
      </c>
      <c r="F2303" t="s">
        <v>18</v>
      </c>
      <c r="G2303" t="s">
        <v>17</v>
      </c>
      <c r="H2303" s="2">
        <v>12036.04</v>
      </c>
    </row>
    <row r="2304" spans="1:8">
      <c r="A2304" t="s">
        <v>72</v>
      </c>
      <c r="B2304" t="s">
        <v>73</v>
      </c>
      <c r="C2304" t="s">
        <v>25</v>
      </c>
      <c r="D2304" t="s">
        <v>11</v>
      </c>
      <c r="E2304">
        <v>2000</v>
      </c>
      <c r="F2304" t="s">
        <v>20</v>
      </c>
      <c r="G2304" t="s">
        <v>13</v>
      </c>
      <c r="H2304" s="2">
        <v>-7846.14</v>
      </c>
    </row>
    <row r="2305" spans="1:8">
      <c r="A2305" t="s">
        <v>72</v>
      </c>
      <c r="B2305" t="s">
        <v>73</v>
      </c>
      <c r="C2305" t="s">
        <v>25</v>
      </c>
      <c r="D2305" t="s">
        <v>11</v>
      </c>
      <c r="E2305">
        <v>2000</v>
      </c>
      <c r="F2305" t="s">
        <v>14</v>
      </c>
      <c r="G2305" t="s">
        <v>13</v>
      </c>
      <c r="H2305" s="2">
        <v>185044.02</v>
      </c>
    </row>
    <row r="2306" spans="1:8">
      <c r="A2306" t="s">
        <v>72</v>
      </c>
      <c r="B2306" t="s">
        <v>73</v>
      </c>
      <c r="C2306" t="s">
        <v>25</v>
      </c>
      <c r="D2306" t="s">
        <v>11</v>
      </c>
      <c r="E2306">
        <v>2000</v>
      </c>
      <c r="F2306" t="s">
        <v>21</v>
      </c>
      <c r="G2306" t="s">
        <v>15</v>
      </c>
      <c r="H2306" s="2">
        <v>3226.34</v>
      </c>
    </row>
    <row r="2307" spans="1:8">
      <c r="A2307" t="s">
        <v>72</v>
      </c>
      <c r="B2307" t="s">
        <v>73</v>
      </c>
      <c r="C2307" t="s">
        <v>25</v>
      </c>
      <c r="D2307" t="s">
        <v>11</v>
      </c>
      <c r="E2307">
        <v>2000</v>
      </c>
      <c r="F2307" t="s">
        <v>16</v>
      </c>
      <c r="G2307" t="s">
        <v>17</v>
      </c>
      <c r="H2307" s="2">
        <v>4829.8599999999997</v>
      </c>
    </row>
    <row r="2308" spans="1:8">
      <c r="A2308" t="s">
        <v>72</v>
      </c>
      <c r="B2308" t="s">
        <v>73</v>
      </c>
      <c r="C2308" t="s">
        <v>25</v>
      </c>
      <c r="D2308" t="s">
        <v>11</v>
      </c>
      <c r="E2308">
        <v>2001</v>
      </c>
      <c r="F2308" t="s">
        <v>22</v>
      </c>
      <c r="G2308" t="s">
        <v>15</v>
      </c>
      <c r="H2308" s="2">
        <v>83224.320000000007</v>
      </c>
    </row>
    <row r="2309" spans="1:8">
      <c r="A2309" t="s">
        <v>72</v>
      </c>
      <c r="B2309" t="s">
        <v>73</v>
      </c>
      <c r="C2309" t="s">
        <v>25</v>
      </c>
      <c r="D2309" t="s">
        <v>11</v>
      </c>
      <c r="E2309">
        <v>2001</v>
      </c>
      <c r="F2309" t="s">
        <v>18</v>
      </c>
      <c r="G2309" t="s">
        <v>15</v>
      </c>
      <c r="H2309" s="2">
        <v>11738.8</v>
      </c>
    </row>
    <row r="2310" spans="1:8">
      <c r="A2310" t="s">
        <v>72</v>
      </c>
      <c r="B2310" t="s">
        <v>73</v>
      </c>
      <c r="C2310" t="s">
        <v>25</v>
      </c>
      <c r="D2310" t="s">
        <v>11</v>
      </c>
      <c r="E2310">
        <v>2001</v>
      </c>
      <c r="F2310" t="s">
        <v>20</v>
      </c>
      <c r="G2310" t="s">
        <v>15</v>
      </c>
      <c r="H2310" s="2">
        <v>-78.209999999999994</v>
      </c>
    </row>
    <row r="2311" spans="1:8">
      <c r="A2311" t="s">
        <v>72</v>
      </c>
      <c r="B2311" t="s">
        <v>73</v>
      </c>
      <c r="C2311" t="s">
        <v>25</v>
      </c>
      <c r="D2311" t="s">
        <v>11</v>
      </c>
      <c r="E2311">
        <v>2001</v>
      </c>
      <c r="F2311" t="s">
        <v>14</v>
      </c>
      <c r="G2311" t="s">
        <v>19</v>
      </c>
      <c r="H2311" s="2">
        <v>0</v>
      </c>
    </row>
    <row r="2312" spans="1:8">
      <c r="A2312" t="s">
        <v>72</v>
      </c>
      <c r="B2312" t="s">
        <v>73</v>
      </c>
      <c r="C2312" t="s">
        <v>25</v>
      </c>
      <c r="D2312" t="s">
        <v>11</v>
      </c>
      <c r="E2312">
        <v>2001</v>
      </c>
      <c r="F2312" t="s">
        <v>21</v>
      </c>
      <c r="G2312" t="s">
        <v>17</v>
      </c>
      <c r="H2312" s="2">
        <v>1682.22</v>
      </c>
    </row>
    <row r="2313" spans="1:8">
      <c r="A2313" t="s">
        <v>72</v>
      </c>
      <c r="B2313" t="s">
        <v>73</v>
      </c>
      <c r="C2313" t="s">
        <v>25</v>
      </c>
      <c r="D2313" t="s">
        <v>11</v>
      </c>
      <c r="E2313">
        <v>2001</v>
      </c>
      <c r="F2313" t="s">
        <v>16</v>
      </c>
      <c r="G2313" t="s">
        <v>17</v>
      </c>
      <c r="H2313" s="2">
        <v>4867.9399999999996</v>
      </c>
    </row>
    <row r="2314" spans="1:8">
      <c r="A2314" t="s">
        <v>72</v>
      </c>
      <c r="B2314" t="s">
        <v>73</v>
      </c>
      <c r="C2314" t="s">
        <v>25</v>
      </c>
      <c r="D2314" t="s">
        <v>11</v>
      </c>
      <c r="E2314">
        <v>2002</v>
      </c>
      <c r="F2314" t="s">
        <v>18</v>
      </c>
      <c r="G2314" t="s">
        <v>17</v>
      </c>
      <c r="H2314" s="2">
        <v>11382.5</v>
      </c>
    </row>
    <row r="2315" spans="1:8">
      <c r="A2315" t="s">
        <v>72</v>
      </c>
      <c r="B2315" t="s">
        <v>73</v>
      </c>
      <c r="C2315" t="s">
        <v>25</v>
      </c>
      <c r="D2315" t="s">
        <v>11</v>
      </c>
      <c r="E2315">
        <v>2002</v>
      </c>
      <c r="F2315" t="s">
        <v>14</v>
      </c>
      <c r="G2315" t="s">
        <v>17</v>
      </c>
      <c r="H2315" s="2">
        <v>3583.81</v>
      </c>
    </row>
    <row r="2316" spans="1:8">
      <c r="A2316" t="s">
        <v>72</v>
      </c>
      <c r="B2316" t="s">
        <v>73</v>
      </c>
      <c r="C2316" t="s">
        <v>25</v>
      </c>
      <c r="D2316" t="s">
        <v>11</v>
      </c>
      <c r="E2316">
        <v>2002</v>
      </c>
      <c r="F2316" t="s">
        <v>21</v>
      </c>
      <c r="G2316" t="s">
        <v>17</v>
      </c>
      <c r="H2316" s="2">
        <v>1644.26</v>
      </c>
    </row>
    <row r="2317" spans="1:8">
      <c r="A2317" t="s">
        <v>72</v>
      </c>
      <c r="B2317" t="s">
        <v>73</v>
      </c>
      <c r="C2317" t="s">
        <v>25</v>
      </c>
      <c r="D2317" t="s">
        <v>11</v>
      </c>
      <c r="E2317">
        <v>2002</v>
      </c>
      <c r="F2317" t="s">
        <v>16</v>
      </c>
      <c r="G2317" t="s">
        <v>13</v>
      </c>
      <c r="H2317" s="2">
        <v>15567.59</v>
      </c>
    </row>
    <row r="2318" spans="1:8">
      <c r="A2318" t="s">
        <v>72</v>
      </c>
      <c r="B2318" t="s">
        <v>73</v>
      </c>
      <c r="C2318" t="s">
        <v>25</v>
      </c>
      <c r="D2318" t="s">
        <v>11</v>
      </c>
      <c r="E2318">
        <v>2003</v>
      </c>
      <c r="F2318" t="s">
        <v>12</v>
      </c>
      <c r="G2318" t="s">
        <v>13</v>
      </c>
      <c r="H2318" s="2">
        <v>154733.39000000001</v>
      </c>
    </row>
    <row r="2319" spans="1:8">
      <c r="A2319" t="s">
        <v>72</v>
      </c>
      <c r="B2319" t="s">
        <v>73</v>
      </c>
      <c r="C2319" t="s">
        <v>25</v>
      </c>
      <c r="D2319" t="s">
        <v>11</v>
      </c>
      <c r="E2319">
        <v>2003</v>
      </c>
      <c r="F2319" t="s">
        <v>20</v>
      </c>
      <c r="G2319" t="s">
        <v>17</v>
      </c>
      <c r="H2319" s="2">
        <v>-65.58</v>
      </c>
    </row>
    <row r="2320" spans="1:8">
      <c r="A2320" t="s">
        <v>72</v>
      </c>
      <c r="B2320" t="s">
        <v>73</v>
      </c>
      <c r="C2320" t="s">
        <v>25</v>
      </c>
      <c r="D2320" t="s">
        <v>11</v>
      </c>
      <c r="E2320">
        <v>2004</v>
      </c>
      <c r="F2320" t="s">
        <v>22</v>
      </c>
      <c r="G2320" t="s">
        <v>19</v>
      </c>
      <c r="H2320" s="2">
        <v>0</v>
      </c>
    </row>
    <row r="2321" spans="1:8">
      <c r="A2321" t="s">
        <v>72</v>
      </c>
      <c r="B2321" t="s">
        <v>73</v>
      </c>
      <c r="C2321" t="s">
        <v>25</v>
      </c>
      <c r="D2321" t="s">
        <v>11</v>
      </c>
      <c r="E2321">
        <v>2004</v>
      </c>
      <c r="F2321" t="s">
        <v>22</v>
      </c>
      <c r="G2321" t="s">
        <v>17</v>
      </c>
      <c r="H2321" s="2">
        <v>24690.15</v>
      </c>
    </row>
    <row r="2322" spans="1:8">
      <c r="A2322" t="s">
        <v>72</v>
      </c>
      <c r="B2322" t="s">
        <v>73</v>
      </c>
      <c r="C2322" t="s">
        <v>25</v>
      </c>
      <c r="D2322" t="s">
        <v>11</v>
      </c>
      <c r="E2322">
        <v>2004</v>
      </c>
      <c r="F2322" t="s">
        <v>12</v>
      </c>
      <c r="G2322" t="s">
        <v>13</v>
      </c>
      <c r="H2322" s="2">
        <v>175603.65</v>
      </c>
    </row>
    <row r="2323" spans="1:8">
      <c r="A2323" t="s">
        <v>72</v>
      </c>
      <c r="B2323" t="s">
        <v>73</v>
      </c>
      <c r="C2323" t="s">
        <v>25</v>
      </c>
      <c r="D2323" t="s">
        <v>11</v>
      </c>
      <c r="E2323">
        <v>2004</v>
      </c>
      <c r="F2323" t="s">
        <v>21</v>
      </c>
      <c r="G2323" t="s">
        <v>17</v>
      </c>
      <c r="H2323" s="2">
        <v>1701.35</v>
      </c>
    </row>
    <row r="2324" spans="1:8">
      <c r="A2324" t="s">
        <v>72</v>
      </c>
      <c r="B2324" t="s">
        <v>73</v>
      </c>
      <c r="C2324" t="s">
        <v>25</v>
      </c>
      <c r="D2324" t="s">
        <v>11</v>
      </c>
      <c r="E2324">
        <v>2004</v>
      </c>
      <c r="F2324" t="s">
        <v>16</v>
      </c>
      <c r="G2324" t="s">
        <v>15</v>
      </c>
      <c r="H2324" s="2">
        <v>82898.880000000005</v>
      </c>
    </row>
    <row r="2325" spans="1:8">
      <c r="A2325" t="s">
        <v>72</v>
      </c>
      <c r="B2325" t="s">
        <v>73</v>
      </c>
      <c r="C2325" t="s">
        <v>25</v>
      </c>
      <c r="D2325" t="s">
        <v>11</v>
      </c>
      <c r="E2325">
        <v>2005</v>
      </c>
      <c r="F2325" t="s">
        <v>21</v>
      </c>
      <c r="G2325" t="s">
        <v>15</v>
      </c>
      <c r="H2325" s="2">
        <v>3611.94</v>
      </c>
    </row>
    <row r="2326" spans="1:8">
      <c r="A2326" t="s">
        <v>72</v>
      </c>
      <c r="B2326" t="s">
        <v>73</v>
      </c>
      <c r="C2326" t="s">
        <v>25</v>
      </c>
      <c r="D2326" t="s">
        <v>11</v>
      </c>
      <c r="E2326">
        <v>2006</v>
      </c>
      <c r="F2326" t="s">
        <v>12</v>
      </c>
      <c r="G2326" t="s">
        <v>17</v>
      </c>
      <c r="H2326" s="2">
        <v>6300.99</v>
      </c>
    </row>
    <row r="2327" spans="1:8">
      <c r="A2327" t="s">
        <v>72</v>
      </c>
      <c r="B2327" t="s">
        <v>73</v>
      </c>
      <c r="C2327" t="s">
        <v>25</v>
      </c>
      <c r="D2327" t="s">
        <v>11</v>
      </c>
      <c r="E2327">
        <v>2006</v>
      </c>
      <c r="F2327" t="s">
        <v>16</v>
      </c>
      <c r="G2327" t="s">
        <v>15</v>
      </c>
      <c r="H2327" s="2">
        <v>82035.259999999995</v>
      </c>
    </row>
    <row r="2328" spans="1:8">
      <c r="A2328" t="s">
        <v>72</v>
      </c>
      <c r="B2328" t="s">
        <v>73</v>
      </c>
      <c r="C2328" t="s">
        <v>25</v>
      </c>
      <c r="D2328" t="s">
        <v>11</v>
      </c>
      <c r="E2328">
        <v>2007</v>
      </c>
      <c r="F2328" t="s">
        <v>18</v>
      </c>
      <c r="G2328" t="s">
        <v>13</v>
      </c>
      <c r="H2328" s="2">
        <v>208107.77</v>
      </c>
    </row>
    <row r="2329" spans="1:8">
      <c r="A2329" t="s">
        <v>72</v>
      </c>
      <c r="B2329" t="s">
        <v>73</v>
      </c>
      <c r="C2329" t="s">
        <v>25</v>
      </c>
      <c r="D2329" t="s">
        <v>11</v>
      </c>
      <c r="E2329">
        <v>2007</v>
      </c>
      <c r="F2329" t="s">
        <v>20</v>
      </c>
      <c r="G2329" t="s">
        <v>13</v>
      </c>
      <c r="H2329" s="2">
        <v>-8191.74</v>
      </c>
    </row>
    <row r="2330" spans="1:8">
      <c r="A2330" t="s">
        <v>72</v>
      </c>
      <c r="B2330" t="s">
        <v>73</v>
      </c>
      <c r="C2330" t="s">
        <v>25</v>
      </c>
      <c r="D2330" t="s">
        <v>11</v>
      </c>
      <c r="E2330">
        <v>2007</v>
      </c>
      <c r="F2330" t="s">
        <v>16</v>
      </c>
      <c r="G2330" t="s">
        <v>19</v>
      </c>
      <c r="H2330" s="2">
        <v>0</v>
      </c>
    </row>
    <row r="2331" spans="1:8">
      <c r="A2331" t="s">
        <v>72</v>
      </c>
      <c r="B2331" t="s">
        <v>73</v>
      </c>
      <c r="C2331" t="s">
        <v>25</v>
      </c>
      <c r="D2331" t="s">
        <v>11</v>
      </c>
      <c r="E2331">
        <v>2008</v>
      </c>
      <c r="F2331" t="s">
        <v>22</v>
      </c>
      <c r="G2331" t="s">
        <v>17</v>
      </c>
      <c r="H2331" s="2">
        <v>25436.78</v>
      </c>
    </row>
    <row r="2332" spans="1:8">
      <c r="A2332" t="s">
        <v>72</v>
      </c>
      <c r="B2332" t="s">
        <v>73</v>
      </c>
      <c r="C2332" t="s">
        <v>25</v>
      </c>
      <c r="D2332" t="s">
        <v>11</v>
      </c>
      <c r="E2332">
        <v>2008</v>
      </c>
      <c r="F2332" t="s">
        <v>18</v>
      </c>
      <c r="G2332" t="s">
        <v>15</v>
      </c>
      <c r="H2332" s="2">
        <v>12815.68</v>
      </c>
    </row>
    <row r="2333" spans="1:8">
      <c r="A2333" t="s">
        <v>72</v>
      </c>
      <c r="B2333" t="s">
        <v>73</v>
      </c>
      <c r="C2333" t="s">
        <v>25</v>
      </c>
      <c r="D2333" t="s">
        <v>11</v>
      </c>
      <c r="E2333">
        <v>2009</v>
      </c>
      <c r="F2333" t="s">
        <v>12</v>
      </c>
      <c r="G2333" t="s">
        <v>17</v>
      </c>
      <c r="H2333" s="2">
        <v>6103.25</v>
      </c>
    </row>
    <row r="2334" spans="1:8">
      <c r="A2334" t="s">
        <v>72</v>
      </c>
      <c r="B2334" t="s">
        <v>73</v>
      </c>
      <c r="C2334" t="s">
        <v>25</v>
      </c>
      <c r="D2334" t="s">
        <v>11</v>
      </c>
      <c r="E2334">
        <v>2009</v>
      </c>
      <c r="F2334" t="s">
        <v>21</v>
      </c>
      <c r="G2334" t="s">
        <v>13</v>
      </c>
      <c r="H2334" s="2">
        <v>155199.59</v>
      </c>
    </row>
    <row r="2335" spans="1:8">
      <c r="A2335" t="s">
        <v>72</v>
      </c>
      <c r="B2335" t="s">
        <v>73</v>
      </c>
      <c r="C2335" t="s">
        <v>25</v>
      </c>
      <c r="D2335" t="s">
        <v>11</v>
      </c>
      <c r="E2335">
        <v>2010</v>
      </c>
      <c r="F2335" t="s">
        <v>22</v>
      </c>
      <c r="G2335" t="s">
        <v>17</v>
      </c>
      <c r="H2335" s="2">
        <v>23293.4</v>
      </c>
    </row>
    <row r="2336" spans="1:8">
      <c r="A2336" t="s">
        <v>72</v>
      </c>
      <c r="B2336" t="s">
        <v>73</v>
      </c>
      <c r="C2336" t="s">
        <v>25</v>
      </c>
      <c r="D2336" t="s">
        <v>11</v>
      </c>
      <c r="E2336">
        <v>2010</v>
      </c>
      <c r="F2336" t="s">
        <v>20</v>
      </c>
      <c r="G2336" t="s">
        <v>13</v>
      </c>
      <c r="H2336" s="2">
        <v>-8403.8799999999992</v>
      </c>
    </row>
    <row r="2337" spans="1:8">
      <c r="A2337" t="s">
        <v>72</v>
      </c>
      <c r="B2337" t="s">
        <v>73</v>
      </c>
      <c r="C2337" t="s">
        <v>25</v>
      </c>
      <c r="D2337" t="s">
        <v>11</v>
      </c>
      <c r="E2337">
        <v>2010</v>
      </c>
      <c r="F2337" t="s">
        <v>14</v>
      </c>
      <c r="G2337" t="s">
        <v>15</v>
      </c>
      <c r="H2337" s="2">
        <v>6481.44</v>
      </c>
    </row>
    <row r="2338" spans="1:8">
      <c r="A2338" t="s">
        <v>72</v>
      </c>
      <c r="B2338" t="s">
        <v>73</v>
      </c>
      <c r="C2338" t="s">
        <v>25</v>
      </c>
      <c r="D2338" t="s">
        <v>11</v>
      </c>
      <c r="E2338">
        <v>2011</v>
      </c>
      <c r="F2338" t="s">
        <v>18</v>
      </c>
      <c r="G2338" t="s">
        <v>17</v>
      </c>
      <c r="H2338" s="2">
        <v>12274.35</v>
      </c>
    </row>
    <row r="2339" spans="1:8">
      <c r="A2339" t="s">
        <v>72</v>
      </c>
      <c r="B2339" t="s">
        <v>73</v>
      </c>
      <c r="C2339" t="s">
        <v>25</v>
      </c>
      <c r="D2339" t="s">
        <v>11</v>
      </c>
      <c r="E2339">
        <v>2011</v>
      </c>
      <c r="F2339" t="s">
        <v>21</v>
      </c>
      <c r="G2339" t="s">
        <v>15</v>
      </c>
      <c r="H2339" s="2">
        <v>3697.7</v>
      </c>
    </row>
    <row r="2340" spans="1:8">
      <c r="A2340" t="s">
        <v>72</v>
      </c>
      <c r="B2340" t="s">
        <v>73</v>
      </c>
      <c r="C2340" t="s">
        <v>25</v>
      </c>
      <c r="D2340" t="s">
        <v>11</v>
      </c>
      <c r="E2340">
        <v>2012</v>
      </c>
      <c r="F2340" t="s">
        <v>18</v>
      </c>
      <c r="G2340" t="s">
        <v>13</v>
      </c>
      <c r="H2340" s="2">
        <v>210276.81</v>
      </c>
    </row>
    <row r="2341" spans="1:8">
      <c r="A2341" t="s">
        <v>72</v>
      </c>
      <c r="B2341" t="s">
        <v>73</v>
      </c>
      <c r="C2341" t="s">
        <v>25</v>
      </c>
      <c r="D2341" t="s">
        <v>11</v>
      </c>
      <c r="E2341">
        <v>2013</v>
      </c>
      <c r="F2341" t="s">
        <v>22</v>
      </c>
      <c r="G2341" t="s">
        <v>15</v>
      </c>
      <c r="H2341" s="2">
        <v>84787.34</v>
      </c>
    </row>
    <row r="2342" spans="1:8">
      <c r="A2342" t="s">
        <v>72</v>
      </c>
      <c r="B2342" t="s">
        <v>73</v>
      </c>
      <c r="C2342" t="s">
        <v>25</v>
      </c>
      <c r="D2342" t="s">
        <v>11</v>
      </c>
      <c r="E2342">
        <v>2013</v>
      </c>
      <c r="F2342" t="s">
        <v>22</v>
      </c>
      <c r="G2342" t="s">
        <v>13</v>
      </c>
      <c r="H2342" s="2">
        <v>12082.96</v>
      </c>
    </row>
    <row r="2343" spans="1:8">
      <c r="A2343" t="s">
        <v>72</v>
      </c>
      <c r="B2343" t="s">
        <v>73</v>
      </c>
      <c r="C2343" t="s">
        <v>25</v>
      </c>
      <c r="D2343" t="s">
        <v>11</v>
      </c>
      <c r="E2343">
        <v>2013</v>
      </c>
      <c r="F2343" t="s">
        <v>14</v>
      </c>
      <c r="G2343" t="s">
        <v>15</v>
      </c>
      <c r="H2343" s="2">
        <v>6349</v>
      </c>
    </row>
    <row r="2344" spans="1:8">
      <c r="A2344" t="s">
        <v>72</v>
      </c>
      <c r="B2344" t="s">
        <v>73</v>
      </c>
      <c r="C2344" t="s">
        <v>25</v>
      </c>
      <c r="D2344" t="s">
        <v>11</v>
      </c>
      <c r="E2344">
        <v>2013</v>
      </c>
      <c r="F2344" t="s">
        <v>21</v>
      </c>
      <c r="G2344" t="s">
        <v>19</v>
      </c>
      <c r="H2344" s="2">
        <v>0</v>
      </c>
    </row>
    <row r="2345" spans="1:8">
      <c r="A2345" t="s">
        <v>72</v>
      </c>
      <c r="B2345" t="s">
        <v>73</v>
      </c>
      <c r="C2345" t="s">
        <v>25</v>
      </c>
      <c r="D2345" t="s">
        <v>11</v>
      </c>
      <c r="E2345">
        <v>2014</v>
      </c>
      <c r="F2345" t="s">
        <v>22</v>
      </c>
      <c r="G2345" t="s">
        <v>17</v>
      </c>
      <c r="H2345" s="2">
        <v>24040.22</v>
      </c>
    </row>
    <row r="2346" spans="1:8">
      <c r="A2346" t="s">
        <v>72</v>
      </c>
      <c r="B2346" t="s">
        <v>73</v>
      </c>
      <c r="C2346" t="s">
        <v>25</v>
      </c>
      <c r="D2346" t="s">
        <v>11</v>
      </c>
      <c r="E2346">
        <v>2014</v>
      </c>
      <c r="F2346" t="s">
        <v>20</v>
      </c>
      <c r="G2346" t="s">
        <v>13</v>
      </c>
      <c r="H2346" s="2">
        <v>-7896.21</v>
      </c>
    </row>
    <row r="2347" spans="1:8">
      <c r="A2347" t="s">
        <v>72</v>
      </c>
      <c r="B2347" t="s">
        <v>73</v>
      </c>
      <c r="C2347" t="s">
        <v>25</v>
      </c>
      <c r="D2347" t="s">
        <v>11</v>
      </c>
      <c r="E2347">
        <v>2015</v>
      </c>
      <c r="F2347" t="s">
        <v>12</v>
      </c>
      <c r="G2347" t="s">
        <v>15</v>
      </c>
      <c r="H2347" s="2">
        <v>13265.23</v>
      </c>
    </row>
    <row r="2348" spans="1:8">
      <c r="A2348" t="s">
        <v>72</v>
      </c>
      <c r="B2348" t="s">
        <v>73</v>
      </c>
      <c r="C2348" t="s">
        <v>25</v>
      </c>
      <c r="D2348" t="s">
        <v>11</v>
      </c>
      <c r="E2348">
        <v>2015</v>
      </c>
      <c r="F2348" t="s">
        <v>12</v>
      </c>
      <c r="G2348" t="s">
        <v>19</v>
      </c>
      <c r="H2348" s="2">
        <v>0</v>
      </c>
    </row>
    <row r="2349" spans="1:8">
      <c r="A2349" t="s">
        <v>72</v>
      </c>
      <c r="B2349" t="s">
        <v>73</v>
      </c>
      <c r="C2349" t="s">
        <v>25</v>
      </c>
      <c r="D2349" t="s">
        <v>11</v>
      </c>
      <c r="E2349">
        <v>2015</v>
      </c>
      <c r="F2349" t="s">
        <v>16</v>
      </c>
      <c r="G2349" t="s">
        <v>17</v>
      </c>
      <c r="H2349" s="2">
        <v>4765.49</v>
      </c>
    </row>
    <row r="2350" spans="1:8">
      <c r="A2350" t="s">
        <v>72</v>
      </c>
      <c r="B2350" t="s">
        <v>73</v>
      </c>
      <c r="C2350" t="s">
        <v>25</v>
      </c>
      <c r="D2350" t="s">
        <v>11</v>
      </c>
      <c r="E2350">
        <v>2016</v>
      </c>
      <c r="F2350" t="s">
        <v>18</v>
      </c>
      <c r="G2350" t="s">
        <v>15</v>
      </c>
      <c r="H2350" s="2">
        <v>12285.44</v>
      </c>
    </row>
    <row r="2351" spans="1:8">
      <c r="A2351" t="s">
        <v>72</v>
      </c>
      <c r="B2351" t="s">
        <v>73</v>
      </c>
      <c r="C2351" t="s">
        <v>25</v>
      </c>
      <c r="D2351" t="s">
        <v>11</v>
      </c>
      <c r="E2351">
        <v>2016</v>
      </c>
      <c r="F2351" t="s">
        <v>20</v>
      </c>
      <c r="G2351" t="s">
        <v>15</v>
      </c>
      <c r="H2351" s="2">
        <v>-81.83</v>
      </c>
    </row>
    <row r="2352" spans="1:8">
      <c r="A2352" t="s">
        <v>72</v>
      </c>
      <c r="B2352" t="s">
        <v>73</v>
      </c>
      <c r="C2352" t="s">
        <v>25</v>
      </c>
      <c r="D2352" t="s">
        <v>11</v>
      </c>
      <c r="E2352">
        <v>2016</v>
      </c>
      <c r="F2352" t="s">
        <v>14</v>
      </c>
      <c r="G2352" t="s">
        <v>15</v>
      </c>
      <c r="H2352" s="2">
        <v>5920.59</v>
      </c>
    </row>
    <row r="2353" spans="1:8">
      <c r="A2353" t="s">
        <v>72</v>
      </c>
      <c r="B2353" t="s">
        <v>73</v>
      </c>
      <c r="C2353" t="s">
        <v>25</v>
      </c>
      <c r="D2353" t="s">
        <v>11</v>
      </c>
      <c r="E2353">
        <v>2016</v>
      </c>
      <c r="F2353" t="s">
        <v>16</v>
      </c>
      <c r="G2353" t="s">
        <v>15</v>
      </c>
      <c r="H2353" s="2">
        <v>86441.16</v>
      </c>
    </row>
    <row r="2354" spans="1:8">
      <c r="A2354" t="s">
        <v>72</v>
      </c>
      <c r="B2354" t="s">
        <v>73</v>
      </c>
      <c r="C2354" t="s">
        <v>25</v>
      </c>
      <c r="D2354" t="s">
        <v>11</v>
      </c>
      <c r="E2354">
        <v>2017</v>
      </c>
      <c r="F2354" t="s">
        <v>12</v>
      </c>
      <c r="G2354" t="s">
        <v>17</v>
      </c>
      <c r="H2354" s="2">
        <v>6099.89</v>
      </c>
    </row>
    <row r="2355" spans="1:8">
      <c r="A2355" t="s">
        <v>72</v>
      </c>
      <c r="B2355" t="s">
        <v>73</v>
      </c>
      <c r="C2355" t="s">
        <v>25</v>
      </c>
      <c r="D2355" t="s">
        <v>11</v>
      </c>
      <c r="E2355">
        <v>2017</v>
      </c>
      <c r="F2355" t="s">
        <v>18</v>
      </c>
      <c r="G2355" t="s">
        <v>13</v>
      </c>
      <c r="H2355" s="2">
        <v>215256.98</v>
      </c>
    </row>
    <row r="2356" spans="1:8">
      <c r="A2356" t="s">
        <v>72</v>
      </c>
      <c r="B2356" t="s">
        <v>73</v>
      </c>
      <c r="C2356" t="s">
        <v>25</v>
      </c>
      <c r="D2356" t="s">
        <v>11</v>
      </c>
      <c r="E2356">
        <v>2017</v>
      </c>
      <c r="F2356" t="s">
        <v>21</v>
      </c>
      <c r="G2356" t="s">
        <v>15</v>
      </c>
      <c r="H2356" s="2">
        <v>3123.25</v>
      </c>
    </row>
    <row r="2357" spans="1:8">
      <c r="A2357" t="s">
        <v>72</v>
      </c>
      <c r="B2357" t="s">
        <v>73</v>
      </c>
      <c r="C2357" t="s">
        <v>25</v>
      </c>
      <c r="D2357" t="s">
        <v>11</v>
      </c>
      <c r="E2357">
        <v>2018</v>
      </c>
      <c r="F2357" t="s">
        <v>12</v>
      </c>
      <c r="G2357" t="s">
        <v>15</v>
      </c>
      <c r="H2357" s="2">
        <v>13653.97</v>
      </c>
    </row>
    <row r="2358" spans="1:8">
      <c r="A2358" t="s">
        <v>72</v>
      </c>
      <c r="B2358" t="s">
        <v>73</v>
      </c>
      <c r="C2358" t="s">
        <v>25</v>
      </c>
      <c r="D2358" t="s">
        <v>11</v>
      </c>
      <c r="E2358">
        <v>2018</v>
      </c>
      <c r="F2358" t="s">
        <v>12</v>
      </c>
      <c r="G2358" t="s">
        <v>13</v>
      </c>
      <c r="H2358" s="2">
        <v>166656.20000000001</v>
      </c>
    </row>
    <row r="2359" spans="1:8">
      <c r="A2359" t="s">
        <v>72</v>
      </c>
      <c r="B2359" t="s">
        <v>73</v>
      </c>
      <c r="C2359" t="s">
        <v>25</v>
      </c>
      <c r="D2359" t="s">
        <v>11</v>
      </c>
      <c r="E2359">
        <v>2019</v>
      </c>
      <c r="F2359" t="s">
        <v>12</v>
      </c>
      <c r="G2359" t="s">
        <v>13</v>
      </c>
      <c r="H2359" s="2">
        <v>178273.86</v>
      </c>
    </row>
    <row r="2360" spans="1:8">
      <c r="A2360" t="s">
        <v>72</v>
      </c>
      <c r="B2360" t="s">
        <v>73</v>
      </c>
      <c r="C2360" t="s">
        <v>25</v>
      </c>
      <c r="D2360" t="s">
        <v>11</v>
      </c>
      <c r="E2360">
        <v>2019</v>
      </c>
      <c r="F2360" t="s">
        <v>20</v>
      </c>
      <c r="G2360" t="s">
        <v>17</v>
      </c>
      <c r="H2360" s="2">
        <v>-82.28</v>
      </c>
    </row>
    <row r="2361" spans="1:8">
      <c r="A2361" t="s">
        <v>72</v>
      </c>
      <c r="B2361" t="s">
        <v>73</v>
      </c>
      <c r="C2361" t="s">
        <v>25</v>
      </c>
      <c r="D2361" t="s">
        <v>11</v>
      </c>
      <c r="E2361">
        <v>2019</v>
      </c>
      <c r="F2361" t="s">
        <v>14</v>
      </c>
      <c r="G2361" t="s">
        <v>17</v>
      </c>
      <c r="H2361" s="2">
        <v>3577.55</v>
      </c>
    </row>
    <row r="2362" spans="1:8">
      <c r="A2362" t="s">
        <v>72</v>
      </c>
      <c r="B2362" t="s">
        <v>73</v>
      </c>
      <c r="C2362" t="s">
        <v>25</v>
      </c>
      <c r="D2362" t="s">
        <v>11</v>
      </c>
      <c r="E2362">
        <v>2020</v>
      </c>
      <c r="F2362" t="s">
        <v>20</v>
      </c>
      <c r="G2362" t="s">
        <v>19</v>
      </c>
      <c r="H2362" s="2">
        <v>0</v>
      </c>
    </row>
    <row r="2363" spans="1:8">
      <c r="A2363" t="s">
        <v>72</v>
      </c>
      <c r="B2363" t="s">
        <v>73</v>
      </c>
      <c r="C2363" t="s">
        <v>25</v>
      </c>
      <c r="D2363" t="s">
        <v>11</v>
      </c>
      <c r="E2363">
        <v>2020</v>
      </c>
      <c r="F2363" t="s">
        <v>14</v>
      </c>
      <c r="G2363" t="s">
        <v>15</v>
      </c>
      <c r="H2363" s="2">
        <v>5518.8</v>
      </c>
    </row>
    <row r="2364" spans="1:8">
      <c r="A2364" t="s">
        <v>72</v>
      </c>
      <c r="B2364" t="s">
        <v>73</v>
      </c>
      <c r="C2364" t="s">
        <v>25</v>
      </c>
      <c r="D2364" t="s">
        <v>11</v>
      </c>
      <c r="E2364">
        <v>2021</v>
      </c>
      <c r="F2364" t="s">
        <v>12</v>
      </c>
      <c r="G2364" t="s">
        <v>13</v>
      </c>
      <c r="H2364" s="2">
        <v>200227.7</v>
      </c>
    </row>
    <row r="2365" spans="1:8">
      <c r="A2365" t="s">
        <v>72</v>
      </c>
      <c r="B2365" t="s">
        <v>73</v>
      </c>
      <c r="C2365" t="s">
        <v>25</v>
      </c>
      <c r="D2365" t="s">
        <v>11</v>
      </c>
      <c r="E2365">
        <v>2021</v>
      </c>
      <c r="F2365" t="s">
        <v>18</v>
      </c>
      <c r="G2365" t="s">
        <v>13</v>
      </c>
      <c r="H2365" s="2">
        <v>220483.49</v>
      </c>
    </row>
    <row r="2366" spans="1:8">
      <c r="A2366" t="s">
        <v>72</v>
      </c>
      <c r="B2366" t="s">
        <v>73</v>
      </c>
      <c r="C2366" t="s">
        <v>25</v>
      </c>
      <c r="D2366" t="s">
        <v>11</v>
      </c>
      <c r="E2366">
        <v>2021</v>
      </c>
      <c r="F2366" t="s">
        <v>18</v>
      </c>
      <c r="G2366" t="s">
        <v>19</v>
      </c>
      <c r="H2366" s="2">
        <v>12785.95</v>
      </c>
    </row>
    <row r="2367" spans="1:8">
      <c r="A2367" t="s">
        <v>72</v>
      </c>
      <c r="B2367" t="s">
        <v>73</v>
      </c>
      <c r="C2367" t="s">
        <v>25</v>
      </c>
      <c r="D2367" t="s">
        <v>11</v>
      </c>
      <c r="E2367">
        <v>2021</v>
      </c>
      <c r="F2367" t="s">
        <v>16</v>
      </c>
      <c r="G2367" t="s">
        <v>17</v>
      </c>
      <c r="H2367" s="2">
        <v>5702.02</v>
      </c>
    </row>
    <row r="2368" spans="1:8">
      <c r="A2368" t="s">
        <v>72</v>
      </c>
      <c r="B2368" t="s">
        <v>73</v>
      </c>
      <c r="C2368" t="s">
        <v>25</v>
      </c>
      <c r="D2368" t="s">
        <v>11</v>
      </c>
      <c r="E2368">
        <v>2022</v>
      </c>
      <c r="F2368" t="s">
        <v>22</v>
      </c>
      <c r="G2368" t="s">
        <v>13</v>
      </c>
      <c r="H2368" s="2">
        <v>12453.97</v>
      </c>
    </row>
    <row r="2369" spans="1:8">
      <c r="A2369" t="s">
        <v>72</v>
      </c>
      <c r="B2369" t="s">
        <v>73</v>
      </c>
      <c r="C2369" t="s">
        <v>25</v>
      </c>
      <c r="D2369" t="s">
        <v>11</v>
      </c>
      <c r="E2369">
        <v>2022</v>
      </c>
      <c r="F2369" t="s">
        <v>16</v>
      </c>
      <c r="G2369" t="s">
        <v>13</v>
      </c>
      <c r="H2369" s="2">
        <v>14149.89</v>
      </c>
    </row>
    <row r="2370" spans="1:8">
      <c r="A2370" t="s">
        <v>72</v>
      </c>
      <c r="B2370" t="s">
        <v>73</v>
      </c>
      <c r="C2370" t="s">
        <v>25</v>
      </c>
      <c r="D2370" t="s">
        <v>11</v>
      </c>
      <c r="E2370">
        <v>2022</v>
      </c>
      <c r="F2370" t="s">
        <v>16</v>
      </c>
      <c r="G2370" t="s">
        <v>19</v>
      </c>
      <c r="H2370" s="2">
        <v>0</v>
      </c>
    </row>
    <row r="2371" spans="1:8">
      <c r="A2371" t="s">
        <v>72</v>
      </c>
      <c r="B2371" t="s">
        <v>73</v>
      </c>
      <c r="C2371" t="s">
        <v>25</v>
      </c>
      <c r="D2371" t="s">
        <v>11</v>
      </c>
      <c r="E2371">
        <v>2023</v>
      </c>
      <c r="F2371" t="s">
        <v>18</v>
      </c>
      <c r="G2371" t="s">
        <v>13</v>
      </c>
      <c r="H2371" s="2">
        <v>216176.95</v>
      </c>
    </row>
    <row r="2372" spans="1:8">
      <c r="A2372" t="s">
        <v>72</v>
      </c>
      <c r="B2372" t="s">
        <v>73</v>
      </c>
      <c r="C2372" t="s">
        <v>25</v>
      </c>
      <c r="D2372" t="s">
        <v>11</v>
      </c>
      <c r="E2372">
        <v>2023</v>
      </c>
      <c r="F2372" t="s">
        <v>21</v>
      </c>
      <c r="G2372" t="s">
        <v>13</v>
      </c>
      <c r="H2372" s="2">
        <v>163176.39000000001</v>
      </c>
    </row>
    <row r="2373" spans="1:8">
      <c r="A2373" t="s">
        <v>72</v>
      </c>
      <c r="B2373" t="s">
        <v>73</v>
      </c>
      <c r="C2373" t="s">
        <v>25</v>
      </c>
      <c r="D2373" t="s">
        <v>11</v>
      </c>
      <c r="E2373">
        <v>2023</v>
      </c>
      <c r="F2373" t="s">
        <v>16</v>
      </c>
      <c r="G2373" t="s">
        <v>15</v>
      </c>
      <c r="H2373" s="2">
        <v>72451.179999999993</v>
      </c>
    </row>
    <row r="2374" spans="1:8">
      <c r="A2374" t="s">
        <v>74</v>
      </c>
      <c r="B2374" t="s">
        <v>75</v>
      </c>
      <c r="C2374" t="s">
        <v>10</v>
      </c>
      <c r="D2374" t="s">
        <v>33</v>
      </c>
      <c r="E2374">
        <v>1990</v>
      </c>
      <c r="F2374" t="s">
        <v>21</v>
      </c>
      <c r="G2374" t="s">
        <v>13</v>
      </c>
      <c r="H2374" s="2">
        <v>19820.990000000002</v>
      </c>
    </row>
    <row r="2375" spans="1:8">
      <c r="A2375" t="s">
        <v>74</v>
      </c>
      <c r="B2375" t="s">
        <v>75</v>
      </c>
      <c r="C2375" t="s">
        <v>10</v>
      </c>
      <c r="D2375" t="s">
        <v>33</v>
      </c>
      <c r="E2375">
        <v>1991</v>
      </c>
      <c r="F2375" t="s">
        <v>12</v>
      </c>
      <c r="G2375" t="s">
        <v>17</v>
      </c>
      <c r="H2375" s="2">
        <v>333.53</v>
      </c>
    </row>
    <row r="2376" spans="1:8">
      <c r="A2376" t="s">
        <v>74</v>
      </c>
      <c r="B2376" t="s">
        <v>75</v>
      </c>
      <c r="C2376" t="s">
        <v>10</v>
      </c>
      <c r="D2376" t="s">
        <v>33</v>
      </c>
      <c r="E2376">
        <v>1992</v>
      </c>
      <c r="F2376" t="s">
        <v>12</v>
      </c>
      <c r="G2376" t="s">
        <v>13</v>
      </c>
      <c r="H2376" s="2">
        <v>10668.92</v>
      </c>
    </row>
    <row r="2377" spans="1:8">
      <c r="A2377" t="s">
        <v>74</v>
      </c>
      <c r="B2377" t="s">
        <v>75</v>
      </c>
      <c r="C2377" t="s">
        <v>10</v>
      </c>
      <c r="D2377" t="s">
        <v>33</v>
      </c>
      <c r="E2377">
        <v>1992</v>
      </c>
      <c r="F2377" t="s">
        <v>20</v>
      </c>
      <c r="G2377" t="s">
        <v>19</v>
      </c>
      <c r="H2377" s="2">
        <v>0</v>
      </c>
    </row>
    <row r="2378" spans="1:8">
      <c r="A2378" t="s">
        <v>74</v>
      </c>
      <c r="B2378" t="s">
        <v>75</v>
      </c>
      <c r="C2378" t="s">
        <v>10</v>
      </c>
      <c r="D2378" t="s">
        <v>33</v>
      </c>
      <c r="E2378">
        <v>1992</v>
      </c>
      <c r="F2378" t="s">
        <v>14</v>
      </c>
      <c r="G2378" t="s">
        <v>17</v>
      </c>
      <c r="H2378" s="2">
        <v>908.58</v>
      </c>
    </row>
    <row r="2379" spans="1:8">
      <c r="A2379" t="s">
        <v>74</v>
      </c>
      <c r="B2379" t="s">
        <v>75</v>
      </c>
      <c r="C2379" t="s">
        <v>10</v>
      </c>
      <c r="D2379" t="s">
        <v>33</v>
      </c>
      <c r="E2379">
        <v>1993</v>
      </c>
      <c r="F2379" t="s">
        <v>14</v>
      </c>
      <c r="G2379" t="s">
        <v>15</v>
      </c>
      <c r="H2379" s="2">
        <v>1292.73</v>
      </c>
    </row>
    <row r="2380" spans="1:8">
      <c r="A2380" t="s">
        <v>74</v>
      </c>
      <c r="B2380" t="s">
        <v>75</v>
      </c>
      <c r="C2380" t="s">
        <v>10</v>
      </c>
      <c r="D2380" t="s">
        <v>33</v>
      </c>
      <c r="E2380">
        <v>1993</v>
      </c>
      <c r="F2380" t="s">
        <v>16</v>
      </c>
      <c r="G2380" t="s">
        <v>15</v>
      </c>
      <c r="H2380" s="2">
        <v>13123.99</v>
      </c>
    </row>
    <row r="2381" spans="1:8">
      <c r="A2381" t="s">
        <v>74</v>
      </c>
      <c r="B2381" t="s">
        <v>75</v>
      </c>
      <c r="C2381" t="s">
        <v>10</v>
      </c>
      <c r="D2381" t="s">
        <v>33</v>
      </c>
      <c r="E2381">
        <v>1993</v>
      </c>
      <c r="F2381" t="s">
        <v>16</v>
      </c>
      <c r="G2381" t="s">
        <v>17</v>
      </c>
      <c r="H2381" s="2">
        <v>901.93</v>
      </c>
    </row>
    <row r="2382" spans="1:8">
      <c r="A2382" t="s">
        <v>74</v>
      </c>
      <c r="B2382" t="s">
        <v>75</v>
      </c>
      <c r="C2382" t="s">
        <v>10</v>
      </c>
      <c r="D2382" t="s">
        <v>33</v>
      </c>
      <c r="E2382">
        <v>1994</v>
      </c>
      <c r="F2382" t="s">
        <v>22</v>
      </c>
      <c r="G2382" t="s">
        <v>17</v>
      </c>
      <c r="H2382" s="2">
        <v>5494.91</v>
      </c>
    </row>
    <row r="2383" spans="1:8">
      <c r="A2383" t="s">
        <v>74</v>
      </c>
      <c r="B2383" t="s">
        <v>75</v>
      </c>
      <c r="C2383" t="s">
        <v>10</v>
      </c>
      <c r="D2383" t="s">
        <v>33</v>
      </c>
      <c r="E2383">
        <v>1995</v>
      </c>
      <c r="F2383" t="s">
        <v>12</v>
      </c>
      <c r="G2383" t="s">
        <v>19</v>
      </c>
      <c r="H2383" s="2">
        <v>0</v>
      </c>
    </row>
    <row r="2384" spans="1:8">
      <c r="A2384" t="s">
        <v>74</v>
      </c>
      <c r="B2384" t="s">
        <v>75</v>
      </c>
      <c r="C2384" t="s">
        <v>10</v>
      </c>
      <c r="D2384" t="s">
        <v>33</v>
      </c>
      <c r="E2384">
        <v>1995</v>
      </c>
      <c r="F2384" t="s">
        <v>18</v>
      </c>
      <c r="G2384" t="s">
        <v>15</v>
      </c>
      <c r="H2384" s="2">
        <v>1750.77</v>
      </c>
    </row>
    <row r="2385" spans="1:8">
      <c r="A2385" t="s">
        <v>74</v>
      </c>
      <c r="B2385" t="s">
        <v>75</v>
      </c>
      <c r="C2385" t="s">
        <v>10</v>
      </c>
      <c r="D2385" t="s">
        <v>33</v>
      </c>
      <c r="E2385">
        <v>1996</v>
      </c>
      <c r="F2385" t="s">
        <v>22</v>
      </c>
      <c r="G2385" t="s">
        <v>15</v>
      </c>
      <c r="H2385" s="2">
        <v>18307.939999999999</v>
      </c>
    </row>
    <row r="2386" spans="1:8">
      <c r="A2386" t="s">
        <v>74</v>
      </c>
      <c r="B2386" t="s">
        <v>75</v>
      </c>
      <c r="C2386" t="s">
        <v>10</v>
      </c>
      <c r="D2386" t="s">
        <v>33</v>
      </c>
      <c r="E2386">
        <v>1996</v>
      </c>
      <c r="F2386" t="s">
        <v>22</v>
      </c>
      <c r="G2386" t="s">
        <v>17</v>
      </c>
      <c r="H2386" s="2">
        <v>5540.02</v>
      </c>
    </row>
    <row r="2387" spans="1:8">
      <c r="A2387" t="s">
        <v>74</v>
      </c>
      <c r="B2387" t="s">
        <v>75</v>
      </c>
      <c r="C2387" t="s">
        <v>10</v>
      </c>
      <c r="D2387" t="s">
        <v>33</v>
      </c>
      <c r="E2387">
        <v>1996</v>
      </c>
      <c r="F2387" t="s">
        <v>12</v>
      </c>
      <c r="G2387" t="s">
        <v>17</v>
      </c>
      <c r="H2387" s="2">
        <v>375.44</v>
      </c>
    </row>
    <row r="2388" spans="1:8">
      <c r="A2388" t="s">
        <v>74</v>
      </c>
      <c r="B2388" t="s">
        <v>75</v>
      </c>
      <c r="C2388" t="s">
        <v>10</v>
      </c>
      <c r="D2388" t="s">
        <v>33</v>
      </c>
      <c r="E2388">
        <v>1996</v>
      </c>
      <c r="F2388" t="s">
        <v>20</v>
      </c>
      <c r="G2388" t="s">
        <v>17</v>
      </c>
      <c r="H2388" s="2">
        <v>116.12</v>
      </c>
    </row>
    <row r="2389" spans="1:8">
      <c r="A2389" t="s">
        <v>74</v>
      </c>
      <c r="B2389" t="s">
        <v>75</v>
      </c>
      <c r="C2389" t="s">
        <v>10</v>
      </c>
      <c r="D2389" t="s">
        <v>33</v>
      </c>
      <c r="E2389">
        <v>1997</v>
      </c>
      <c r="F2389" t="s">
        <v>12</v>
      </c>
      <c r="G2389" t="s">
        <v>15</v>
      </c>
      <c r="H2389" s="2">
        <v>851.83</v>
      </c>
    </row>
    <row r="2390" spans="1:8">
      <c r="A2390" t="s">
        <v>74</v>
      </c>
      <c r="B2390" t="s">
        <v>75</v>
      </c>
      <c r="C2390" t="s">
        <v>10</v>
      </c>
      <c r="D2390" t="s">
        <v>33</v>
      </c>
      <c r="E2390">
        <v>1997</v>
      </c>
      <c r="F2390" t="s">
        <v>18</v>
      </c>
      <c r="G2390" t="s">
        <v>15</v>
      </c>
      <c r="H2390" s="2">
        <v>1954.04</v>
      </c>
    </row>
    <row r="2391" spans="1:8">
      <c r="A2391" t="s">
        <v>74</v>
      </c>
      <c r="B2391" t="s">
        <v>75</v>
      </c>
      <c r="C2391" t="s">
        <v>10</v>
      </c>
      <c r="D2391" t="s">
        <v>33</v>
      </c>
      <c r="E2391">
        <v>1998</v>
      </c>
      <c r="F2391" t="s">
        <v>20</v>
      </c>
      <c r="G2391" t="s">
        <v>19</v>
      </c>
      <c r="H2391" s="2">
        <v>0</v>
      </c>
    </row>
    <row r="2392" spans="1:8">
      <c r="A2392" t="s">
        <v>74</v>
      </c>
      <c r="B2392" t="s">
        <v>75</v>
      </c>
      <c r="C2392" t="s">
        <v>10</v>
      </c>
      <c r="D2392" t="s">
        <v>33</v>
      </c>
      <c r="E2392">
        <v>1998</v>
      </c>
      <c r="F2392" t="s">
        <v>21</v>
      </c>
      <c r="G2392" t="s">
        <v>19</v>
      </c>
      <c r="H2392" s="2">
        <v>0</v>
      </c>
    </row>
    <row r="2393" spans="1:8">
      <c r="A2393" t="s">
        <v>74</v>
      </c>
      <c r="B2393" t="s">
        <v>75</v>
      </c>
      <c r="C2393" t="s">
        <v>10</v>
      </c>
      <c r="D2393" t="s">
        <v>33</v>
      </c>
      <c r="E2393">
        <v>1999</v>
      </c>
      <c r="F2393" t="s">
        <v>18</v>
      </c>
      <c r="G2393" t="s">
        <v>13</v>
      </c>
      <c r="H2393" s="2">
        <v>35569.53</v>
      </c>
    </row>
    <row r="2394" spans="1:8">
      <c r="A2394" t="s">
        <v>74</v>
      </c>
      <c r="B2394" t="s">
        <v>75</v>
      </c>
      <c r="C2394" t="s">
        <v>10</v>
      </c>
      <c r="D2394" t="s">
        <v>33</v>
      </c>
      <c r="E2394">
        <v>1999</v>
      </c>
      <c r="F2394" t="s">
        <v>14</v>
      </c>
      <c r="G2394" t="s">
        <v>13</v>
      </c>
      <c r="H2394" s="2">
        <v>53365.29</v>
      </c>
    </row>
    <row r="2395" spans="1:8">
      <c r="A2395" t="s">
        <v>74</v>
      </c>
      <c r="B2395" t="s">
        <v>75</v>
      </c>
      <c r="C2395" t="s">
        <v>10</v>
      </c>
      <c r="D2395" t="s">
        <v>33</v>
      </c>
      <c r="E2395">
        <v>1999</v>
      </c>
      <c r="F2395" t="s">
        <v>21</v>
      </c>
      <c r="G2395" t="s">
        <v>19</v>
      </c>
      <c r="H2395" s="2">
        <v>0</v>
      </c>
    </row>
    <row r="2396" spans="1:8">
      <c r="A2396" t="s">
        <v>74</v>
      </c>
      <c r="B2396" t="s">
        <v>75</v>
      </c>
      <c r="C2396" t="s">
        <v>10</v>
      </c>
      <c r="D2396" t="s">
        <v>33</v>
      </c>
      <c r="E2396">
        <v>2000</v>
      </c>
      <c r="F2396" t="s">
        <v>12</v>
      </c>
      <c r="G2396" t="s">
        <v>15</v>
      </c>
      <c r="H2396" s="2">
        <v>975.07</v>
      </c>
    </row>
    <row r="2397" spans="1:8">
      <c r="A2397" t="s">
        <v>74</v>
      </c>
      <c r="B2397" t="s">
        <v>75</v>
      </c>
      <c r="C2397" t="s">
        <v>10</v>
      </c>
      <c r="D2397" t="s">
        <v>33</v>
      </c>
      <c r="E2397">
        <v>2000</v>
      </c>
      <c r="F2397" t="s">
        <v>18</v>
      </c>
      <c r="G2397" t="s">
        <v>15</v>
      </c>
      <c r="H2397" s="2">
        <v>2272.46</v>
      </c>
    </row>
    <row r="2398" spans="1:8">
      <c r="A2398" t="s">
        <v>74</v>
      </c>
      <c r="B2398" t="s">
        <v>75</v>
      </c>
      <c r="C2398" t="s">
        <v>10</v>
      </c>
      <c r="D2398" t="s">
        <v>33</v>
      </c>
      <c r="E2398">
        <v>2000</v>
      </c>
      <c r="F2398" t="s">
        <v>18</v>
      </c>
      <c r="G2398" t="s">
        <v>19</v>
      </c>
      <c r="H2398" s="2">
        <v>2162.67</v>
      </c>
    </row>
    <row r="2399" spans="1:8">
      <c r="A2399" t="s">
        <v>74</v>
      </c>
      <c r="B2399" t="s">
        <v>75</v>
      </c>
      <c r="C2399" t="s">
        <v>10</v>
      </c>
      <c r="D2399" t="s">
        <v>33</v>
      </c>
      <c r="E2399">
        <v>2001</v>
      </c>
      <c r="F2399" t="s">
        <v>14</v>
      </c>
      <c r="G2399" t="s">
        <v>15</v>
      </c>
      <c r="H2399" s="2">
        <v>1792.62</v>
      </c>
    </row>
    <row r="2400" spans="1:8">
      <c r="A2400" t="s">
        <v>74</v>
      </c>
      <c r="B2400" t="s">
        <v>75</v>
      </c>
      <c r="C2400" t="s">
        <v>10</v>
      </c>
      <c r="D2400" t="s">
        <v>33</v>
      </c>
      <c r="E2400">
        <v>2002</v>
      </c>
      <c r="F2400" t="s">
        <v>14</v>
      </c>
      <c r="G2400" t="s">
        <v>19</v>
      </c>
      <c r="H2400" s="2">
        <v>0</v>
      </c>
    </row>
    <row r="2401" spans="1:8">
      <c r="A2401" t="s">
        <v>74</v>
      </c>
      <c r="B2401" t="s">
        <v>75</v>
      </c>
      <c r="C2401" t="s">
        <v>10</v>
      </c>
      <c r="D2401" t="s">
        <v>33</v>
      </c>
      <c r="E2401">
        <v>2003</v>
      </c>
      <c r="F2401" t="s">
        <v>18</v>
      </c>
      <c r="G2401" t="s">
        <v>17</v>
      </c>
      <c r="H2401" s="2">
        <v>2191.15</v>
      </c>
    </row>
    <row r="2402" spans="1:8">
      <c r="A2402" t="s">
        <v>74</v>
      </c>
      <c r="B2402" t="s">
        <v>75</v>
      </c>
      <c r="C2402" t="s">
        <v>10</v>
      </c>
      <c r="D2402" t="s">
        <v>33</v>
      </c>
      <c r="E2402">
        <v>2003</v>
      </c>
      <c r="F2402" t="s">
        <v>20</v>
      </c>
      <c r="G2402" t="s">
        <v>19</v>
      </c>
      <c r="H2402" s="2">
        <v>0</v>
      </c>
    </row>
    <row r="2403" spans="1:8">
      <c r="A2403" t="s">
        <v>74</v>
      </c>
      <c r="B2403" t="s">
        <v>75</v>
      </c>
      <c r="C2403" t="s">
        <v>10</v>
      </c>
      <c r="D2403" t="s">
        <v>33</v>
      </c>
      <c r="E2403">
        <v>2003</v>
      </c>
      <c r="F2403" t="s">
        <v>21</v>
      </c>
      <c r="G2403" t="s">
        <v>13</v>
      </c>
      <c r="H2403" s="2">
        <v>29991.27</v>
      </c>
    </row>
    <row r="2404" spans="1:8">
      <c r="A2404" t="s">
        <v>74</v>
      </c>
      <c r="B2404" t="s">
        <v>75</v>
      </c>
      <c r="C2404" t="s">
        <v>10</v>
      </c>
      <c r="D2404" t="s">
        <v>33</v>
      </c>
      <c r="E2404">
        <v>2003</v>
      </c>
      <c r="F2404" t="s">
        <v>16</v>
      </c>
      <c r="G2404" t="s">
        <v>17</v>
      </c>
      <c r="H2404" s="2">
        <v>1186.03</v>
      </c>
    </row>
    <row r="2405" spans="1:8">
      <c r="A2405" t="s">
        <v>74</v>
      </c>
      <c r="B2405" t="s">
        <v>75</v>
      </c>
      <c r="C2405" t="s">
        <v>10</v>
      </c>
      <c r="D2405" t="s">
        <v>33</v>
      </c>
      <c r="E2405">
        <v>2004</v>
      </c>
      <c r="F2405" t="s">
        <v>20</v>
      </c>
      <c r="G2405" t="s">
        <v>17</v>
      </c>
      <c r="H2405" s="2">
        <v>119.11</v>
      </c>
    </row>
    <row r="2406" spans="1:8">
      <c r="A2406" t="s">
        <v>74</v>
      </c>
      <c r="B2406" t="s">
        <v>75</v>
      </c>
      <c r="C2406" t="s">
        <v>10</v>
      </c>
      <c r="D2406" t="s">
        <v>33</v>
      </c>
      <c r="E2406">
        <v>2004</v>
      </c>
      <c r="F2406" t="s">
        <v>21</v>
      </c>
      <c r="G2406" t="s">
        <v>13</v>
      </c>
      <c r="H2406" s="2">
        <v>25382.799999999999</v>
      </c>
    </row>
    <row r="2407" spans="1:8">
      <c r="A2407" t="s">
        <v>74</v>
      </c>
      <c r="B2407" t="s">
        <v>75</v>
      </c>
      <c r="C2407" t="s">
        <v>10</v>
      </c>
      <c r="D2407" t="s">
        <v>33</v>
      </c>
      <c r="E2407">
        <v>2004</v>
      </c>
      <c r="F2407" t="s">
        <v>21</v>
      </c>
      <c r="G2407" t="s">
        <v>19</v>
      </c>
      <c r="H2407" s="2">
        <v>0</v>
      </c>
    </row>
    <row r="2408" spans="1:8">
      <c r="A2408" t="s">
        <v>74</v>
      </c>
      <c r="B2408" t="s">
        <v>75</v>
      </c>
      <c r="C2408" t="s">
        <v>10</v>
      </c>
      <c r="D2408" t="s">
        <v>33</v>
      </c>
      <c r="E2408">
        <v>2005</v>
      </c>
      <c r="F2408" t="s">
        <v>20</v>
      </c>
      <c r="G2408" t="s">
        <v>15</v>
      </c>
      <c r="H2408" s="2">
        <v>135.83000000000001</v>
      </c>
    </row>
    <row r="2409" spans="1:8">
      <c r="A2409" t="s">
        <v>74</v>
      </c>
      <c r="B2409" t="s">
        <v>75</v>
      </c>
      <c r="C2409" t="s">
        <v>10</v>
      </c>
      <c r="D2409" t="s">
        <v>33</v>
      </c>
      <c r="E2409">
        <v>2006</v>
      </c>
      <c r="F2409" t="s">
        <v>22</v>
      </c>
      <c r="G2409" t="s">
        <v>13</v>
      </c>
      <c r="H2409" s="2">
        <v>3302.32</v>
      </c>
    </row>
    <row r="2410" spans="1:8">
      <c r="A2410" t="s">
        <v>74</v>
      </c>
      <c r="B2410" t="s">
        <v>75</v>
      </c>
      <c r="C2410" t="s">
        <v>10</v>
      </c>
      <c r="D2410" t="s">
        <v>33</v>
      </c>
      <c r="E2410">
        <v>2006</v>
      </c>
      <c r="F2410" t="s">
        <v>22</v>
      </c>
      <c r="G2410" t="s">
        <v>17</v>
      </c>
      <c r="H2410" s="2">
        <v>6447.91</v>
      </c>
    </row>
    <row r="2411" spans="1:8">
      <c r="A2411" t="s">
        <v>74</v>
      </c>
      <c r="B2411" t="s">
        <v>75</v>
      </c>
      <c r="C2411" t="s">
        <v>10</v>
      </c>
      <c r="D2411" t="s">
        <v>33</v>
      </c>
      <c r="E2411">
        <v>2006</v>
      </c>
      <c r="F2411" t="s">
        <v>16</v>
      </c>
      <c r="G2411" t="s">
        <v>13</v>
      </c>
      <c r="H2411" s="2">
        <v>3920.9</v>
      </c>
    </row>
    <row r="2412" spans="1:8">
      <c r="A2412" t="s">
        <v>74</v>
      </c>
      <c r="B2412" t="s">
        <v>75</v>
      </c>
      <c r="C2412" t="s">
        <v>10</v>
      </c>
      <c r="D2412" t="s">
        <v>33</v>
      </c>
      <c r="E2412">
        <v>2007</v>
      </c>
      <c r="F2412" t="s">
        <v>22</v>
      </c>
      <c r="G2412" t="s">
        <v>15</v>
      </c>
      <c r="H2412" s="2">
        <v>23755.07</v>
      </c>
    </row>
    <row r="2413" spans="1:8">
      <c r="A2413" t="s">
        <v>74</v>
      </c>
      <c r="B2413" t="s">
        <v>75</v>
      </c>
      <c r="C2413" t="s">
        <v>10</v>
      </c>
      <c r="D2413" t="s">
        <v>33</v>
      </c>
      <c r="E2413">
        <v>2007</v>
      </c>
      <c r="F2413" t="s">
        <v>12</v>
      </c>
      <c r="G2413" t="s">
        <v>19</v>
      </c>
      <c r="H2413" s="2">
        <v>0</v>
      </c>
    </row>
    <row r="2414" spans="1:8">
      <c r="A2414" t="s">
        <v>74</v>
      </c>
      <c r="B2414" t="s">
        <v>75</v>
      </c>
      <c r="C2414" t="s">
        <v>10</v>
      </c>
      <c r="D2414" t="s">
        <v>33</v>
      </c>
      <c r="E2414">
        <v>2007</v>
      </c>
      <c r="F2414" t="s">
        <v>20</v>
      </c>
      <c r="G2414" t="s">
        <v>13</v>
      </c>
      <c r="H2414" s="2">
        <v>13871.7</v>
      </c>
    </row>
    <row r="2415" spans="1:8">
      <c r="A2415" t="s">
        <v>74</v>
      </c>
      <c r="B2415" t="s">
        <v>75</v>
      </c>
      <c r="C2415" t="s">
        <v>10</v>
      </c>
      <c r="D2415" t="s">
        <v>33</v>
      </c>
      <c r="E2415">
        <v>2007</v>
      </c>
      <c r="F2415" t="s">
        <v>14</v>
      </c>
      <c r="G2415" t="s">
        <v>15</v>
      </c>
      <c r="H2415" s="2">
        <v>1660.77</v>
      </c>
    </row>
    <row r="2416" spans="1:8">
      <c r="A2416" t="s">
        <v>74</v>
      </c>
      <c r="B2416" t="s">
        <v>75</v>
      </c>
      <c r="C2416" t="s">
        <v>10</v>
      </c>
      <c r="D2416" t="s">
        <v>33</v>
      </c>
      <c r="E2416">
        <v>2007</v>
      </c>
      <c r="F2416" t="s">
        <v>21</v>
      </c>
      <c r="G2416" t="s">
        <v>13</v>
      </c>
      <c r="H2416" s="2">
        <v>33371.74</v>
      </c>
    </row>
    <row r="2417" spans="1:8">
      <c r="A2417" t="s">
        <v>74</v>
      </c>
      <c r="B2417" t="s">
        <v>75</v>
      </c>
      <c r="C2417" t="s">
        <v>10</v>
      </c>
      <c r="D2417" t="s">
        <v>33</v>
      </c>
      <c r="E2417">
        <v>2007</v>
      </c>
      <c r="F2417" t="s">
        <v>21</v>
      </c>
      <c r="G2417" t="s">
        <v>19</v>
      </c>
      <c r="H2417" s="2">
        <v>0</v>
      </c>
    </row>
    <row r="2418" spans="1:8">
      <c r="A2418" t="s">
        <v>74</v>
      </c>
      <c r="B2418" t="s">
        <v>75</v>
      </c>
      <c r="C2418" t="s">
        <v>10</v>
      </c>
      <c r="D2418" t="s">
        <v>33</v>
      </c>
      <c r="E2418">
        <v>2007</v>
      </c>
      <c r="F2418" t="s">
        <v>16</v>
      </c>
      <c r="G2418" t="s">
        <v>17</v>
      </c>
      <c r="H2418" s="2">
        <v>1357.85</v>
      </c>
    </row>
    <row r="2419" spans="1:8">
      <c r="A2419" t="s">
        <v>74</v>
      </c>
      <c r="B2419" t="s">
        <v>75</v>
      </c>
      <c r="C2419" t="s">
        <v>10</v>
      </c>
      <c r="D2419" t="s">
        <v>33</v>
      </c>
      <c r="E2419">
        <v>2008</v>
      </c>
      <c r="F2419" t="s">
        <v>14</v>
      </c>
      <c r="G2419" t="s">
        <v>15</v>
      </c>
      <c r="H2419" s="2">
        <v>1847.12</v>
      </c>
    </row>
    <row r="2420" spans="1:8">
      <c r="A2420" t="s">
        <v>74</v>
      </c>
      <c r="B2420" t="s">
        <v>75</v>
      </c>
      <c r="C2420" t="s">
        <v>10</v>
      </c>
      <c r="D2420" t="s">
        <v>33</v>
      </c>
      <c r="E2420">
        <v>2008</v>
      </c>
      <c r="F2420" t="s">
        <v>21</v>
      </c>
      <c r="G2420" t="s">
        <v>13</v>
      </c>
      <c r="H2420" s="2">
        <v>29255.02</v>
      </c>
    </row>
    <row r="2421" spans="1:8">
      <c r="A2421" t="s">
        <v>74</v>
      </c>
      <c r="B2421" t="s">
        <v>75</v>
      </c>
      <c r="C2421" t="s">
        <v>10</v>
      </c>
      <c r="D2421" t="s">
        <v>33</v>
      </c>
      <c r="E2421">
        <v>2008</v>
      </c>
      <c r="F2421" t="s">
        <v>16</v>
      </c>
      <c r="G2421" t="s">
        <v>19</v>
      </c>
      <c r="H2421" s="2">
        <v>0</v>
      </c>
    </row>
    <row r="2422" spans="1:8">
      <c r="A2422" t="s">
        <v>74</v>
      </c>
      <c r="B2422" t="s">
        <v>75</v>
      </c>
      <c r="C2422" t="s">
        <v>10</v>
      </c>
      <c r="D2422" t="s">
        <v>33</v>
      </c>
      <c r="E2422">
        <v>2008</v>
      </c>
      <c r="F2422" t="s">
        <v>16</v>
      </c>
      <c r="G2422" t="s">
        <v>17</v>
      </c>
      <c r="H2422" s="2">
        <v>1257</v>
      </c>
    </row>
    <row r="2423" spans="1:8">
      <c r="A2423" t="s">
        <v>74</v>
      </c>
      <c r="B2423" t="s">
        <v>75</v>
      </c>
      <c r="C2423" t="s">
        <v>10</v>
      </c>
      <c r="D2423" t="s">
        <v>33</v>
      </c>
      <c r="E2423">
        <v>2009</v>
      </c>
      <c r="F2423" t="s">
        <v>16</v>
      </c>
      <c r="G2423" t="s">
        <v>13</v>
      </c>
      <c r="H2423" s="2">
        <v>3741.8</v>
      </c>
    </row>
    <row r="2424" spans="1:8">
      <c r="A2424" t="s">
        <v>74</v>
      </c>
      <c r="B2424" t="s">
        <v>75</v>
      </c>
      <c r="C2424" t="s">
        <v>10</v>
      </c>
      <c r="D2424" t="s">
        <v>33</v>
      </c>
      <c r="E2424">
        <v>2010</v>
      </c>
      <c r="F2424" t="s">
        <v>22</v>
      </c>
      <c r="G2424" t="s">
        <v>13</v>
      </c>
      <c r="H2424" s="2">
        <v>4099.82</v>
      </c>
    </row>
    <row r="2425" spans="1:8">
      <c r="A2425" t="s">
        <v>74</v>
      </c>
      <c r="B2425" t="s">
        <v>75</v>
      </c>
      <c r="C2425" t="s">
        <v>10</v>
      </c>
      <c r="D2425" t="s">
        <v>33</v>
      </c>
      <c r="E2425">
        <v>2010</v>
      </c>
      <c r="F2425" t="s">
        <v>22</v>
      </c>
      <c r="G2425" t="s">
        <v>17</v>
      </c>
      <c r="H2425" s="2">
        <v>7482.3</v>
      </c>
    </row>
    <row r="2426" spans="1:8">
      <c r="A2426" t="s">
        <v>74</v>
      </c>
      <c r="B2426" t="s">
        <v>75</v>
      </c>
      <c r="C2426" t="s">
        <v>10</v>
      </c>
      <c r="D2426" t="s">
        <v>33</v>
      </c>
      <c r="E2426">
        <v>2010</v>
      </c>
      <c r="F2426" t="s">
        <v>18</v>
      </c>
      <c r="G2426" t="s">
        <v>17</v>
      </c>
      <c r="H2426" s="2">
        <v>2546.91</v>
      </c>
    </row>
    <row r="2427" spans="1:8">
      <c r="A2427" t="s">
        <v>74</v>
      </c>
      <c r="B2427" t="s">
        <v>75</v>
      </c>
      <c r="C2427" t="s">
        <v>10</v>
      </c>
      <c r="D2427" t="s">
        <v>33</v>
      </c>
      <c r="E2427">
        <v>2010</v>
      </c>
      <c r="F2427" t="s">
        <v>21</v>
      </c>
      <c r="G2427" t="s">
        <v>15</v>
      </c>
      <c r="H2427" s="2">
        <v>644.54</v>
      </c>
    </row>
    <row r="2428" spans="1:8">
      <c r="A2428" t="s">
        <v>74</v>
      </c>
      <c r="B2428" t="s">
        <v>75</v>
      </c>
      <c r="C2428" t="s">
        <v>10</v>
      </c>
      <c r="D2428" t="s">
        <v>33</v>
      </c>
      <c r="E2428">
        <v>2010</v>
      </c>
      <c r="F2428" t="s">
        <v>21</v>
      </c>
      <c r="G2428" t="s">
        <v>13</v>
      </c>
      <c r="H2428" s="2">
        <v>35067.86</v>
      </c>
    </row>
    <row r="2429" spans="1:8">
      <c r="A2429" t="s">
        <v>74</v>
      </c>
      <c r="B2429" t="s">
        <v>75</v>
      </c>
      <c r="C2429" t="s">
        <v>10</v>
      </c>
      <c r="D2429" t="s">
        <v>33</v>
      </c>
      <c r="E2429">
        <v>2010</v>
      </c>
      <c r="F2429" t="s">
        <v>16</v>
      </c>
      <c r="G2429" t="s">
        <v>19</v>
      </c>
      <c r="H2429" s="2">
        <v>0</v>
      </c>
    </row>
    <row r="2430" spans="1:8">
      <c r="A2430" t="s">
        <v>74</v>
      </c>
      <c r="B2430" t="s">
        <v>75</v>
      </c>
      <c r="C2430" t="s">
        <v>10</v>
      </c>
      <c r="D2430" t="s">
        <v>33</v>
      </c>
      <c r="E2430">
        <v>2011</v>
      </c>
      <c r="F2430" t="s">
        <v>18</v>
      </c>
      <c r="G2430" t="s">
        <v>13</v>
      </c>
      <c r="H2430" s="2">
        <v>36398.07</v>
      </c>
    </row>
    <row r="2431" spans="1:8">
      <c r="A2431" t="s">
        <v>74</v>
      </c>
      <c r="B2431" t="s">
        <v>75</v>
      </c>
      <c r="C2431" t="s">
        <v>10</v>
      </c>
      <c r="D2431" t="s">
        <v>33</v>
      </c>
      <c r="E2431">
        <v>2011</v>
      </c>
      <c r="F2431" t="s">
        <v>14</v>
      </c>
      <c r="G2431" t="s">
        <v>13</v>
      </c>
      <c r="H2431" s="2">
        <v>59919.09</v>
      </c>
    </row>
    <row r="2432" spans="1:8">
      <c r="A2432" t="s">
        <v>74</v>
      </c>
      <c r="B2432" t="s">
        <v>75</v>
      </c>
      <c r="C2432" t="s">
        <v>10</v>
      </c>
      <c r="D2432" t="s">
        <v>33</v>
      </c>
      <c r="E2432">
        <v>2011</v>
      </c>
      <c r="F2432" t="s">
        <v>21</v>
      </c>
      <c r="G2432" t="s">
        <v>15</v>
      </c>
      <c r="H2432" s="2">
        <v>581.26</v>
      </c>
    </row>
    <row r="2433" spans="1:8">
      <c r="A2433" t="s">
        <v>74</v>
      </c>
      <c r="B2433" t="s">
        <v>75</v>
      </c>
      <c r="C2433" t="s">
        <v>10</v>
      </c>
      <c r="D2433" t="s">
        <v>33</v>
      </c>
      <c r="E2433">
        <v>2012</v>
      </c>
      <c r="F2433" t="s">
        <v>22</v>
      </c>
      <c r="G2433" t="s">
        <v>15</v>
      </c>
      <c r="H2433" s="2">
        <v>24293.07</v>
      </c>
    </row>
    <row r="2434" spans="1:8">
      <c r="A2434" t="s">
        <v>74</v>
      </c>
      <c r="B2434" t="s">
        <v>75</v>
      </c>
      <c r="C2434" t="s">
        <v>10</v>
      </c>
      <c r="D2434" t="s">
        <v>33</v>
      </c>
      <c r="E2434">
        <v>2012</v>
      </c>
      <c r="F2434" t="s">
        <v>14</v>
      </c>
      <c r="G2434" t="s">
        <v>17</v>
      </c>
      <c r="H2434" s="2">
        <v>1397.32</v>
      </c>
    </row>
    <row r="2435" spans="1:8">
      <c r="A2435" t="s">
        <v>74</v>
      </c>
      <c r="B2435" t="s">
        <v>75</v>
      </c>
      <c r="C2435" t="s">
        <v>10</v>
      </c>
      <c r="D2435" t="s">
        <v>33</v>
      </c>
      <c r="E2435">
        <v>2013</v>
      </c>
      <c r="F2435" t="s">
        <v>14</v>
      </c>
      <c r="G2435" t="s">
        <v>19</v>
      </c>
      <c r="H2435" s="2">
        <v>0</v>
      </c>
    </row>
    <row r="2436" spans="1:8">
      <c r="A2436" t="s">
        <v>74</v>
      </c>
      <c r="B2436" t="s">
        <v>75</v>
      </c>
      <c r="C2436" t="s">
        <v>10</v>
      </c>
      <c r="D2436" t="s">
        <v>33</v>
      </c>
      <c r="E2436">
        <v>2013</v>
      </c>
      <c r="F2436" t="s">
        <v>21</v>
      </c>
      <c r="G2436" t="s">
        <v>19</v>
      </c>
      <c r="H2436" s="2">
        <v>0</v>
      </c>
    </row>
    <row r="2437" spans="1:8">
      <c r="A2437" t="s">
        <v>74</v>
      </c>
      <c r="B2437" t="s">
        <v>75</v>
      </c>
      <c r="C2437" t="s">
        <v>10</v>
      </c>
      <c r="D2437" t="s">
        <v>33</v>
      </c>
      <c r="E2437">
        <v>2014</v>
      </c>
      <c r="F2437" t="s">
        <v>12</v>
      </c>
      <c r="G2437" t="s">
        <v>13</v>
      </c>
      <c r="H2437" s="2">
        <v>16021.46</v>
      </c>
    </row>
    <row r="2438" spans="1:8">
      <c r="A2438" t="s">
        <v>74</v>
      </c>
      <c r="B2438" t="s">
        <v>75</v>
      </c>
      <c r="C2438" t="s">
        <v>10</v>
      </c>
      <c r="D2438" t="s">
        <v>33</v>
      </c>
      <c r="E2438">
        <v>2014</v>
      </c>
      <c r="F2438" t="s">
        <v>18</v>
      </c>
      <c r="G2438" t="s">
        <v>13</v>
      </c>
      <c r="H2438" s="2">
        <v>44067.89</v>
      </c>
    </row>
    <row r="2439" spans="1:8">
      <c r="A2439" t="s">
        <v>74</v>
      </c>
      <c r="B2439" t="s">
        <v>75</v>
      </c>
      <c r="C2439" t="s">
        <v>10</v>
      </c>
      <c r="D2439" t="s">
        <v>33</v>
      </c>
      <c r="E2439">
        <v>2014</v>
      </c>
      <c r="F2439" t="s">
        <v>14</v>
      </c>
      <c r="G2439" t="s">
        <v>15</v>
      </c>
      <c r="H2439" s="2">
        <v>2151.66</v>
      </c>
    </row>
    <row r="2440" spans="1:8">
      <c r="A2440" t="s">
        <v>74</v>
      </c>
      <c r="B2440" t="s">
        <v>75</v>
      </c>
      <c r="C2440" t="s">
        <v>10</v>
      </c>
      <c r="D2440" t="s">
        <v>33</v>
      </c>
      <c r="E2440">
        <v>2014</v>
      </c>
      <c r="F2440" t="s">
        <v>16</v>
      </c>
      <c r="G2440" t="s">
        <v>19</v>
      </c>
      <c r="H2440" s="2">
        <v>0</v>
      </c>
    </row>
    <row r="2441" spans="1:8">
      <c r="A2441" t="s">
        <v>74</v>
      </c>
      <c r="B2441" t="s">
        <v>75</v>
      </c>
      <c r="C2441" t="s">
        <v>10</v>
      </c>
      <c r="D2441" t="s">
        <v>33</v>
      </c>
      <c r="E2441">
        <v>2014</v>
      </c>
      <c r="F2441" t="s">
        <v>16</v>
      </c>
      <c r="G2441" t="s">
        <v>17</v>
      </c>
      <c r="H2441" s="2">
        <v>1511.29</v>
      </c>
    </row>
    <row r="2442" spans="1:8">
      <c r="A2442" t="s">
        <v>74</v>
      </c>
      <c r="B2442" t="s">
        <v>75</v>
      </c>
      <c r="C2442" t="s">
        <v>10</v>
      </c>
      <c r="D2442" t="s">
        <v>33</v>
      </c>
      <c r="E2442">
        <v>2015</v>
      </c>
      <c r="F2442" t="s">
        <v>21</v>
      </c>
      <c r="G2442" t="s">
        <v>15</v>
      </c>
      <c r="H2442" s="2">
        <v>689.26</v>
      </c>
    </row>
    <row r="2443" spans="1:8">
      <c r="A2443" t="s">
        <v>74</v>
      </c>
      <c r="B2443" t="s">
        <v>75</v>
      </c>
      <c r="C2443" t="s">
        <v>10</v>
      </c>
      <c r="D2443" t="s">
        <v>33</v>
      </c>
      <c r="E2443">
        <v>2015</v>
      </c>
      <c r="F2443" t="s">
        <v>21</v>
      </c>
      <c r="G2443" t="s">
        <v>17</v>
      </c>
      <c r="H2443" s="2">
        <v>337.42</v>
      </c>
    </row>
    <row r="2444" spans="1:8">
      <c r="A2444" t="s">
        <v>74</v>
      </c>
      <c r="B2444" t="s">
        <v>75</v>
      </c>
      <c r="C2444" t="s">
        <v>10</v>
      </c>
      <c r="D2444" t="s">
        <v>33</v>
      </c>
      <c r="E2444">
        <v>2016</v>
      </c>
      <c r="F2444" t="s">
        <v>18</v>
      </c>
      <c r="G2444" t="s">
        <v>13</v>
      </c>
      <c r="H2444" s="2">
        <v>43998.43</v>
      </c>
    </row>
    <row r="2445" spans="1:8">
      <c r="A2445" t="s">
        <v>74</v>
      </c>
      <c r="B2445" t="s">
        <v>75</v>
      </c>
      <c r="C2445" t="s">
        <v>10</v>
      </c>
      <c r="D2445" t="s">
        <v>33</v>
      </c>
      <c r="E2445">
        <v>2016</v>
      </c>
      <c r="F2445" t="s">
        <v>20</v>
      </c>
      <c r="G2445" t="s">
        <v>13</v>
      </c>
      <c r="H2445" s="2">
        <v>18334.740000000002</v>
      </c>
    </row>
    <row r="2446" spans="1:8">
      <c r="A2446" t="s">
        <v>74</v>
      </c>
      <c r="B2446" t="s">
        <v>75</v>
      </c>
      <c r="C2446" t="s">
        <v>10</v>
      </c>
      <c r="D2446" t="s">
        <v>33</v>
      </c>
      <c r="E2446">
        <v>2016</v>
      </c>
      <c r="F2446" t="s">
        <v>14</v>
      </c>
      <c r="G2446" t="s">
        <v>17</v>
      </c>
      <c r="H2446" s="2">
        <v>1464.31</v>
      </c>
    </row>
    <row r="2447" spans="1:8">
      <c r="A2447" t="s">
        <v>74</v>
      </c>
      <c r="B2447" t="s">
        <v>75</v>
      </c>
      <c r="C2447" t="s">
        <v>10</v>
      </c>
      <c r="D2447" t="s">
        <v>33</v>
      </c>
      <c r="E2447">
        <v>2017</v>
      </c>
      <c r="F2447" t="s">
        <v>18</v>
      </c>
      <c r="G2447" t="s">
        <v>17</v>
      </c>
      <c r="H2447" s="2">
        <v>2344.56</v>
      </c>
    </row>
    <row r="2448" spans="1:8">
      <c r="A2448" t="s">
        <v>74</v>
      </c>
      <c r="B2448" t="s">
        <v>75</v>
      </c>
      <c r="C2448" t="s">
        <v>10</v>
      </c>
      <c r="D2448" t="s">
        <v>33</v>
      </c>
      <c r="E2448">
        <v>2017</v>
      </c>
      <c r="F2448" t="s">
        <v>21</v>
      </c>
      <c r="G2448" t="s">
        <v>13</v>
      </c>
      <c r="H2448" s="2">
        <v>27880.39</v>
      </c>
    </row>
    <row r="2449" spans="1:8">
      <c r="A2449" t="s">
        <v>74</v>
      </c>
      <c r="B2449" t="s">
        <v>75</v>
      </c>
      <c r="C2449" t="s">
        <v>10</v>
      </c>
      <c r="D2449" t="s">
        <v>33</v>
      </c>
      <c r="E2449">
        <v>2017</v>
      </c>
      <c r="F2449" t="s">
        <v>16</v>
      </c>
      <c r="G2449" t="s">
        <v>13</v>
      </c>
      <c r="H2449" s="2">
        <v>3411.8</v>
      </c>
    </row>
    <row r="2450" spans="1:8">
      <c r="A2450" t="s">
        <v>74</v>
      </c>
      <c r="B2450" t="s">
        <v>75</v>
      </c>
      <c r="C2450" t="s">
        <v>10</v>
      </c>
      <c r="D2450" t="s">
        <v>33</v>
      </c>
      <c r="E2450">
        <v>2017</v>
      </c>
      <c r="F2450" t="s">
        <v>16</v>
      </c>
      <c r="G2450" t="s">
        <v>17</v>
      </c>
      <c r="H2450" s="2">
        <v>1140.1199999999999</v>
      </c>
    </row>
    <row r="2451" spans="1:8">
      <c r="A2451" t="s">
        <v>74</v>
      </c>
      <c r="B2451" t="s">
        <v>75</v>
      </c>
      <c r="C2451" t="s">
        <v>10</v>
      </c>
      <c r="D2451" t="s">
        <v>33</v>
      </c>
      <c r="E2451">
        <v>2018</v>
      </c>
      <c r="F2451" t="s">
        <v>20</v>
      </c>
      <c r="G2451" t="s">
        <v>19</v>
      </c>
      <c r="H2451" s="2">
        <v>0</v>
      </c>
    </row>
    <row r="2452" spans="1:8">
      <c r="A2452" t="s">
        <v>74</v>
      </c>
      <c r="B2452" t="s">
        <v>75</v>
      </c>
      <c r="C2452" t="s">
        <v>10</v>
      </c>
      <c r="D2452" t="s">
        <v>33</v>
      </c>
      <c r="E2452">
        <v>2019</v>
      </c>
      <c r="F2452" t="s">
        <v>22</v>
      </c>
      <c r="G2452" t="s">
        <v>13</v>
      </c>
      <c r="H2452" s="2">
        <v>3805.81</v>
      </c>
    </row>
    <row r="2453" spans="1:8">
      <c r="A2453" t="s">
        <v>74</v>
      </c>
      <c r="B2453" t="s">
        <v>75</v>
      </c>
      <c r="C2453" t="s">
        <v>10</v>
      </c>
      <c r="D2453" t="s">
        <v>33</v>
      </c>
      <c r="E2453">
        <v>2019</v>
      </c>
      <c r="F2453" t="s">
        <v>12</v>
      </c>
      <c r="G2453" t="s">
        <v>19</v>
      </c>
      <c r="H2453" s="2">
        <v>0</v>
      </c>
    </row>
    <row r="2454" spans="1:8">
      <c r="A2454" t="s">
        <v>74</v>
      </c>
      <c r="B2454" t="s">
        <v>75</v>
      </c>
      <c r="C2454" t="s">
        <v>10</v>
      </c>
      <c r="D2454" t="s">
        <v>33</v>
      </c>
      <c r="E2454">
        <v>2019</v>
      </c>
      <c r="F2454" t="s">
        <v>18</v>
      </c>
      <c r="G2454" t="s">
        <v>19</v>
      </c>
      <c r="H2454" s="2">
        <v>2585.4699999999998</v>
      </c>
    </row>
    <row r="2455" spans="1:8">
      <c r="A2455" t="s">
        <v>74</v>
      </c>
      <c r="B2455" t="s">
        <v>75</v>
      </c>
      <c r="C2455" t="s">
        <v>10</v>
      </c>
      <c r="D2455" t="s">
        <v>33</v>
      </c>
      <c r="E2455">
        <v>2019</v>
      </c>
      <c r="F2455" t="s">
        <v>14</v>
      </c>
      <c r="G2455" t="s">
        <v>15</v>
      </c>
      <c r="H2455" s="2">
        <v>2029.36</v>
      </c>
    </row>
    <row r="2456" spans="1:8">
      <c r="A2456" t="s">
        <v>74</v>
      </c>
      <c r="B2456" t="s">
        <v>75</v>
      </c>
      <c r="C2456" t="s">
        <v>10</v>
      </c>
      <c r="D2456" t="s">
        <v>33</v>
      </c>
      <c r="E2456">
        <v>2020</v>
      </c>
      <c r="F2456" t="s">
        <v>12</v>
      </c>
      <c r="G2456" t="s">
        <v>13</v>
      </c>
      <c r="H2456" s="2">
        <v>15418.31</v>
      </c>
    </row>
    <row r="2457" spans="1:8">
      <c r="A2457" t="s">
        <v>74</v>
      </c>
      <c r="B2457" t="s">
        <v>75</v>
      </c>
      <c r="C2457" t="s">
        <v>10</v>
      </c>
      <c r="D2457" t="s">
        <v>33</v>
      </c>
      <c r="E2457">
        <v>2020</v>
      </c>
      <c r="F2457" t="s">
        <v>12</v>
      </c>
      <c r="G2457" t="s">
        <v>17</v>
      </c>
      <c r="H2457" s="2">
        <v>513.92999999999995</v>
      </c>
    </row>
    <row r="2458" spans="1:8">
      <c r="A2458" t="s">
        <v>74</v>
      </c>
      <c r="B2458" t="s">
        <v>75</v>
      </c>
      <c r="C2458" t="s">
        <v>10</v>
      </c>
      <c r="D2458" t="s">
        <v>33</v>
      </c>
      <c r="E2458">
        <v>2020</v>
      </c>
      <c r="F2458" t="s">
        <v>14</v>
      </c>
      <c r="G2458" t="s">
        <v>19</v>
      </c>
      <c r="H2458" s="2">
        <v>0</v>
      </c>
    </row>
    <row r="2459" spans="1:8">
      <c r="A2459" t="s">
        <v>74</v>
      </c>
      <c r="B2459" t="s">
        <v>75</v>
      </c>
      <c r="C2459" t="s">
        <v>10</v>
      </c>
      <c r="D2459" t="s">
        <v>33</v>
      </c>
      <c r="E2459">
        <v>2020</v>
      </c>
      <c r="F2459" t="s">
        <v>16</v>
      </c>
      <c r="G2459" t="s">
        <v>15</v>
      </c>
      <c r="H2459" s="2">
        <v>21563.11</v>
      </c>
    </row>
    <row r="2460" spans="1:8">
      <c r="A2460" t="s">
        <v>74</v>
      </c>
      <c r="B2460" t="s">
        <v>75</v>
      </c>
      <c r="C2460" t="s">
        <v>10</v>
      </c>
      <c r="D2460" t="s">
        <v>33</v>
      </c>
      <c r="E2460">
        <v>2021</v>
      </c>
      <c r="F2460" t="s">
        <v>12</v>
      </c>
      <c r="G2460" t="s">
        <v>17</v>
      </c>
      <c r="H2460" s="2">
        <v>518.41999999999996</v>
      </c>
    </row>
    <row r="2461" spans="1:8">
      <c r="A2461" t="s">
        <v>74</v>
      </c>
      <c r="B2461" t="s">
        <v>75</v>
      </c>
      <c r="C2461" t="s">
        <v>10</v>
      </c>
      <c r="D2461" t="s">
        <v>33</v>
      </c>
      <c r="E2461">
        <v>2021</v>
      </c>
      <c r="F2461" t="s">
        <v>14</v>
      </c>
      <c r="G2461" t="s">
        <v>19</v>
      </c>
      <c r="H2461" s="2">
        <v>0</v>
      </c>
    </row>
    <row r="2462" spans="1:8">
      <c r="A2462" t="s">
        <v>74</v>
      </c>
      <c r="B2462" t="s">
        <v>75</v>
      </c>
      <c r="C2462" t="s">
        <v>10</v>
      </c>
      <c r="D2462" t="s">
        <v>33</v>
      </c>
      <c r="E2462">
        <v>2022</v>
      </c>
      <c r="F2462" t="s">
        <v>14</v>
      </c>
      <c r="G2462" t="s">
        <v>15</v>
      </c>
      <c r="H2462" s="2">
        <v>2109.91</v>
      </c>
    </row>
    <row r="2463" spans="1:8">
      <c r="A2463" t="s">
        <v>74</v>
      </c>
      <c r="B2463" t="s">
        <v>75</v>
      </c>
      <c r="C2463" t="s">
        <v>10</v>
      </c>
      <c r="D2463" t="s">
        <v>33</v>
      </c>
      <c r="E2463">
        <v>2022</v>
      </c>
      <c r="F2463" t="s">
        <v>21</v>
      </c>
      <c r="G2463" t="s">
        <v>17</v>
      </c>
      <c r="H2463" s="2">
        <v>313.27999999999997</v>
      </c>
    </row>
    <row r="2464" spans="1:8">
      <c r="A2464" t="s">
        <v>74</v>
      </c>
      <c r="B2464" t="s">
        <v>75</v>
      </c>
      <c r="C2464" t="s">
        <v>10</v>
      </c>
      <c r="D2464" t="s">
        <v>33</v>
      </c>
      <c r="E2464">
        <v>2023</v>
      </c>
      <c r="F2464" t="s">
        <v>22</v>
      </c>
      <c r="G2464" t="s">
        <v>17</v>
      </c>
      <c r="H2464" s="2">
        <v>8538.2900000000009</v>
      </c>
    </row>
    <row r="2465" spans="1:8">
      <c r="A2465" t="s">
        <v>74</v>
      </c>
      <c r="B2465" t="s">
        <v>75</v>
      </c>
      <c r="C2465" t="s">
        <v>10</v>
      </c>
      <c r="D2465" t="s">
        <v>33</v>
      </c>
      <c r="E2465">
        <v>2023</v>
      </c>
      <c r="F2465" t="s">
        <v>12</v>
      </c>
      <c r="G2465" t="s">
        <v>17</v>
      </c>
      <c r="H2465" s="2">
        <v>529.38</v>
      </c>
    </row>
    <row r="2466" spans="1:8">
      <c r="A2466" t="s">
        <v>74</v>
      </c>
      <c r="B2466" t="s">
        <v>75</v>
      </c>
      <c r="C2466" t="s">
        <v>10</v>
      </c>
      <c r="D2466" t="s">
        <v>33</v>
      </c>
      <c r="E2466">
        <v>2023</v>
      </c>
      <c r="F2466" t="s">
        <v>18</v>
      </c>
      <c r="G2466" t="s">
        <v>19</v>
      </c>
      <c r="H2466" s="2">
        <v>2977.82</v>
      </c>
    </row>
    <row r="2467" spans="1:8">
      <c r="A2467" t="s">
        <v>74</v>
      </c>
      <c r="B2467" t="s">
        <v>75</v>
      </c>
      <c r="C2467" t="s">
        <v>10</v>
      </c>
      <c r="D2467" t="s">
        <v>33</v>
      </c>
      <c r="E2467">
        <v>2024</v>
      </c>
      <c r="F2467" t="s">
        <v>12</v>
      </c>
      <c r="G2467" t="s">
        <v>13</v>
      </c>
      <c r="H2467" s="2">
        <v>17015.96</v>
      </c>
    </row>
    <row r="2468" spans="1:8">
      <c r="A2468" t="s">
        <v>74</v>
      </c>
      <c r="B2468" t="s">
        <v>75</v>
      </c>
      <c r="C2468" t="s">
        <v>10</v>
      </c>
      <c r="D2468" t="s">
        <v>33</v>
      </c>
      <c r="E2468">
        <v>2024</v>
      </c>
      <c r="F2468" t="s">
        <v>18</v>
      </c>
      <c r="G2468" t="s">
        <v>15</v>
      </c>
      <c r="H2468" s="2">
        <v>2578.23</v>
      </c>
    </row>
    <row r="2469" spans="1:8">
      <c r="A2469" t="s">
        <v>74</v>
      </c>
      <c r="B2469" t="s">
        <v>75</v>
      </c>
      <c r="C2469" t="s">
        <v>10</v>
      </c>
      <c r="D2469" t="s">
        <v>33</v>
      </c>
      <c r="E2469">
        <v>2024</v>
      </c>
      <c r="F2469" t="s">
        <v>21</v>
      </c>
      <c r="G2469" t="s">
        <v>19</v>
      </c>
      <c r="H2469" s="2">
        <v>0</v>
      </c>
    </row>
    <row r="2470" spans="1:8">
      <c r="A2470" t="s">
        <v>76</v>
      </c>
      <c r="B2470" t="s">
        <v>77</v>
      </c>
      <c r="C2470" t="s">
        <v>51</v>
      </c>
      <c r="D2470" t="s">
        <v>29</v>
      </c>
      <c r="E2470">
        <v>1990</v>
      </c>
      <c r="F2470" t="s">
        <v>22</v>
      </c>
      <c r="G2470" t="s">
        <v>13</v>
      </c>
      <c r="H2470" s="2">
        <v>419.01</v>
      </c>
    </row>
    <row r="2471" spans="1:8">
      <c r="A2471" t="s">
        <v>76</v>
      </c>
      <c r="B2471" t="s">
        <v>77</v>
      </c>
      <c r="C2471" t="s">
        <v>51</v>
      </c>
      <c r="D2471" t="s">
        <v>29</v>
      </c>
      <c r="E2471">
        <v>1990</v>
      </c>
      <c r="F2471" t="s">
        <v>12</v>
      </c>
      <c r="G2471" t="s">
        <v>13</v>
      </c>
      <c r="H2471" s="2">
        <v>14332.2</v>
      </c>
    </row>
    <row r="2472" spans="1:8">
      <c r="A2472" t="s">
        <v>76</v>
      </c>
      <c r="B2472" t="s">
        <v>77</v>
      </c>
      <c r="C2472" t="s">
        <v>51</v>
      </c>
      <c r="D2472" t="s">
        <v>29</v>
      </c>
      <c r="E2472">
        <v>1990</v>
      </c>
      <c r="F2472" t="s">
        <v>20</v>
      </c>
      <c r="G2472" t="s">
        <v>17</v>
      </c>
      <c r="H2472" s="2">
        <v>-155.47</v>
      </c>
    </row>
    <row r="2473" spans="1:8">
      <c r="A2473" t="s">
        <v>76</v>
      </c>
      <c r="B2473" t="s">
        <v>77</v>
      </c>
      <c r="C2473" t="s">
        <v>51</v>
      </c>
      <c r="D2473" t="s">
        <v>29</v>
      </c>
      <c r="E2473">
        <v>1990</v>
      </c>
      <c r="F2473" t="s">
        <v>14</v>
      </c>
      <c r="G2473" t="s">
        <v>17</v>
      </c>
      <c r="H2473" s="2">
        <v>1035.5</v>
      </c>
    </row>
    <row r="2474" spans="1:8">
      <c r="A2474" t="s">
        <v>76</v>
      </c>
      <c r="B2474" t="s">
        <v>77</v>
      </c>
      <c r="C2474" t="s">
        <v>51</v>
      </c>
      <c r="D2474" t="s">
        <v>29</v>
      </c>
      <c r="E2474">
        <v>1990</v>
      </c>
      <c r="F2474" t="s">
        <v>16</v>
      </c>
      <c r="G2474" t="s">
        <v>13</v>
      </c>
      <c r="H2474" s="2">
        <v>278.73</v>
      </c>
    </row>
    <row r="2475" spans="1:8">
      <c r="A2475" t="s">
        <v>76</v>
      </c>
      <c r="B2475" t="s">
        <v>77</v>
      </c>
      <c r="C2475" t="s">
        <v>51</v>
      </c>
      <c r="D2475" t="s">
        <v>29</v>
      </c>
      <c r="E2475">
        <v>1990</v>
      </c>
      <c r="F2475" t="s">
        <v>16</v>
      </c>
      <c r="G2475" t="s">
        <v>19</v>
      </c>
      <c r="H2475" s="2">
        <v>0</v>
      </c>
    </row>
    <row r="2476" spans="1:8">
      <c r="A2476" t="s">
        <v>76</v>
      </c>
      <c r="B2476" t="s">
        <v>77</v>
      </c>
      <c r="C2476" t="s">
        <v>51</v>
      </c>
      <c r="D2476" t="s">
        <v>29</v>
      </c>
      <c r="E2476">
        <v>1991</v>
      </c>
      <c r="F2476" t="s">
        <v>18</v>
      </c>
      <c r="G2476" t="s">
        <v>15</v>
      </c>
      <c r="H2476" s="2">
        <v>792.62</v>
      </c>
    </row>
    <row r="2477" spans="1:8">
      <c r="A2477" t="s">
        <v>76</v>
      </c>
      <c r="B2477" t="s">
        <v>77</v>
      </c>
      <c r="C2477" t="s">
        <v>51</v>
      </c>
      <c r="D2477" t="s">
        <v>29</v>
      </c>
      <c r="E2477">
        <v>1991</v>
      </c>
      <c r="F2477" t="s">
        <v>18</v>
      </c>
      <c r="G2477" t="s">
        <v>13</v>
      </c>
      <c r="H2477" s="2">
        <v>13373.37</v>
      </c>
    </row>
    <row r="2478" spans="1:8">
      <c r="A2478" t="s">
        <v>76</v>
      </c>
      <c r="B2478" t="s">
        <v>77</v>
      </c>
      <c r="C2478" t="s">
        <v>51</v>
      </c>
      <c r="D2478" t="s">
        <v>29</v>
      </c>
      <c r="E2478">
        <v>1991</v>
      </c>
      <c r="F2478" t="s">
        <v>21</v>
      </c>
      <c r="G2478" t="s">
        <v>13</v>
      </c>
      <c r="H2478" s="2">
        <v>27907.88</v>
      </c>
    </row>
    <row r="2479" spans="1:8">
      <c r="A2479" t="s">
        <v>76</v>
      </c>
      <c r="B2479" t="s">
        <v>77</v>
      </c>
      <c r="C2479" t="s">
        <v>51</v>
      </c>
      <c r="D2479" t="s">
        <v>29</v>
      </c>
      <c r="E2479">
        <v>1992</v>
      </c>
      <c r="F2479" t="s">
        <v>22</v>
      </c>
      <c r="G2479" t="s">
        <v>13</v>
      </c>
      <c r="H2479" s="2">
        <v>418.78</v>
      </c>
    </row>
    <row r="2480" spans="1:8">
      <c r="A2480" t="s">
        <v>76</v>
      </c>
      <c r="B2480" t="s">
        <v>77</v>
      </c>
      <c r="C2480" t="s">
        <v>51</v>
      </c>
      <c r="D2480" t="s">
        <v>29</v>
      </c>
      <c r="E2480">
        <v>1992</v>
      </c>
      <c r="F2480" t="s">
        <v>12</v>
      </c>
      <c r="G2480" t="s">
        <v>19</v>
      </c>
      <c r="H2480" s="2">
        <v>0</v>
      </c>
    </row>
    <row r="2481" spans="1:8">
      <c r="A2481" t="s">
        <v>76</v>
      </c>
      <c r="B2481" t="s">
        <v>77</v>
      </c>
      <c r="C2481" t="s">
        <v>51</v>
      </c>
      <c r="D2481" t="s">
        <v>29</v>
      </c>
      <c r="E2481">
        <v>1992</v>
      </c>
      <c r="F2481" t="s">
        <v>14</v>
      </c>
      <c r="G2481" t="s">
        <v>13</v>
      </c>
      <c r="H2481" s="2">
        <v>48892.21</v>
      </c>
    </row>
    <row r="2482" spans="1:8">
      <c r="A2482" t="s">
        <v>76</v>
      </c>
      <c r="B2482" t="s">
        <v>77</v>
      </c>
      <c r="C2482" t="s">
        <v>51</v>
      </c>
      <c r="D2482" t="s">
        <v>29</v>
      </c>
      <c r="E2482">
        <v>1993</v>
      </c>
      <c r="F2482" t="s">
        <v>22</v>
      </c>
      <c r="G2482" t="s">
        <v>15</v>
      </c>
      <c r="H2482" s="2">
        <v>2703.2</v>
      </c>
    </row>
    <row r="2483" spans="1:8">
      <c r="A2483" t="s">
        <v>76</v>
      </c>
      <c r="B2483" t="s">
        <v>77</v>
      </c>
      <c r="C2483" t="s">
        <v>51</v>
      </c>
      <c r="D2483" t="s">
        <v>29</v>
      </c>
      <c r="E2483">
        <v>1993</v>
      </c>
      <c r="F2483" t="s">
        <v>12</v>
      </c>
      <c r="G2483" t="s">
        <v>19</v>
      </c>
      <c r="H2483" s="2">
        <v>0</v>
      </c>
    </row>
    <row r="2484" spans="1:8">
      <c r="A2484" t="s">
        <v>76</v>
      </c>
      <c r="B2484" t="s">
        <v>77</v>
      </c>
      <c r="C2484" t="s">
        <v>51</v>
      </c>
      <c r="D2484" t="s">
        <v>29</v>
      </c>
      <c r="E2484">
        <v>1993</v>
      </c>
      <c r="F2484" t="s">
        <v>14</v>
      </c>
      <c r="G2484" t="s">
        <v>13</v>
      </c>
      <c r="H2484" s="2">
        <v>49544.67</v>
      </c>
    </row>
    <row r="2485" spans="1:8">
      <c r="A2485" t="s">
        <v>76</v>
      </c>
      <c r="B2485" t="s">
        <v>77</v>
      </c>
      <c r="C2485" t="s">
        <v>51</v>
      </c>
      <c r="D2485" t="s">
        <v>29</v>
      </c>
      <c r="E2485">
        <v>1994</v>
      </c>
      <c r="F2485" t="s">
        <v>22</v>
      </c>
      <c r="G2485" t="s">
        <v>17</v>
      </c>
      <c r="H2485" s="2">
        <v>621.34</v>
      </c>
    </row>
    <row r="2486" spans="1:8">
      <c r="A2486" t="s">
        <v>76</v>
      </c>
      <c r="B2486" t="s">
        <v>77</v>
      </c>
      <c r="C2486" t="s">
        <v>51</v>
      </c>
      <c r="D2486" t="s">
        <v>29</v>
      </c>
      <c r="E2486">
        <v>1995</v>
      </c>
      <c r="F2486" t="s">
        <v>21</v>
      </c>
      <c r="G2486" t="s">
        <v>19</v>
      </c>
      <c r="H2486" s="2">
        <v>0</v>
      </c>
    </row>
    <row r="2487" spans="1:8">
      <c r="A2487" t="s">
        <v>76</v>
      </c>
      <c r="B2487" t="s">
        <v>77</v>
      </c>
      <c r="C2487" t="s">
        <v>51</v>
      </c>
      <c r="D2487" t="s">
        <v>29</v>
      </c>
      <c r="E2487">
        <v>1995</v>
      </c>
      <c r="F2487" t="s">
        <v>21</v>
      </c>
      <c r="G2487" t="s">
        <v>17</v>
      </c>
      <c r="H2487" s="2">
        <v>307.72000000000003</v>
      </c>
    </row>
    <row r="2488" spans="1:8">
      <c r="A2488" t="s">
        <v>76</v>
      </c>
      <c r="B2488" t="s">
        <v>77</v>
      </c>
      <c r="C2488" t="s">
        <v>51</v>
      </c>
      <c r="D2488" t="s">
        <v>29</v>
      </c>
      <c r="E2488">
        <v>1995</v>
      </c>
      <c r="F2488" t="s">
        <v>16</v>
      </c>
      <c r="G2488" t="s">
        <v>13</v>
      </c>
      <c r="H2488" s="2">
        <v>258.07</v>
      </c>
    </row>
    <row r="2489" spans="1:8">
      <c r="A2489" t="s">
        <v>76</v>
      </c>
      <c r="B2489" t="s">
        <v>77</v>
      </c>
      <c r="C2489" t="s">
        <v>51</v>
      </c>
      <c r="D2489" t="s">
        <v>29</v>
      </c>
      <c r="E2489">
        <v>1996</v>
      </c>
      <c r="F2489" t="s">
        <v>16</v>
      </c>
      <c r="G2489" t="s">
        <v>19</v>
      </c>
      <c r="H2489" s="2">
        <v>0</v>
      </c>
    </row>
    <row r="2490" spans="1:8">
      <c r="A2490" t="s">
        <v>76</v>
      </c>
      <c r="B2490" t="s">
        <v>77</v>
      </c>
      <c r="C2490" t="s">
        <v>51</v>
      </c>
      <c r="D2490" t="s">
        <v>29</v>
      </c>
      <c r="E2490">
        <v>1997</v>
      </c>
      <c r="F2490" t="s">
        <v>22</v>
      </c>
      <c r="G2490" t="s">
        <v>15</v>
      </c>
      <c r="H2490" s="2">
        <v>2865.79</v>
      </c>
    </row>
    <row r="2491" spans="1:8">
      <c r="A2491" t="s">
        <v>76</v>
      </c>
      <c r="B2491" t="s">
        <v>77</v>
      </c>
      <c r="C2491" t="s">
        <v>51</v>
      </c>
      <c r="D2491" t="s">
        <v>29</v>
      </c>
      <c r="E2491">
        <v>1997</v>
      </c>
      <c r="F2491" t="s">
        <v>12</v>
      </c>
      <c r="G2491" t="s">
        <v>15</v>
      </c>
      <c r="H2491" s="2">
        <v>1162.6500000000001</v>
      </c>
    </row>
    <row r="2492" spans="1:8">
      <c r="A2492" t="s">
        <v>76</v>
      </c>
      <c r="B2492" t="s">
        <v>77</v>
      </c>
      <c r="C2492" t="s">
        <v>51</v>
      </c>
      <c r="D2492" t="s">
        <v>29</v>
      </c>
      <c r="E2492">
        <v>1997</v>
      </c>
      <c r="F2492" t="s">
        <v>16</v>
      </c>
      <c r="G2492" t="s">
        <v>19</v>
      </c>
      <c r="H2492" s="2">
        <v>0</v>
      </c>
    </row>
    <row r="2493" spans="1:8">
      <c r="A2493" t="s">
        <v>76</v>
      </c>
      <c r="B2493" t="s">
        <v>77</v>
      </c>
      <c r="C2493" t="s">
        <v>51</v>
      </c>
      <c r="D2493" t="s">
        <v>29</v>
      </c>
      <c r="E2493">
        <v>1998</v>
      </c>
      <c r="F2493" t="s">
        <v>22</v>
      </c>
      <c r="G2493" t="s">
        <v>19</v>
      </c>
      <c r="H2493" s="2">
        <v>0</v>
      </c>
    </row>
    <row r="2494" spans="1:8">
      <c r="A2494" t="s">
        <v>76</v>
      </c>
      <c r="B2494" t="s">
        <v>77</v>
      </c>
      <c r="C2494" t="s">
        <v>51</v>
      </c>
      <c r="D2494" t="s">
        <v>29</v>
      </c>
      <c r="E2494">
        <v>1998</v>
      </c>
      <c r="F2494" t="s">
        <v>18</v>
      </c>
      <c r="G2494" t="s">
        <v>15</v>
      </c>
      <c r="H2494" s="2">
        <v>854.02</v>
      </c>
    </row>
    <row r="2495" spans="1:8">
      <c r="A2495" t="s">
        <v>76</v>
      </c>
      <c r="B2495" t="s">
        <v>77</v>
      </c>
      <c r="C2495" t="s">
        <v>51</v>
      </c>
      <c r="D2495" t="s">
        <v>29</v>
      </c>
      <c r="E2495">
        <v>1998</v>
      </c>
      <c r="F2495" t="s">
        <v>20</v>
      </c>
      <c r="G2495" t="s">
        <v>19</v>
      </c>
      <c r="H2495" s="2">
        <v>0</v>
      </c>
    </row>
    <row r="2496" spans="1:8">
      <c r="A2496" t="s">
        <v>76</v>
      </c>
      <c r="B2496" t="s">
        <v>77</v>
      </c>
      <c r="C2496" t="s">
        <v>51</v>
      </c>
      <c r="D2496" t="s">
        <v>29</v>
      </c>
      <c r="E2496">
        <v>1999</v>
      </c>
      <c r="F2496" t="s">
        <v>22</v>
      </c>
      <c r="G2496" t="s">
        <v>15</v>
      </c>
      <c r="H2496" s="2">
        <v>2858.38</v>
      </c>
    </row>
    <row r="2497" spans="1:8">
      <c r="A2497" t="s">
        <v>76</v>
      </c>
      <c r="B2497" t="s">
        <v>77</v>
      </c>
      <c r="C2497" t="s">
        <v>51</v>
      </c>
      <c r="D2497" t="s">
        <v>29</v>
      </c>
      <c r="E2497">
        <v>1999</v>
      </c>
      <c r="F2497" t="s">
        <v>12</v>
      </c>
      <c r="G2497" t="s">
        <v>13</v>
      </c>
      <c r="H2497" s="2">
        <v>13131.68</v>
      </c>
    </row>
    <row r="2498" spans="1:8">
      <c r="A2498" t="s">
        <v>76</v>
      </c>
      <c r="B2498" t="s">
        <v>77</v>
      </c>
      <c r="C2498" t="s">
        <v>51</v>
      </c>
      <c r="D2498" t="s">
        <v>29</v>
      </c>
      <c r="E2498">
        <v>1999</v>
      </c>
      <c r="F2498" t="s">
        <v>18</v>
      </c>
      <c r="G2498" t="s">
        <v>15</v>
      </c>
      <c r="H2498" s="2">
        <v>777.91</v>
      </c>
    </row>
    <row r="2499" spans="1:8">
      <c r="A2499" t="s">
        <v>76</v>
      </c>
      <c r="B2499" t="s">
        <v>77</v>
      </c>
      <c r="C2499" t="s">
        <v>51</v>
      </c>
      <c r="D2499" t="s">
        <v>29</v>
      </c>
      <c r="E2499">
        <v>1999</v>
      </c>
      <c r="F2499" t="s">
        <v>21</v>
      </c>
      <c r="G2499" t="s">
        <v>19</v>
      </c>
      <c r="H2499" s="2">
        <v>0</v>
      </c>
    </row>
    <row r="2500" spans="1:8">
      <c r="A2500" t="s">
        <v>76</v>
      </c>
      <c r="B2500" t="s">
        <v>77</v>
      </c>
      <c r="C2500" t="s">
        <v>51</v>
      </c>
      <c r="D2500" t="s">
        <v>29</v>
      </c>
      <c r="E2500">
        <v>2000</v>
      </c>
      <c r="F2500" t="s">
        <v>22</v>
      </c>
      <c r="G2500" t="s">
        <v>17</v>
      </c>
      <c r="H2500" s="2">
        <v>853.59</v>
      </c>
    </row>
    <row r="2501" spans="1:8">
      <c r="A2501" t="s">
        <v>76</v>
      </c>
      <c r="B2501" t="s">
        <v>77</v>
      </c>
      <c r="C2501" t="s">
        <v>51</v>
      </c>
      <c r="D2501" t="s">
        <v>29</v>
      </c>
      <c r="E2501">
        <v>2000</v>
      </c>
      <c r="F2501" t="s">
        <v>12</v>
      </c>
      <c r="G2501" t="s">
        <v>13</v>
      </c>
      <c r="H2501" s="2">
        <v>15318.37</v>
      </c>
    </row>
    <row r="2502" spans="1:8">
      <c r="A2502" t="s">
        <v>76</v>
      </c>
      <c r="B2502" t="s">
        <v>77</v>
      </c>
      <c r="C2502" t="s">
        <v>51</v>
      </c>
      <c r="D2502" t="s">
        <v>29</v>
      </c>
      <c r="E2502">
        <v>2000</v>
      </c>
      <c r="F2502" t="s">
        <v>12</v>
      </c>
      <c r="G2502" t="s">
        <v>19</v>
      </c>
      <c r="H2502" s="2">
        <v>0</v>
      </c>
    </row>
    <row r="2503" spans="1:8">
      <c r="A2503" t="s">
        <v>76</v>
      </c>
      <c r="B2503" t="s">
        <v>77</v>
      </c>
      <c r="C2503" t="s">
        <v>51</v>
      </c>
      <c r="D2503" t="s">
        <v>29</v>
      </c>
      <c r="E2503">
        <v>2000</v>
      </c>
      <c r="F2503" t="s">
        <v>21</v>
      </c>
      <c r="G2503" t="s">
        <v>13</v>
      </c>
      <c r="H2503" s="2">
        <v>33290.120000000003</v>
      </c>
    </row>
    <row r="2504" spans="1:8">
      <c r="A2504" t="s">
        <v>76</v>
      </c>
      <c r="B2504" t="s">
        <v>77</v>
      </c>
      <c r="C2504" t="s">
        <v>51</v>
      </c>
      <c r="D2504" t="s">
        <v>29</v>
      </c>
      <c r="E2504">
        <v>2000</v>
      </c>
      <c r="F2504" t="s">
        <v>16</v>
      </c>
      <c r="G2504" t="s">
        <v>15</v>
      </c>
      <c r="H2504" s="2">
        <v>1478.35</v>
      </c>
    </row>
    <row r="2505" spans="1:8">
      <c r="A2505" t="s">
        <v>76</v>
      </c>
      <c r="B2505" t="s">
        <v>77</v>
      </c>
      <c r="C2505" t="s">
        <v>51</v>
      </c>
      <c r="D2505" t="s">
        <v>29</v>
      </c>
      <c r="E2505">
        <v>2001</v>
      </c>
      <c r="F2505" t="s">
        <v>21</v>
      </c>
      <c r="G2505" t="s">
        <v>17</v>
      </c>
      <c r="H2505" s="2">
        <v>313.39</v>
      </c>
    </row>
    <row r="2506" spans="1:8">
      <c r="A2506" t="s">
        <v>76</v>
      </c>
      <c r="B2506" t="s">
        <v>77</v>
      </c>
      <c r="C2506" t="s">
        <v>51</v>
      </c>
      <c r="D2506" t="s">
        <v>29</v>
      </c>
      <c r="E2506">
        <v>2002</v>
      </c>
      <c r="F2506" t="s">
        <v>12</v>
      </c>
      <c r="G2506" t="s">
        <v>15</v>
      </c>
      <c r="H2506" s="2">
        <v>1234.27</v>
      </c>
    </row>
    <row r="2507" spans="1:8">
      <c r="A2507" t="s">
        <v>76</v>
      </c>
      <c r="B2507" t="s">
        <v>77</v>
      </c>
      <c r="C2507" t="s">
        <v>51</v>
      </c>
      <c r="D2507" t="s">
        <v>29</v>
      </c>
      <c r="E2507">
        <v>2002</v>
      </c>
      <c r="F2507" t="s">
        <v>18</v>
      </c>
      <c r="G2507" t="s">
        <v>13</v>
      </c>
      <c r="H2507" s="2">
        <v>15521.47</v>
      </c>
    </row>
    <row r="2508" spans="1:8">
      <c r="A2508" t="s">
        <v>76</v>
      </c>
      <c r="B2508" t="s">
        <v>77</v>
      </c>
      <c r="C2508" t="s">
        <v>51</v>
      </c>
      <c r="D2508" t="s">
        <v>29</v>
      </c>
      <c r="E2508">
        <v>2002</v>
      </c>
      <c r="F2508" t="s">
        <v>14</v>
      </c>
      <c r="G2508" t="s">
        <v>19</v>
      </c>
      <c r="H2508" s="2">
        <v>0</v>
      </c>
    </row>
    <row r="2509" spans="1:8">
      <c r="A2509" t="s">
        <v>76</v>
      </c>
      <c r="B2509" t="s">
        <v>77</v>
      </c>
      <c r="C2509" t="s">
        <v>51</v>
      </c>
      <c r="D2509" t="s">
        <v>29</v>
      </c>
      <c r="E2509">
        <v>2002</v>
      </c>
      <c r="F2509" t="s">
        <v>16</v>
      </c>
      <c r="G2509" t="s">
        <v>13</v>
      </c>
      <c r="H2509" s="2">
        <v>266.17</v>
      </c>
    </row>
    <row r="2510" spans="1:8">
      <c r="A2510" t="s">
        <v>76</v>
      </c>
      <c r="B2510" t="s">
        <v>77</v>
      </c>
      <c r="C2510" t="s">
        <v>51</v>
      </c>
      <c r="D2510" t="s">
        <v>29</v>
      </c>
      <c r="E2510">
        <v>2003</v>
      </c>
      <c r="F2510" t="s">
        <v>22</v>
      </c>
      <c r="G2510" t="s">
        <v>13</v>
      </c>
      <c r="H2510" s="2">
        <v>412.17</v>
      </c>
    </row>
    <row r="2511" spans="1:8">
      <c r="A2511" t="s">
        <v>76</v>
      </c>
      <c r="B2511" t="s">
        <v>77</v>
      </c>
      <c r="C2511" t="s">
        <v>51</v>
      </c>
      <c r="D2511" t="s">
        <v>29</v>
      </c>
      <c r="E2511">
        <v>2003</v>
      </c>
      <c r="F2511" t="s">
        <v>18</v>
      </c>
      <c r="G2511" t="s">
        <v>13</v>
      </c>
      <c r="H2511" s="2">
        <v>16184.26</v>
      </c>
    </row>
    <row r="2512" spans="1:8">
      <c r="A2512" t="s">
        <v>76</v>
      </c>
      <c r="B2512" t="s">
        <v>77</v>
      </c>
      <c r="C2512" t="s">
        <v>51</v>
      </c>
      <c r="D2512" t="s">
        <v>29</v>
      </c>
      <c r="E2512">
        <v>2003</v>
      </c>
      <c r="F2512" t="s">
        <v>18</v>
      </c>
      <c r="G2512" t="s">
        <v>19</v>
      </c>
      <c r="H2512" s="2">
        <v>938.61</v>
      </c>
    </row>
    <row r="2513" spans="1:8">
      <c r="A2513" t="s">
        <v>76</v>
      </c>
      <c r="B2513" t="s">
        <v>77</v>
      </c>
      <c r="C2513" t="s">
        <v>51</v>
      </c>
      <c r="D2513" t="s">
        <v>29</v>
      </c>
      <c r="E2513">
        <v>2003</v>
      </c>
      <c r="F2513" t="s">
        <v>14</v>
      </c>
      <c r="G2513" t="s">
        <v>15</v>
      </c>
      <c r="H2513" s="2">
        <v>1515.67</v>
      </c>
    </row>
    <row r="2514" spans="1:8">
      <c r="A2514" t="s">
        <v>76</v>
      </c>
      <c r="B2514" t="s">
        <v>77</v>
      </c>
      <c r="C2514" t="s">
        <v>51</v>
      </c>
      <c r="D2514" t="s">
        <v>29</v>
      </c>
      <c r="E2514">
        <v>2003</v>
      </c>
      <c r="F2514" t="s">
        <v>21</v>
      </c>
      <c r="G2514" t="s">
        <v>13</v>
      </c>
      <c r="H2514" s="2">
        <v>32899.800000000003</v>
      </c>
    </row>
    <row r="2515" spans="1:8">
      <c r="A2515" t="s">
        <v>76</v>
      </c>
      <c r="B2515" t="s">
        <v>77</v>
      </c>
      <c r="C2515" t="s">
        <v>51</v>
      </c>
      <c r="D2515" t="s">
        <v>29</v>
      </c>
      <c r="E2515">
        <v>2003</v>
      </c>
      <c r="F2515" t="s">
        <v>16</v>
      </c>
      <c r="G2515" t="s">
        <v>13</v>
      </c>
      <c r="H2515" s="2">
        <v>285.56</v>
      </c>
    </row>
    <row r="2516" spans="1:8">
      <c r="A2516" t="s">
        <v>76</v>
      </c>
      <c r="B2516" t="s">
        <v>77</v>
      </c>
      <c r="C2516" t="s">
        <v>51</v>
      </c>
      <c r="D2516" t="s">
        <v>29</v>
      </c>
      <c r="E2516">
        <v>2004</v>
      </c>
      <c r="F2516" t="s">
        <v>20</v>
      </c>
      <c r="G2516" t="s">
        <v>17</v>
      </c>
      <c r="H2516" s="2">
        <v>-155.82</v>
      </c>
    </row>
    <row r="2517" spans="1:8">
      <c r="A2517" t="s">
        <v>76</v>
      </c>
      <c r="B2517" t="s">
        <v>77</v>
      </c>
      <c r="C2517" t="s">
        <v>51</v>
      </c>
      <c r="D2517" t="s">
        <v>29</v>
      </c>
      <c r="E2517">
        <v>2005</v>
      </c>
      <c r="F2517" t="s">
        <v>12</v>
      </c>
      <c r="G2517" t="s">
        <v>15</v>
      </c>
      <c r="H2517" s="2">
        <v>1131.8399999999999</v>
      </c>
    </row>
    <row r="2518" spans="1:8">
      <c r="A2518" t="s">
        <v>76</v>
      </c>
      <c r="B2518" t="s">
        <v>77</v>
      </c>
      <c r="C2518" t="s">
        <v>51</v>
      </c>
      <c r="D2518" t="s">
        <v>29</v>
      </c>
      <c r="E2518">
        <v>2005</v>
      </c>
      <c r="F2518" t="s">
        <v>20</v>
      </c>
      <c r="G2518" t="s">
        <v>19</v>
      </c>
      <c r="H2518" s="2">
        <v>0</v>
      </c>
    </row>
    <row r="2519" spans="1:8">
      <c r="A2519" t="s">
        <v>76</v>
      </c>
      <c r="B2519" t="s">
        <v>77</v>
      </c>
      <c r="C2519" t="s">
        <v>51</v>
      </c>
      <c r="D2519" t="s">
        <v>29</v>
      </c>
      <c r="E2519">
        <v>2005</v>
      </c>
      <c r="F2519" t="s">
        <v>14</v>
      </c>
      <c r="G2519" t="s">
        <v>15</v>
      </c>
      <c r="H2519" s="2">
        <v>1558.07</v>
      </c>
    </row>
    <row r="2520" spans="1:8">
      <c r="A2520" t="s">
        <v>76</v>
      </c>
      <c r="B2520" t="s">
        <v>77</v>
      </c>
      <c r="C2520" t="s">
        <v>51</v>
      </c>
      <c r="D2520" t="s">
        <v>29</v>
      </c>
      <c r="E2520">
        <v>2006</v>
      </c>
      <c r="F2520" t="s">
        <v>22</v>
      </c>
      <c r="G2520" t="s">
        <v>15</v>
      </c>
      <c r="H2520" s="2">
        <v>2693.42</v>
      </c>
    </row>
    <row r="2521" spans="1:8">
      <c r="A2521" t="s">
        <v>76</v>
      </c>
      <c r="B2521" t="s">
        <v>77</v>
      </c>
      <c r="C2521" t="s">
        <v>51</v>
      </c>
      <c r="D2521" t="s">
        <v>29</v>
      </c>
      <c r="E2521">
        <v>2006</v>
      </c>
      <c r="F2521" t="s">
        <v>22</v>
      </c>
      <c r="G2521" t="s">
        <v>19</v>
      </c>
      <c r="H2521" s="2">
        <v>0</v>
      </c>
    </row>
    <row r="2522" spans="1:8">
      <c r="A2522" t="s">
        <v>76</v>
      </c>
      <c r="B2522" t="s">
        <v>77</v>
      </c>
      <c r="C2522" t="s">
        <v>51</v>
      </c>
      <c r="D2522" t="s">
        <v>29</v>
      </c>
      <c r="E2522">
        <v>2006</v>
      </c>
      <c r="F2522" t="s">
        <v>12</v>
      </c>
      <c r="G2522" t="s">
        <v>15</v>
      </c>
      <c r="H2522" s="2">
        <v>990.9</v>
      </c>
    </row>
    <row r="2523" spans="1:8">
      <c r="A2523" t="s">
        <v>76</v>
      </c>
      <c r="B2523" t="s">
        <v>77</v>
      </c>
      <c r="C2523" t="s">
        <v>51</v>
      </c>
      <c r="D2523" t="s">
        <v>29</v>
      </c>
      <c r="E2523">
        <v>2007</v>
      </c>
      <c r="F2523" t="s">
        <v>18</v>
      </c>
      <c r="G2523" t="s">
        <v>13</v>
      </c>
      <c r="H2523" s="2">
        <v>15531.85</v>
      </c>
    </row>
    <row r="2524" spans="1:8">
      <c r="A2524" t="s">
        <v>76</v>
      </c>
      <c r="B2524" t="s">
        <v>77</v>
      </c>
      <c r="C2524" t="s">
        <v>51</v>
      </c>
      <c r="D2524" t="s">
        <v>29</v>
      </c>
      <c r="E2524">
        <v>2007</v>
      </c>
      <c r="F2524" t="s">
        <v>20</v>
      </c>
      <c r="G2524" t="s">
        <v>19</v>
      </c>
      <c r="H2524" s="2">
        <v>0</v>
      </c>
    </row>
    <row r="2525" spans="1:8">
      <c r="A2525" t="s">
        <v>76</v>
      </c>
      <c r="B2525" t="s">
        <v>77</v>
      </c>
      <c r="C2525" t="s">
        <v>51</v>
      </c>
      <c r="D2525" t="s">
        <v>29</v>
      </c>
      <c r="E2525">
        <v>2007</v>
      </c>
      <c r="F2525" t="s">
        <v>16</v>
      </c>
      <c r="G2525" t="s">
        <v>13</v>
      </c>
      <c r="H2525" s="2">
        <v>265.97000000000003</v>
      </c>
    </row>
    <row r="2526" spans="1:8">
      <c r="A2526" t="s">
        <v>76</v>
      </c>
      <c r="B2526" t="s">
        <v>77</v>
      </c>
      <c r="C2526" t="s">
        <v>51</v>
      </c>
      <c r="D2526" t="s">
        <v>29</v>
      </c>
      <c r="E2526">
        <v>2008</v>
      </c>
      <c r="F2526" t="s">
        <v>14</v>
      </c>
      <c r="G2526" t="s">
        <v>19</v>
      </c>
      <c r="H2526" s="2">
        <v>0</v>
      </c>
    </row>
    <row r="2527" spans="1:8">
      <c r="A2527" t="s">
        <v>76</v>
      </c>
      <c r="B2527" t="s">
        <v>77</v>
      </c>
      <c r="C2527" t="s">
        <v>51</v>
      </c>
      <c r="D2527" t="s">
        <v>29</v>
      </c>
      <c r="E2527">
        <v>2008</v>
      </c>
      <c r="F2527" t="s">
        <v>16</v>
      </c>
      <c r="G2527" t="s">
        <v>19</v>
      </c>
      <c r="H2527" s="2">
        <v>0</v>
      </c>
    </row>
    <row r="2528" spans="1:8">
      <c r="A2528" t="s">
        <v>76</v>
      </c>
      <c r="B2528" t="s">
        <v>77</v>
      </c>
      <c r="C2528" t="s">
        <v>51</v>
      </c>
      <c r="D2528" t="s">
        <v>29</v>
      </c>
      <c r="E2528">
        <v>2009</v>
      </c>
      <c r="F2528" t="s">
        <v>22</v>
      </c>
      <c r="G2528" t="s">
        <v>19</v>
      </c>
      <c r="H2528" s="2">
        <v>0</v>
      </c>
    </row>
    <row r="2529" spans="1:8">
      <c r="A2529" t="s">
        <v>76</v>
      </c>
      <c r="B2529" t="s">
        <v>77</v>
      </c>
      <c r="C2529" t="s">
        <v>51</v>
      </c>
      <c r="D2529" t="s">
        <v>29</v>
      </c>
      <c r="E2529">
        <v>2009</v>
      </c>
      <c r="F2529" t="s">
        <v>12</v>
      </c>
      <c r="G2529" t="s">
        <v>15</v>
      </c>
      <c r="H2529" s="2">
        <v>1104.1500000000001</v>
      </c>
    </row>
    <row r="2530" spans="1:8">
      <c r="A2530" t="s">
        <v>76</v>
      </c>
      <c r="B2530" t="s">
        <v>77</v>
      </c>
      <c r="C2530" t="s">
        <v>51</v>
      </c>
      <c r="D2530" t="s">
        <v>29</v>
      </c>
      <c r="E2530">
        <v>2009</v>
      </c>
      <c r="F2530" t="s">
        <v>20</v>
      </c>
      <c r="G2530" t="s">
        <v>15</v>
      </c>
      <c r="H2530" s="2">
        <v>-178.79</v>
      </c>
    </row>
    <row r="2531" spans="1:8">
      <c r="A2531" t="s">
        <v>76</v>
      </c>
      <c r="B2531" t="s">
        <v>77</v>
      </c>
      <c r="C2531" t="s">
        <v>51</v>
      </c>
      <c r="D2531" t="s">
        <v>29</v>
      </c>
      <c r="E2531">
        <v>2009</v>
      </c>
      <c r="F2531" t="s">
        <v>14</v>
      </c>
      <c r="G2531" t="s">
        <v>15</v>
      </c>
      <c r="H2531" s="2">
        <v>1467.24</v>
      </c>
    </row>
    <row r="2532" spans="1:8">
      <c r="A2532" t="s">
        <v>76</v>
      </c>
      <c r="B2532" t="s">
        <v>77</v>
      </c>
      <c r="C2532" t="s">
        <v>51</v>
      </c>
      <c r="D2532" t="s">
        <v>29</v>
      </c>
      <c r="E2532">
        <v>2010</v>
      </c>
      <c r="F2532" t="s">
        <v>12</v>
      </c>
      <c r="G2532" t="s">
        <v>13</v>
      </c>
      <c r="H2532" s="2">
        <v>14584.71</v>
      </c>
    </row>
    <row r="2533" spans="1:8">
      <c r="A2533" t="s">
        <v>76</v>
      </c>
      <c r="B2533" t="s">
        <v>77</v>
      </c>
      <c r="C2533" t="s">
        <v>51</v>
      </c>
      <c r="D2533" t="s">
        <v>29</v>
      </c>
      <c r="E2533">
        <v>2010</v>
      </c>
      <c r="F2533" t="s">
        <v>18</v>
      </c>
      <c r="G2533" t="s">
        <v>15</v>
      </c>
      <c r="H2533" s="2">
        <v>802.4</v>
      </c>
    </row>
    <row r="2534" spans="1:8">
      <c r="A2534" t="s">
        <v>76</v>
      </c>
      <c r="B2534" t="s">
        <v>77</v>
      </c>
      <c r="C2534" t="s">
        <v>51</v>
      </c>
      <c r="D2534" t="s">
        <v>29</v>
      </c>
      <c r="E2534">
        <v>2010</v>
      </c>
      <c r="F2534" t="s">
        <v>18</v>
      </c>
      <c r="G2534" t="s">
        <v>17</v>
      </c>
      <c r="H2534" s="2">
        <v>834.57</v>
      </c>
    </row>
    <row r="2535" spans="1:8">
      <c r="A2535" t="s">
        <v>76</v>
      </c>
      <c r="B2535" t="s">
        <v>77</v>
      </c>
      <c r="C2535" t="s">
        <v>51</v>
      </c>
      <c r="D2535" t="s">
        <v>29</v>
      </c>
      <c r="E2535">
        <v>2010</v>
      </c>
      <c r="F2535" t="s">
        <v>14</v>
      </c>
      <c r="G2535" t="s">
        <v>13</v>
      </c>
      <c r="H2535" s="2">
        <v>45588.52</v>
      </c>
    </row>
    <row r="2536" spans="1:8">
      <c r="A2536" t="s">
        <v>76</v>
      </c>
      <c r="B2536" t="s">
        <v>77</v>
      </c>
      <c r="C2536" t="s">
        <v>51</v>
      </c>
      <c r="D2536" t="s">
        <v>29</v>
      </c>
      <c r="E2536">
        <v>2010</v>
      </c>
      <c r="F2536" t="s">
        <v>21</v>
      </c>
      <c r="G2536" t="s">
        <v>13</v>
      </c>
      <c r="H2536" s="2">
        <v>32294.400000000001</v>
      </c>
    </row>
    <row r="2537" spans="1:8">
      <c r="A2537" t="s">
        <v>76</v>
      </c>
      <c r="B2537" t="s">
        <v>77</v>
      </c>
      <c r="C2537" t="s">
        <v>51</v>
      </c>
      <c r="D2537" t="s">
        <v>29</v>
      </c>
      <c r="E2537">
        <v>2010</v>
      </c>
      <c r="F2537" t="s">
        <v>16</v>
      </c>
      <c r="G2537" t="s">
        <v>19</v>
      </c>
      <c r="H2537" s="2">
        <v>0</v>
      </c>
    </row>
    <row r="2538" spans="1:8">
      <c r="A2538" t="s">
        <v>76</v>
      </c>
      <c r="B2538" t="s">
        <v>77</v>
      </c>
      <c r="C2538" t="s">
        <v>51</v>
      </c>
      <c r="D2538" t="s">
        <v>29</v>
      </c>
      <c r="E2538">
        <v>2011</v>
      </c>
      <c r="F2538" t="s">
        <v>22</v>
      </c>
      <c r="G2538" t="s">
        <v>13</v>
      </c>
      <c r="H2538" s="2">
        <v>429.56</v>
      </c>
    </row>
    <row r="2539" spans="1:8">
      <c r="A2539" t="s">
        <v>76</v>
      </c>
      <c r="B2539" t="s">
        <v>77</v>
      </c>
      <c r="C2539" t="s">
        <v>51</v>
      </c>
      <c r="D2539" t="s">
        <v>29</v>
      </c>
      <c r="E2539">
        <v>2011</v>
      </c>
      <c r="F2539" t="s">
        <v>22</v>
      </c>
      <c r="G2539" t="s">
        <v>17</v>
      </c>
      <c r="H2539" s="2">
        <v>811.51</v>
      </c>
    </row>
    <row r="2540" spans="1:8">
      <c r="A2540" t="s">
        <v>76</v>
      </c>
      <c r="B2540" t="s">
        <v>77</v>
      </c>
      <c r="C2540" t="s">
        <v>51</v>
      </c>
      <c r="D2540" t="s">
        <v>29</v>
      </c>
      <c r="E2540">
        <v>2011</v>
      </c>
      <c r="F2540" t="s">
        <v>14</v>
      </c>
      <c r="G2540" t="s">
        <v>13</v>
      </c>
      <c r="H2540" s="2">
        <v>51645.99</v>
      </c>
    </row>
    <row r="2541" spans="1:8">
      <c r="A2541" t="s">
        <v>76</v>
      </c>
      <c r="B2541" t="s">
        <v>77</v>
      </c>
      <c r="C2541" t="s">
        <v>51</v>
      </c>
      <c r="D2541" t="s">
        <v>29</v>
      </c>
      <c r="E2541">
        <v>2012</v>
      </c>
      <c r="F2541" t="s">
        <v>18</v>
      </c>
      <c r="G2541" t="s">
        <v>15</v>
      </c>
      <c r="H2541" s="2">
        <v>851.06</v>
      </c>
    </row>
    <row r="2542" spans="1:8">
      <c r="A2542" t="s">
        <v>76</v>
      </c>
      <c r="B2542" t="s">
        <v>77</v>
      </c>
      <c r="C2542" t="s">
        <v>51</v>
      </c>
      <c r="D2542" t="s">
        <v>29</v>
      </c>
      <c r="E2542">
        <v>2012</v>
      </c>
      <c r="F2542" t="s">
        <v>20</v>
      </c>
      <c r="G2542" t="s">
        <v>19</v>
      </c>
      <c r="H2542" s="2">
        <v>0</v>
      </c>
    </row>
    <row r="2543" spans="1:8">
      <c r="A2543" t="s">
        <v>76</v>
      </c>
      <c r="B2543" t="s">
        <v>77</v>
      </c>
      <c r="C2543" t="s">
        <v>51</v>
      </c>
      <c r="D2543" t="s">
        <v>29</v>
      </c>
      <c r="E2543">
        <v>2012</v>
      </c>
      <c r="F2543" t="s">
        <v>20</v>
      </c>
      <c r="G2543" t="s">
        <v>17</v>
      </c>
      <c r="H2543" s="2">
        <v>-160.58000000000001</v>
      </c>
    </row>
    <row r="2544" spans="1:8">
      <c r="A2544" t="s">
        <v>76</v>
      </c>
      <c r="B2544" t="s">
        <v>77</v>
      </c>
      <c r="C2544" t="s">
        <v>51</v>
      </c>
      <c r="D2544" t="s">
        <v>29</v>
      </c>
      <c r="E2544">
        <v>2013</v>
      </c>
      <c r="F2544" t="s">
        <v>14</v>
      </c>
      <c r="G2544" t="s">
        <v>19</v>
      </c>
      <c r="H2544" s="2">
        <v>0</v>
      </c>
    </row>
    <row r="2545" spans="1:8">
      <c r="A2545" t="s">
        <v>76</v>
      </c>
      <c r="B2545" t="s">
        <v>77</v>
      </c>
      <c r="C2545" t="s">
        <v>51</v>
      </c>
      <c r="D2545" t="s">
        <v>29</v>
      </c>
      <c r="E2545">
        <v>2013</v>
      </c>
      <c r="F2545" t="s">
        <v>21</v>
      </c>
      <c r="G2545" t="s">
        <v>19</v>
      </c>
      <c r="H2545" s="2">
        <v>0</v>
      </c>
    </row>
    <row r="2546" spans="1:8">
      <c r="A2546" t="s">
        <v>76</v>
      </c>
      <c r="B2546" t="s">
        <v>77</v>
      </c>
      <c r="C2546" t="s">
        <v>51</v>
      </c>
      <c r="D2546" t="s">
        <v>29</v>
      </c>
      <c r="E2546">
        <v>2014</v>
      </c>
      <c r="F2546" t="s">
        <v>22</v>
      </c>
      <c r="G2546" t="s">
        <v>15</v>
      </c>
      <c r="H2546" s="2">
        <v>2705.02</v>
      </c>
    </row>
    <row r="2547" spans="1:8">
      <c r="A2547" t="s">
        <v>76</v>
      </c>
      <c r="B2547" t="s">
        <v>77</v>
      </c>
      <c r="C2547" t="s">
        <v>51</v>
      </c>
      <c r="D2547" t="s">
        <v>29</v>
      </c>
      <c r="E2547">
        <v>2014</v>
      </c>
      <c r="F2547" t="s">
        <v>22</v>
      </c>
      <c r="G2547" t="s">
        <v>19</v>
      </c>
      <c r="H2547" s="2">
        <v>0</v>
      </c>
    </row>
    <row r="2548" spans="1:8">
      <c r="A2548" t="s">
        <v>76</v>
      </c>
      <c r="B2548" t="s">
        <v>77</v>
      </c>
      <c r="C2548" t="s">
        <v>51</v>
      </c>
      <c r="D2548" t="s">
        <v>29</v>
      </c>
      <c r="E2548">
        <v>2014</v>
      </c>
      <c r="F2548" t="s">
        <v>12</v>
      </c>
      <c r="G2548" t="s">
        <v>13</v>
      </c>
      <c r="H2548" s="2">
        <v>13072.1</v>
      </c>
    </row>
    <row r="2549" spans="1:8">
      <c r="A2549" t="s">
        <v>76</v>
      </c>
      <c r="B2549" t="s">
        <v>77</v>
      </c>
      <c r="C2549" t="s">
        <v>51</v>
      </c>
      <c r="D2549" t="s">
        <v>29</v>
      </c>
      <c r="E2549">
        <v>2014</v>
      </c>
      <c r="F2549" t="s">
        <v>18</v>
      </c>
      <c r="G2549" t="s">
        <v>17</v>
      </c>
      <c r="H2549" s="2">
        <v>823.27</v>
      </c>
    </row>
    <row r="2550" spans="1:8">
      <c r="A2550" t="s">
        <v>76</v>
      </c>
      <c r="B2550" t="s">
        <v>77</v>
      </c>
      <c r="C2550" t="s">
        <v>51</v>
      </c>
      <c r="D2550" t="s">
        <v>29</v>
      </c>
      <c r="E2550">
        <v>2014</v>
      </c>
      <c r="F2550" t="s">
        <v>21</v>
      </c>
      <c r="G2550" t="s">
        <v>19</v>
      </c>
      <c r="H2550" s="2">
        <v>0</v>
      </c>
    </row>
    <row r="2551" spans="1:8">
      <c r="A2551" t="s">
        <v>76</v>
      </c>
      <c r="B2551" t="s">
        <v>77</v>
      </c>
      <c r="C2551" t="s">
        <v>51</v>
      </c>
      <c r="D2551" t="s">
        <v>29</v>
      </c>
      <c r="E2551">
        <v>2014</v>
      </c>
      <c r="F2551" t="s">
        <v>16</v>
      </c>
      <c r="G2551" t="s">
        <v>15</v>
      </c>
      <c r="H2551" s="2">
        <v>1181.83</v>
      </c>
    </row>
    <row r="2552" spans="1:8">
      <c r="A2552" t="s">
        <v>76</v>
      </c>
      <c r="B2552" t="s">
        <v>77</v>
      </c>
      <c r="C2552" t="s">
        <v>51</v>
      </c>
      <c r="D2552" t="s">
        <v>29</v>
      </c>
      <c r="E2552">
        <v>2015</v>
      </c>
      <c r="F2552" t="s">
        <v>12</v>
      </c>
      <c r="G2552" t="s">
        <v>17</v>
      </c>
      <c r="H2552" s="2">
        <v>449.57</v>
      </c>
    </row>
    <row r="2553" spans="1:8">
      <c r="A2553" t="s">
        <v>76</v>
      </c>
      <c r="B2553" t="s">
        <v>77</v>
      </c>
      <c r="C2553" t="s">
        <v>51</v>
      </c>
      <c r="D2553" t="s">
        <v>29</v>
      </c>
      <c r="E2553">
        <v>2015</v>
      </c>
      <c r="F2553" t="s">
        <v>20</v>
      </c>
      <c r="G2553" t="s">
        <v>15</v>
      </c>
      <c r="H2553" s="2">
        <v>-143.82</v>
      </c>
    </row>
    <row r="2554" spans="1:8">
      <c r="A2554" t="s">
        <v>76</v>
      </c>
      <c r="B2554" t="s">
        <v>77</v>
      </c>
      <c r="C2554" t="s">
        <v>51</v>
      </c>
      <c r="D2554" t="s">
        <v>29</v>
      </c>
      <c r="E2554">
        <v>2015</v>
      </c>
      <c r="F2554" t="s">
        <v>20</v>
      </c>
      <c r="G2554" t="s">
        <v>19</v>
      </c>
      <c r="H2554" s="2">
        <v>0</v>
      </c>
    </row>
    <row r="2555" spans="1:8">
      <c r="A2555" t="s">
        <v>76</v>
      </c>
      <c r="B2555" t="s">
        <v>77</v>
      </c>
      <c r="C2555" t="s">
        <v>51</v>
      </c>
      <c r="D2555" t="s">
        <v>29</v>
      </c>
      <c r="E2555">
        <v>2015</v>
      </c>
      <c r="F2555" t="s">
        <v>20</v>
      </c>
      <c r="G2555" t="s">
        <v>17</v>
      </c>
      <c r="H2555" s="2">
        <v>-170.29</v>
      </c>
    </row>
    <row r="2556" spans="1:8">
      <c r="A2556" t="s">
        <v>76</v>
      </c>
      <c r="B2556" t="s">
        <v>77</v>
      </c>
      <c r="C2556" t="s">
        <v>51</v>
      </c>
      <c r="D2556" t="s">
        <v>29</v>
      </c>
      <c r="E2556">
        <v>2015</v>
      </c>
      <c r="F2556" t="s">
        <v>14</v>
      </c>
      <c r="G2556" t="s">
        <v>13</v>
      </c>
      <c r="H2556" s="2">
        <v>48056.21</v>
      </c>
    </row>
    <row r="2557" spans="1:8">
      <c r="A2557" t="s">
        <v>76</v>
      </c>
      <c r="B2557" t="s">
        <v>77</v>
      </c>
      <c r="C2557" t="s">
        <v>51</v>
      </c>
      <c r="D2557" t="s">
        <v>29</v>
      </c>
      <c r="E2557">
        <v>2015</v>
      </c>
      <c r="F2557" t="s">
        <v>21</v>
      </c>
      <c r="G2557" t="s">
        <v>15</v>
      </c>
      <c r="H2557" s="2">
        <v>558.14</v>
      </c>
    </row>
    <row r="2558" spans="1:8">
      <c r="A2558" t="s">
        <v>76</v>
      </c>
      <c r="B2558" t="s">
        <v>77</v>
      </c>
      <c r="C2558" t="s">
        <v>51</v>
      </c>
      <c r="D2558" t="s">
        <v>29</v>
      </c>
      <c r="E2558">
        <v>2016</v>
      </c>
      <c r="F2558" t="s">
        <v>20</v>
      </c>
      <c r="G2558" t="s">
        <v>13</v>
      </c>
      <c r="H2558" s="2">
        <v>-16586.97</v>
      </c>
    </row>
    <row r="2559" spans="1:8">
      <c r="A2559" t="s">
        <v>76</v>
      </c>
      <c r="B2559" t="s">
        <v>77</v>
      </c>
      <c r="C2559" t="s">
        <v>51</v>
      </c>
      <c r="D2559" t="s">
        <v>29</v>
      </c>
      <c r="E2559">
        <v>2018</v>
      </c>
      <c r="F2559" t="s">
        <v>22</v>
      </c>
      <c r="G2559" t="s">
        <v>19</v>
      </c>
      <c r="H2559" s="2">
        <v>0</v>
      </c>
    </row>
    <row r="2560" spans="1:8">
      <c r="A2560" t="s">
        <v>76</v>
      </c>
      <c r="B2560" t="s">
        <v>77</v>
      </c>
      <c r="C2560" t="s">
        <v>51</v>
      </c>
      <c r="D2560" t="s">
        <v>29</v>
      </c>
      <c r="E2560">
        <v>2018</v>
      </c>
      <c r="F2560" t="s">
        <v>12</v>
      </c>
      <c r="G2560" t="s">
        <v>13</v>
      </c>
      <c r="H2560" s="2">
        <v>12354.42</v>
      </c>
    </row>
    <row r="2561" spans="1:8">
      <c r="A2561" t="s">
        <v>76</v>
      </c>
      <c r="B2561" t="s">
        <v>77</v>
      </c>
      <c r="C2561" t="s">
        <v>51</v>
      </c>
      <c r="D2561" t="s">
        <v>29</v>
      </c>
      <c r="E2561">
        <v>2018</v>
      </c>
      <c r="F2561" t="s">
        <v>21</v>
      </c>
      <c r="G2561" t="s">
        <v>19</v>
      </c>
      <c r="H2561" s="2">
        <v>0</v>
      </c>
    </row>
    <row r="2562" spans="1:8">
      <c r="A2562" t="s">
        <v>76</v>
      </c>
      <c r="B2562" t="s">
        <v>77</v>
      </c>
      <c r="C2562" t="s">
        <v>51</v>
      </c>
      <c r="D2562" t="s">
        <v>29</v>
      </c>
      <c r="E2562">
        <v>2018</v>
      </c>
      <c r="F2562" t="s">
        <v>16</v>
      </c>
      <c r="G2562" t="s">
        <v>15</v>
      </c>
      <c r="H2562" s="2">
        <v>1115.6199999999999</v>
      </c>
    </row>
    <row r="2563" spans="1:8">
      <c r="A2563" t="s">
        <v>76</v>
      </c>
      <c r="B2563" t="s">
        <v>77</v>
      </c>
      <c r="C2563" t="s">
        <v>51</v>
      </c>
      <c r="D2563" t="s">
        <v>29</v>
      </c>
      <c r="E2563">
        <v>2019</v>
      </c>
      <c r="F2563" t="s">
        <v>12</v>
      </c>
      <c r="G2563" t="s">
        <v>13</v>
      </c>
      <c r="H2563" s="2">
        <v>13471.87</v>
      </c>
    </row>
    <row r="2564" spans="1:8">
      <c r="A2564" t="s">
        <v>76</v>
      </c>
      <c r="B2564" t="s">
        <v>77</v>
      </c>
      <c r="C2564" t="s">
        <v>51</v>
      </c>
      <c r="D2564" t="s">
        <v>29</v>
      </c>
      <c r="E2564">
        <v>2019</v>
      </c>
      <c r="F2564" t="s">
        <v>21</v>
      </c>
      <c r="G2564" t="s">
        <v>17</v>
      </c>
      <c r="H2564" s="2">
        <v>294.26</v>
      </c>
    </row>
    <row r="2565" spans="1:8">
      <c r="A2565" t="s">
        <v>76</v>
      </c>
      <c r="B2565" t="s">
        <v>77</v>
      </c>
      <c r="C2565" t="s">
        <v>51</v>
      </c>
      <c r="D2565" t="s">
        <v>29</v>
      </c>
      <c r="E2565">
        <v>2020</v>
      </c>
      <c r="F2565" t="s">
        <v>18</v>
      </c>
      <c r="G2565" t="s">
        <v>17</v>
      </c>
      <c r="H2565" s="2">
        <v>724.65</v>
      </c>
    </row>
    <row r="2566" spans="1:8">
      <c r="A2566" t="s">
        <v>76</v>
      </c>
      <c r="B2566" t="s">
        <v>77</v>
      </c>
      <c r="C2566" t="s">
        <v>51</v>
      </c>
      <c r="D2566" t="s">
        <v>29</v>
      </c>
      <c r="E2566">
        <v>2021</v>
      </c>
      <c r="F2566" t="s">
        <v>16</v>
      </c>
      <c r="G2566" t="s">
        <v>15</v>
      </c>
      <c r="H2566" s="2">
        <v>897.37</v>
      </c>
    </row>
    <row r="2567" spans="1:8">
      <c r="A2567" t="s">
        <v>76</v>
      </c>
      <c r="B2567" t="s">
        <v>77</v>
      </c>
      <c r="C2567" t="s">
        <v>51</v>
      </c>
      <c r="D2567" t="s">
        <v>29</v>
      </c>
      <c r="E2567">
        <v>2022</v>
      </c>
      <c r="F2567" t="s">
        <v>18</v>
      </c>
      <c r="G2567" t="s">
        <v>15</v>
      </c>
      <c r="H2567" s="2">
        <v>754.04</v>
      </c>
    </row>
    <row r="2568" spans="1:8">
      <c r="A2568" t="s">
        <v>76</v>
      </c>
      <c r="B2568" t="s">
        <v>77</v>
      </c>
      <c r="C2568" t="s">
        <v>51</v>
      </c>
      <c r="D2568" t="s">
        <v>29</v>
      </c>
      <c r="E2568">
        <v>2022</v>
      </c>
      <c r="F2568" t="s">
        <v>20</v>
      </c>
      <c r="G2568" t="s">
        <v>17</v>
      </c>
      <c r="H2568" s="2">
        <v>-148.31</v>
      </c>
    </row>
    <row r="2569" spans="1:8">
      <c r="A2569" t="s">
        <v>76</v>
      </c>
      <c r="B2569" t="s">
        <v>77</v>
      </c>
      <c r="C2569" t="s">
        <v>51</v>
      </c>
      <c r="D2569" t="s">
        <v>29</v>
      </c>
      <c r="E2569">
        <v>2022</v>
      </c>
      <c r="F2569" t="s">
        <v>14</v>
      </c>
      <c r="G2569" t="s">
        <v>17</v>
      </c>
      <c r="H2569" s="2">
        <v>972.95</v>
      </c>
    </row>
    <row r="2570" spans="1:8">
      <c r="A2570" t="s">
        <v>76</v>
      </c>
      <c r="B2570" t="s">
        <v>77</v>
      </c>
      <c r="C2570" t="s">
        <v>51</v>
      </c>
      <c r="D2570" t="s">
        <v>29</v>
      </c>
      <c r="E2570">
        <v>2023</v>
      </c>
      <c r="F2570" t="s">
        <v>18</v>
      </c>
      <c r="G2570" t="s">
        <v>13</v>
      </c>
      <c r="H2570" s="2">
        <v>14013.5</v>
      </c>
    </row>
    <row r="2571" spans="1:8">
      <c r="A2571" t="s">
        <v>76</v>
      </c>
      <c r="B2571" t="s">
        <v>77</v>
      </c>
      <c r="C2571" t="s">
        <v>51</v>
      </c>
      <c r="D2571" t="s">
        <v>29</v>
      </c>
      <c r="E2571">
        <v>2024</v>
      </c>
      <c r="F2571" t="s">
        <v>22</v>
      </c>
      <c r="G2571" t="s">
        <v>15</v>
      </c>
      <c r="H2571" s="2">
        <v>2304.58</v>
      </c>
    </row>
    <row r="2572" spans="1:8">
      <c r="A2572" t="s">
        <v>76</v>
      </c>
      <c r="B2572" t="s">
        <v>77</v>
      </c>
      <c r="C2572" t="s">
        <v>51</v>
      </c>
      <c r="D2572" t="s">
        <v>29</v>
      </c>
      <c r="E2572">
        <v>2024</v>
      </c>
      <c r="F2572" t="s">
        <v>12</v>
      </c>
      <c r="G2572" t="s">
        <v>13</v>
      </c>
      <c r="H2572" s="2">
        <v>12295.61</v>
      </c>
    </row>
    <row r="2573" spans="1:8">
      <c r="A2573" t="s">
        <v>76</v>
      </c>
      <c r="B2573" t="s">
        <v>77</v>
      </c>
      <c r="C2573" t="s">
        <v>51</v>
      </c>
      <c r="D2573" t="s">
        <v>29</v>
      </c>
      <c r="E2573">
        <v>2024</v>
      </c>
      <c r="F2573" t="s">
        <v>14</v>
      </c>
      <c r="G2573" t="s">
        <v>15</v>
      </c>
      <c r="H2573" s="2">
        <v>1376.86</v>
      </c>
    </row>
    <row r="2574" spans="1:8">
      <c r="A2574" t="s">
        <v>78</v>
      </c>
      <c r="B2574" t="s">
        <v>79</v>
      </c>
      <c r="C2574" t="s">
        <v>28</v>
      </c>
      <c r="D2574" t="s">
        <v>29</v>
      </c>
      <c r="E2574">
        <v>1990</v>
      </c>
      <c r="F2574" t="s">
        <v>12</v>
      </c>
      <c r="G2574" t="s">
        <v>19</v>
      </c>
      <c r="H2574" s="2">
        <v>0</v>
      </c>
    </row>
    <row r="2575" spans="1:8">
      <c r="A2575" t="s">
        <v>78</v>
      </c>
      <c r="B2575" t="s">
        <v>79</v>
      </c>
      <c r="C2575" t="s">
        <v>28</v>
      </c>
      <c r="D2575" t="s">
        <v>29</v>
      </c>
      <c r="E2575">
        <v>1991</v>
      </c>
      <c r="F2575" t="s">
        <v>22</v>
      </c>
      <c r="G2575" t="s">
        <v>17</v>
      </c>
      <c r="H2575" s="2">
        <v>2993.15</v>
      </c>
    </row>
    <row r="2576" spans="1:8">
      <c r="A2576" t="s">
        <v>78</v>
      </c>
      <c r="B2576" t="s">
        <v>79</v>
      </c>
      <c r="C2576" t="s">
        <v>28</v>
      </c>
      <c r="D2576" t="s">
        <v>29</v>
      </c>
      <c r="E2576">
        <v>1991</v>
      </c>
      <c r="F2576" t="s">
        <v>12</v>
      </c>
      <c r="G2576" t="s">
        <v>19</v>
      </c>
      <c r="H2576" s="2">
        <v>0</v>
      </c>
    </row>
    <row r="2577" spans="1:8">
      <c r="A2577" t="s">
        <v>78</v>
      </c>
      <c r="B2577" t="s">
        <v>79</v>
      </c>
      <c r="C2577" t="s">
        <v>28</v>
      </c>
      <c r="D2577" t="s">
        <v>29</v>
      </c>
      <c r="E2577">
        <v>1991</v>
      </c>
      <c r="F2577" t="s">
        <v>18</v>
      </c>
      <c r="G2577" t="s">
        <v>15</v>
      </c>
      <c r="H2577" s="2">
        <v>1161.21</v>
      </c>
    </row>
    <row r="2578" spans="1:8">
      <c r="A2578" t="s">
        <v>78</v>
      </c>
      <c r="B2578" t="s">
        <v>79</v>
      </c>
      <c r="C2578" t="s">
        <v>28</v>
      </c>
      <c r="D2578" t="s">
        <v>29</v>
      </c>
      <c r="E2578">
        <v>1992</v>
      </c>
      <c r="F2578" t="s">
        <v>22</v>
      </c>
      <c r="G2578" t="s">
        <v>13</v>
      </c>
      <c r="H2578" s="2">
        <v>1427.45</v>
      </c>
    </row>
    <row r="2579" spans="1:8">
      <c r="A2579" t="s">
        <v>78</v>
      </c>
      <c r="B2579" t="s">
        <v>79</v>
      </c>
      <c r="C2579" t="s">
        <v>28</v>
      </c>
      <c r="D2579" t="s">
        <v>29</v>
      </c>
      <c r="E2579">
        <v>1992</v>
      </c>
      <c r="F2579" t="s">
        <v>12</v>
      </c>
      <c r="G2579" t="s">
        <v>19</v>
      </c>
      <c r="H2579" s="2">
        <v>0</v>
      </c>
    </row>
    <row r="2580" spans="1:8">
      <c r="A2580" t="s">
        <v>78</v>
      </c>
      <c r="B2580" t="s">
        <v>79</v>
      </c>
      <c r="C2580" t="s">
        <v>28</v>
      </c>
      <c r="D2580" t="s">
        <v>29</v>
      </c>
      <c r="E2580">
        <v>1992</v>
      </c>
      <c r="F2580" t="s">
        <v>18</v>
      </c>
      <c r="G2580" t="s">
        <v>13</v>
      </c>
      <c r="H2580" s="2">
        <v>17278.240000000002</v>
      </c>
    </row>
    <row r="2581" spans="1:8">
      <c r="A2581" t="s">
        <v>78</v>
      </c>
      <c r="B2581" t="s">
        <v>79</v>
      </c>
      <c r="C2581" t="s">
        <v>28</v>
      </c>
      <c r="D2581" t="s">
        <v>29</v>
      </c>
      <c r="E2581">
        <v>1992</v>
      </c>
      <c r="F2581" t="s">
        <v>20</v>
      </c>
      <c r="G2581" t="s">
        <v>19</v>
      </c>
      <c r="H2581" s="2">
        <v>0</v>
      </c>
    </row>
    <row r="2582" spans="1:8">
      <c r="A2582" t="s">
        <v>78</v>
      </c>
      <c r="B2582" t="s">
        <v>79</v>
      </c>
      <c r="C2582" t="s">
        <v>28</v>
      </c>
      <c r="D2582" t="s">
        <v>29</v>
      </c>
      <c r="E2582">
        <v>1992</v>
      </c>
      <c r="F2582" t="s">
        <v>14</v>
      </c>
      <c r="G2582" t="s">
        <v>13</v>
      </c>
      <c r="H2582" s="2">
        <v>3331.85</v>
      </c>
    </row>
    <row r="2583" spans="1:8">
      <c r="A2583" t="s">
        <v>78</v>
      </c>
      <c r="B2583" t="s">
        <v>79</v>
      </c>
      <c r="C2583" t="s">
        <v>28</v>
      </c>
      <c r="D2583" t="s">
        <v>29</v>
      </c>
      <c r="E2583">
        <v>1992</v>
      </c>
      <c r="F2583" t="s">
        <v>16</v>
      </c>
      <c r="G2583" t="s">
        <v>15</v>
      </c>
      <c r="H2583" s="2">
        <v>360.45</v>
      </c>
    </row>
    <row r="2584" spans="1:8">
      <c r="A2584" t="s">
        <v>78</v>
      </c>
      <c r="B2584" t="s">
        <v>79</v>
      </c>
      <c r="C2584" t="s">
        <v>28</v>
      </c>
      <c r="D2584" t="s">
        <v>29</v>
      </c>
      <c r="E2584">
        <v>1993</v>
      </c>
      <c r="F2584" t="s">
        <v>12</v>
      </c>
      <c r="G2584" t="s">
        <v>19</v>
      </c>
      <c r="H2584" s="2">
        <v>0</v>
      </c>
    </row>
    <row r="2585" spans="1:8">
      <c r="A2585" t="s">
        <v>78</v>
      </c>
      <c r="B2585" t="s">
        <v>79</v>
      </c>
      <c r="C2585" t="s">
        <v>28</v>
      </c>
      <c r="D2585" t="s">
        <v>29</v>
      </c>
      <c r="E2585">
        <v>1993</v>
      </c>
      <c r="F2585" t="s">
        <v>18</v>
      </c>
      <c r="G2585" t="s">
        <v>15</v>
      </c>
      <c r="H2585" s="2">
        <v>963.28</v>
      </c>
    </row>
    <row r="2586" spans="1:8">
      <c r="A2586" t="s">
        <v>78</v>
      </c>
      <c r="B2586" t="s">
        <v>79</v>
      </c>
      <c r="C2586" t="s">
        <v>28</v>
      </c>
      <c r="D2586" t="s">
        <v>29</v>
      </c>
      <c r="E2586">
        <v>1993</v>
      </c>
      <c r="F2586" t="s">
        <v>14</v>
      </c>
      <c r="G2586" t="s">
        <v>13</v>
      </c>
      <c r="H2586" s="2">
        <v>3335.18</v>
      </c>
    </row>
    <row r="2587" spans="1:8">
      <c r="A2587" t="s">
        <v>78</v>
      </c>
      <c r="B2587" t="s">
        <v>79</v>
      </c>
      <c r="C2587" t="s">
        <v>28</v>
      </c>
      <c r="D2587" t="s">
        <v>29</v>
      </c>
      <c r="E2587">
        <v>1993</v>
      </c>
      <c r="F2587" t="s">
        <v>16</v>
      </c>
      <c r="G2587" t="s">
        <v>13</v>
      </c>
      <c r="H2587" s="2">
        <v>71.459999999999994</v>
      </c>
    </row>
    <row r="2588" spans="1:8">
      <c r="A2588" t="s">
        <v>78</v>
      </c>
      <c r="B2588" t="s">
        <v>79</v>
      </c>
      <c r="C2588" t="s">
        <v>28</v>
      </c>
      <c r="D2588" t="s">
        <v>29</v>
      </c>
      <c r="E2588">
        <v>1994</v>
      </c>
      <c r="F2588" t="s">
        <v>16</v>
      </c>
      <c r="G2588" t="s">
        <v>13</v>
      </c>
      <c r="H2588" s="2">
        <v>65.349999999999994</v>
      </c>
    </row>
    <row r="2589" spans="1:8">
      <c r="A2589" t="s">
        <v>78</v>
      </c>
      <c r="B2589" t="s">
        <v>79</v>
      </c>
      <c r="C2589" t="s">
        <v>28</v>
      </c>
      <c r="D2589" t="s">
        <v>29</v>
      </c>
      <c r="E2589">
        <v>1994</v>
      </c>
      <c r="F2589" t="s">
        <v>16</v>
      </c>
      <c r="G2589" t="s">
        <v>17</v>
      </c>
      <c r="H2589" s="2">
        <v>22.43</v>
      </c>
    </row>
    <row r="2590" spans="1:8">
      <c r="A2590" t="s">
        <v>78</v>
      </c>
      <c r="B2590" t="s">
        <v>79</v>
      </c>
      <c r="C2590" t="s">
        <v>28</v>
      </c>
      <c r="D2590" t="s">
        <v>29</v>
      </c>
      <c r="E2590">
        <v>1995</v>
      </c>
      <c r="F2590" t="s">
        <v>12</v>
      </c>
      <c r="G2590" t="s">
        <v>15</v>
      </c>
      <c r="H2590" s="2">
        <v>547.11</v>
      </c>
    </row>
    <row r="2591" spans="1:8">
      <c r="A2591" t="s">
        <v>78</v>
      </c>
      <c r="B2591" t="s">
        <v>79</v>
      </c>
      <c r="C2591" t="s">
        <v>28</v>
      </c>
      <c r="D2591" t="s">
        <v>29</v>
      </c>
      <c r="E2591">
        <v>1995</v>
      </c>
      <c r="F2591" t="s">
        <v>20</v>
      </c>
      <c r="G2591" t="s">
        <v>17</v>
      </c>
      <c r="H2591" s="2">
        <v>-81.87</v>
      </c>
    </row>
    <row r="2592" spans="1:8">
      <c r="A2592" t="s">
        <v>78</v>
      </c>
      <c r="B2592" t="s">
        <v>79</v>
      </c>
      <c r="C2592" t="s">
        <v>28</v>
      </c>
      <c r="D2592" t="s">
        <v>29</v>
      </c>
      <c r="E2592">
        <v>1996</v>
      </c>
      <c r="F2592" t="s">
        <v>22</v>
      </c>
      <c r="G2592" t="s">
        <v>15</v>
      </c>
      <c r="H2592" s="2">
        <v>9520.8799999999992</v>
      </c>
    </row>
    <row r="2593" spans="1:8">
      <c r="A2593" t="s">
        <v>78</v>
      </c>
      <c r="B2593" t="s">
        <v>79</v>
      </c>
      <c r="C2593" t="s">
        <v>28</v>
      </c>
      <c r="D2593" t="s">
        <v>29</v>
      </c>
      <c r="E2593">
        <v>1996</v>
      </c>
      <c r="F2593" t="s">
        <v>22</v>
      </c>
      <c r="G2593" t="s">
        <v>13</v>
      </c>
      <c r="H2593" s="2">
        <v>1463.09</v>
      </c>
    </row>
    <row r="2594" spans="1:8">
      <c r="A2594" t="s">
        <v>78</v>
      </c>
      <c r="B2594" t="s">
        <v>79</v>
      </c>
      <c r="C2594" t="s">
        <v>28</v>
      </c>
      <c r="D2594" t="s">
        <v>29</v>
      </c>
      <c r="E2594">
        <v>1996</v>
      </c>
      <c r="F2594" t="s">
        <v>12</v>
      </c>
      <c r="G2594" t="s">
        <v>17</v>
      </c>
      <c r="H2594" s="2">
        <v>278.60000000000002</v>
      </c>
    </row>
    <row r="2595" spans="1:8">
      <c r="A2595" t="s">
        <v>78</v>
      </c>
      <c r="B2595" t="s">
        <v>79</v>
      </c>
      <c r="C2595" t="s">
        <v>28</v>
      </c>
      <c r="D2595" t="s">
        <v>29</v>
      </c>
      <c r="E2595">
        <v>1997</v>
      </c>
      <c r="F2595" t="s">
        <v>18</v>
      </c>
      <c r="G2595" t="s">
        <v>15</v>
      </c>
      <c r="H2595" s="2">
        <v>1153.3399999999999</v>
      </c>
    </row>
    <row r="2596" spans="1:8">
      <c r="A2596" t="s">
        <v>78</v>
      </c>
      <c r="B2596" t="s">
        <v>79</v>
      </c>
      <c r="C2596" t="s">
        <v>28</v>
      </c>
      <c r="D2596" t="s">
        <v>29</v>
      </c>
      <c r="E2596">
        <v>1997</v>
      </c>
      <c r="F2596" t="s">
        <v>20</v>
      </c>
      <c r="G2596" t="s">
        <v>17</v>
      </c>
      <c r="H2596" s="2">
        <v>-96.59</v>
      </c>
    </row>
    <row r="2597" spans="1:8">
      <c r="A2597" t="s">
        <v>78</v>
      </c>
      <c r="B2597" t="s">
        <v>79</v>
      </c>
      <c r="C2597" t="s">
        <v>28</v>
      </c>
      <c r="D2597" t="s">
        <v>29</v>
      </c>
      <c r="E2597">
        <v>1997</v>
      </c>
      <c r="F2597" t="s">
        <v>14</v>
      </c>
      <c r="G2597" t="s">
        <v>15</v>
      </c>
      <c r="H2597" s="2">
        <v>104.63</v>
      </c>
    </row>
    <row r="2598" spans="1:8">
      <c r="A2598" t="s">
        <v>78</v>
      </c>
      <c r="B2598" t="s">
        <v>79</v>
      </c>
      <c r="C2598" t="s">
        <v>28</v>
      </c>
      <c r="D2598" t="s">
        <v>29</v>
      </c>
      <c r="E2598">
        <v>1997</v>
      </c>
      <c r="F2598" t="s">
        <v>21</v>
      </c>
      <c r="G2598" t="s">
        <v>19</v>
      </c>
      <c r="H2598" s="2">
        <v>0</v>
      </c>
    </row>
    <row r="2599" spans="1:8">
      <c r="A2599" t="s">
        <v>78</v>
      </c>
      <c r="B2599" t="s">
        <v>79</v>
      </c>
      <c r="C2599" t="s">
        <v>28</v>
      </c>
      <c r="D2599" t="s">
        <v>29</v>
      </c>
      <c r="E2599">
        <v>1998</v>
      </c>
      <c r="F2599" t="s">
        <v>21</v>
      </c>
      <c r="G2599" t="s">
        <v>17</v>
      </c>
      <c r="H2599" s="2">
        <v>69.260000000000005</v>
      </c>
    </row>
    <row r="2600" spans="1:8">
      <c r="A2600" t="s">
        <v>78</v>
      </c>
      <c r="B2600" t="s">
        <v>79</v>
      </c>
      <c r="C2600" t="s">
        <v>28</v>
      </c>
      <c r="D2600" t="s">
        <v>29</v>
      </c>
      <c r="E2600">
        <v>1999</v>
      </c>
      <c r="F2600" t="s">
        <v>22</v>
      </c>
      <c r="G2600" t="s">
        <v>17</v>
      </c>
      <c r="H2600" s="2">
        <v>2896.18</v>
      </c>
    </row>
    <row r="2601" spans="1:8">
      <c r="A2601" t="s">
        <v>78</v>
      </c>
      <c r="B2601" t="s">
        <v>79</v>
      </c>
      <c r="C2601" t="s">
        <v>28</v>
      </c>
      <c r="D2601" t="s">
        <v>29</v>
      </c>
      <c r="E2601">
        <v>1999</v>
      </c>
      <c r="F2601" t="s">
        <v>20</v>
      </c>
      <c r="G2601" t="s">
        <v>15</v>
      </c>
      <c r="H2601" s="2">
        <v>-87.37</v>
      </c>
    </row>
    <row r="2602" spans="1:8">
      <c r="A2602" t="s">
        <v>78</v>
      </c>
      <c r="B2602" t="s">
        <v>79</v>
      </c>
      <c r="C2602" t="s">
        <v>28</v>
      </c>
      <c r="D2602" t="s">
        <v>29</v>
      </c>
      <c r="E2602">
        <v>1999</v>
      </c>
      <c r="F2602" t="s">
        <v>20</v>
      </c>
      <c r="G2602" t="s">
        <v>17</v>
      </c>
      <c r="H2602" s="2">
        <v>-90.82</v>
      </c>
    </row>
    <row r="2603" spans="1:8">
      <c r="A2603" t="s">
        <v>78</v>
      </c>
      <c r="B2603" t="s">
        <v>79</v>
      </c>
      <c r="C2603" t="s">
        <v>28</v>
      </c>
      <c r="D2603" t="s">
        <v>29</v>
      </c>
      <c r="E2603">
        <v>1999</v>
      </c>
      <c r="F2603" t="s">
        <v>21</v>
      </c>
      <c r="G2603" t="s">
        <v>19</v>
      </c>
      <c r="H2603" s="2">
        <v>0</v>
      </c>
    </row>
    <row r="2604" spans="1:8">
      <c r="A2604" t="s">
        <v>78</v>
      </c>
      <c r="B2604" t="s">
        <v>79</v>
      </c>
      <c r="C2604" t="s">
        <v>28</v>
      </c>
      <c r="D2604" t="s">
        <v>29</v>
      </c>
      <c r="E2604">
        <v>1999</v>
      </c>
      <c r="F2604" t="s">
        <v>16</v>
      </c>
      <c r="G2604" t="s">
        <v>13</v>
      </c>
      <c r="H2604" s="2">
        <v>67.56</v>
      </c>
    </row>
    <row r="2605" spans="1:8">
      <c r="A2605" t="s">
        <v>78</v>
      </c>
      <c r="B2605" t="s">
        <v>79</v>
      </c>
      <c r="C2605" t="s">
        <v>28</v>
      </c>
      <c r="D2605" t="s">
        <v>29</v>
      </c>
      <c r="E2605">
        <v>2000</v>
      </c>
      <c r="F2605" t="s">
        <v>12</v>
      </c>
      <c r="G2605" t="s">
        <v>15</v>
      </c>
      <c r="H2605" s="2">
        <v>533.54999999999995</v>
      </c>
    </row>
    <row r="2606" spans="1:8">
      <c r="A2606" t="s">
        <v>78</v>
      </c>
      <c r="B2606" t="s">
        <v>79</v>
      </c>
      <c r="C2606" t="s">
        <v>28</v>
      </c>
      <c r="D2606" t="s">
        <v>29</v>
      </c>
      <c r="E2606">
        <v>2001</v>
      </c>
      <c r="F2606" t="s">
        <v>22</v>
      </c>
      <c r="G2606" t="s">
        <v>19</v>
      </c>
      <c r="H2606" s="2">
        <v>0</v>
      </c>
    </row>
    <row r="2607" spans="1:8">
      <c r="A2607" t="s">
        <v>78</v>
      </c>
      <c r="B2607" t="s">
        <v>79</v>
      </c>
      <c r="C2607" t="s">
        <v>28</v>
      </c>
      <c r="D2607" t="s">
        <v>29</v>
      </c>
      <c r="E2607">
        <v>2001</v>
      </c>
      <c r="F2607" t="s">
        <v>12</v>
      </c>
      <c r="G2607" t="s">
        <v>17</v>
      </c>
      <c r="H2607" s="2">
        <v>249.27</v>
      </c>
    </row>
    <row r="2608" spans="1:8">
      <c r="A2608" t="s">
        <v>78</v>
      </c>
      <c r="B2608" t="s">
        <v>79</v>
      </c>
      <c r="C2608" t="s">
        <v>28</v>
      </c>
      <c r="D2608" t="s">
        <v>29</v>
      </c>
      <c r="E2608">
        <v>2001</v>
      </c>
      <c r="F2608" t="s">
        <v>18</v>
      </c>
      <c r="G2608" t="s">
        <v>15</v>
      </c>
      <c r="H2608" s="2">
        <v>999.54</v>
      </c>
    </row>
    <row r="2609" spans="1:8">
      <c r="A2609" t="s">
        <v>78</v>
      </c>
      <c r="B2609" t="s">
        <v>79</v>
      </c>
      <c r="C2609" t="s">
        <v>28</v>
      </c>
      <c r="D2609" t="s">
        <v>29</v>
      </c>
      <c r="E2609">
        <v>2001</v>
      </c>
      <c r="F2609" t="s">
        <v>18</v>
      </c>
      <c r="G2609" t="s">
        <v>13</v>
      </c>
      <c r="H2609" s="2">
        <v>15334.82</v>
      </c>
    </row>
    <row r="2610" spans="1:8">
      <c r="A2610" t="s">
        <v>78</v>
      </c>
      <c r="B2610" t="s">
        <v>79</v>
      </c>
      <c r="C2610" t="s">
        <v>28</v>
      </c>
      <c r="D2610" t="s">
        <v>29</v>
      </c>
      <c r="E2610">
        <v>2001</v>
      </c>
      <c r="F2610" t="s">
        <v>21</v>
      </c>
      <c r="G2610" t="s">
        <v>15</v>
      </c>
      <c r="H2610" s="2">
        <v>131.99</v>
      </c>
    </row>
    <row r="2611" spans="1:8">
      <c r="A2611" t="s">
        <v>78</v>
      </c>
      <c r="B2611" t="s">
        <v>79</v>
      </c>
      <c r="C2611" t="s">
        <v>28</v>
      </c>
      <c r="D2611" t="s">
        <v>29</v>
      </c>
      <c r="E2611">
        <v>2001</v>
      </c>
      <c r="F2611" t="s">
        <v>16</v>
      </c>
      <c r="G2611" t="s">
        <v>17</v>
      </c>
      <c r="H2611" s="2">
        <v>21.73</v>
      </c>
    </row>
    <row r="2612" spans="1:8">
      <c r="A2612" t="s">
        <v>78</v>
      </c>
      <c r="B2612" t="s">
        <v>79</v>
      </c>
      <c r="C2612" t="s">
        <v>28</v>
      </c>
      <c r="D2612" t="s">
        <v>29</v>
      </c>
      <c r="E2612">
        <v>2002</v>
      </c>
      <c r="F2612" t="s">
        <v>20</v>
      </c>
      <c r="G2612" t="s">
        <v>15</v>
      </c>
      <c r="H2612" s="2">
        <v>-84.69</v>
      </c>
    </row>
    <row r="2613" spans="1:8">
      <c r="A2613" t="s">
        <v>78</v>
      </c>
      <c r="B2613" t="s">
        <v>79</v>
      </c>
      <c r="C2613" t="s">
        <v>28</v>
      </c>
      <c r="D2613" t="s">
        <v>29</v>
      </c>
      <c r="E2613">
        <v>2002</v>
      </c>
      <c r="F2613" t="s">
        <v>20</v>
      </c>
      <c r="G2613" t="s">
        <v>13</v>
      </c>
      <c r="H2613" s="2">
        <v>-8273.11</v>
      </c>
    </row>
    <row r="2614" spans="1:8">
      <c r="A2614" t="s">
        <v>78</v>
      </c>
      <c r="B2614" t="s">
        <v>79</v>
      </c>
      <c r="C2614" t="s">
        <v>28</v>
      </c>
      <c r="D2614" t="s">
        <v>29</v>
      </c>
      <c r="E2614">
        <v>2002</v>
      </c>
      <c r="F2614" t="s">
        <v>14</v>
      </c>
      <c r="G2614" t="s">
        <v>15</v>
      </c>
      <c r="H2614" s="2">
        <v>88.88</v>
      </c>
    </row>
    <row r="2615" spans="1:8">
      <c r="A2615" t="s">
        <v>78</v>
      </c>
      <c r="B2615" t="s">
        <v>79</v>
      </c>
      <c r="C2615" t="s">
        <v>28</v>
      </c>
      <c r="D2615" t="s">
        <v>29</v>
      </c>
      <c r="E2615">
        <v>2003</v>
      </c>
      <c r="F2615" t="s">
        <v>18</v>
      </c>
      <c r="G2615" t="s">
        <v>13</v>
      </c>
      <c r="H2615" s="2">
        <v>15988.66</v>
      </c>
    </row>
    <row r="2616" spans="1:8">
      <c r="A2616" t="s">
        <v>78</v>
      </c>
      <c r="B2616" t="s">
        <v>79</v>
      </c>
      <c r="C2616" t="s">
        <v>28</v>
      </c>
      <c r="D2616" t="s">
        <v>29</v>
      </c>
      <c r="E2616">
        <v>2004</v>
      </c>
      <c r="F2616" t="s">
        <v>12</v>
      </c>
      <c r="G2616" t="s">
        <v>17</v>
      </c>
      <c r="H2616" s="2">
        <v>267.22000000000003</v>
      </c>
    </row>
    <row r="2617" spans="1:8">
      <c r="A2617" t="s">
        <v>78</v>
      </c>
      <c r="B2617" t="s">
        <v>79</v>
      </c>
      <c r="C2617" t="s">
        <v>28</v>
      </c>
      <c r="D2617" t="s">
        <v>29</v>
      </c>
      <c r="E2617">
        <v>2004</v>
      </c>
      <c r="F2617" t="s">
        <v>20</v>
      </c>
      <c r="G2617" t="s">
        <v>15</v>
      </c>
      <c r="H2617" s="2">
        <v>-89.46</v>
      </c>
    </row>
    <row r="2618" spans="1:8">
      <c r="A2618" t="s">
        <v>78</v>
      </c>
      <c r="B2618" t="s">
        <v>79</v>
      </c>
      <c r="C2618" t="s">
        <v>28</v>
      </c>
      <c r="D2618" t="s">
        <v>29</v>
      </c>
      <c r="E2618">
        <v>2004</v>
      </c>
      <c r="F2618" t="s">
        <v>14</v>
      </c>
      <c r="G2618" t="s">
        <v>15</v>
      </c>
      <c r="H2618" s="2">
        <v>98.62</v>
      </c>
    </row>
    <row r="2619" spans="1:8">
      <c r="A2619" t="s">
        <v>78</v>
      </c>
      <c r="B2619" t="s">
        <v>79</v>
      </c>
      <c r="C2619" t="s">
        <v>28</v>
      </c>
      <c r="D2619" t="s">
        <v>29</v>
      </c>
      <c r="E2619">
        <v>2004</v>
      </c>
      <c r="F2619" t="s">
        <v>21</v>
      </c>
      <c r="G2619" t="s">
        <v>15</v>
      </c>
      <c r="H2619" s="2">
        <v>157.72999999999999</v>
      </c>
    </row>
    <row r="2620" spans="1:8">
      <c r="A2620" t="s">
        <v>78</v>
      </c>
      <c r="B2620" t="s">
        <v>79</v>
      </c>
      <c r="C2620" t="s">
        <v>28</v>
      </c>
      <c r="D2620" t="s">
        <v>29</v>
      </c>
      <c r="E2620">
        <v>2005</v>
      </c>
      <c r="F2620" t="s">
        <v>22</v>
      </c>
      <c r="G2620" t="s">
        <v>19</v>
      </c>
      <c r="H2620" s="2">
        <v>0</v>
      </c>
    </row>
    <row r="2621" spans="1:8">
      <c r="A2621" t="s">
        <v>78</v>
      </c>
      <c r="B2621" t="s">
        <v>79</v>
      </c>
      <c r="C2621" t="s">
        <v>28</v>
      </c>
      <c r="D2621" t="s">
        <v>29</v>
      </c>
      <c r="E2621">
        <v>2005</v>
      </c>
      <c r="F2621" t="s">
        <v>20</v>
      </c>
      <c r="G2621" t="s">
        <v>17</v>
      </c>
      <c r="H2621" s="2">
        <v>-88.11</v>
      </c>
    </row>
    <row r="2622" spans="1:8">
      <c r="A2622" t="s">
        <v>78</v>
      </c>
      <c r="B2622" t="s">
        <v>79</v>
      </c>
      <c r="C2622" t="s">
        <v>28</v>
      </c>
      <c r="D2622" t="s">
        <v>29</v>
      </c>
      <c r="E2622">
        <v>2006</v>
      </c>
      <c r="F2622" t="s">
        <v>22</v>
      </c>
      <c r="G2622" t="s">
        <v>19</v>
      </c>
      <c r="H2622" s="2">
        <v>0</v>
      </c>
    </row>
    <row r="2623" spans="1:8">
      <c r="A2623" t="s">
        <v>78</v>
      </c>
      <c r="B2623" t="s">
        <v>79</v>
      </c>
      <c r="C2623" t="s">
        <v>28</v>
      </c>
      <c r="D2623" t="s">
        <v>29</v>
      </c>
      <c r="E2623">
        <v>2006</v>
      </c>
      <c r="F2623" t="s">
        <v>18</v>
      </c>
      <c r="G2623" t="s">
        <v>15</v>
      </c>
      <c r="H2623" s="2">
        <v>913.87</v>
      </c>
    </row>
    <row r="2624" spans="1:8">
      <c r="A2624" t="s">
        <v>78</v>
      </c>
      <c r="B2624" t="s">
        <v>79</v>
      </c>
      <c r="C2624" t="s">
        <v>28</v>
      </c>
      <c r="D2624" t="s">
        <v>29</v>
      </c>
      <c r="E2624">
        <v>2006</v>
      </c>
      <c r="F2624" t="s">
        <v>18</v>
      </c>
      <c r="G2624" t="s">
        <v>17</v>
      </c>
      <c r="H2624" s="2">
        <v>975.66</v>
      </c>
    </row>
    <row r="2625" spans="1:8">
      <c r="A2625" t="s">
        <v>78</v>
      </c>
      <c r="B2625" t="s">
        <v>79</v>
      </c>
      <c r="C2625" t="s">
        <v>28</v>
      </c>
      <c r="D2625" t="s">
        <v>29</v>
      </c>
      <c r="E2625">
        <v>2006</v>
      </c>
      <c r="F2625" t="s">
        <v>20</v>
      </c>
      <c r="G2625" t="s">
        <v>17</v>
      </c>
      <c r="H2625" s="2">
        <v>-82.56</v>
      </c>
    </row>
    <row r="2626" spans="1:8">
      <c r="A2626" t="s">
        <v>78</v>
      </c>
      <c r="B2626" t="s">
        <v>79</v>
      </c>
      <c r="C2626" t="s">
        <v>28</v>
      </c>
      <c r="D2626" t="s">
        <v>29</v>
      </c>
      <c r="E2626">
        <v>2006</v>
      </c>
      <c r="F2626" t="s">
        <v>14</v>
      </c>
      <c r="G2626" t="s">
        <v>13</v>
      </c>
      <c r="H2626" s="2">
        <v>2907.71</v>
      </c>
    </row>
    <row r="2627" spans="1:8">
      <c r="A2627" t="s">
        <v>78</v>
      </c>
      <c r="B2627" t="s">
        <v>79</v>
      </c>
      <c r="C2627" t="s">
        <v>28</v>
      </c>
      <c r="D2627" t="s">
        <v>29</v>
      </c>
      <c r="E2627">
        <v>2006</v>
      </c>
      <c r="F2627" t="s">
        <v>21</v>
      </c>
      <c r="G2627" t="s">
        <v>19</v>
      </c>
      <c r="H2627" s="2">
        <v>0</v>
      </c>
    </row>
    <row r="2628" spans="1:8">
      <c r="A2628" t="s">
        <v>78</v>
      </c>
      <c r="B2628" t="s">
        <v>79</v>
      </c>
      <c r="C2628" t="s">
        <v>28</v>
      </c>
      <c r="D2628" t="s">
        <v>29</v>
      </c>
      <c r="E2628">
        <v>2007</v>
      </c>
      <c r="F2628" t="s">
        <v>22</v>
      </c>
      <c r="G2628" t="s">
        <v>15</v>
      </c>
      <c r="H2628" s="2">
        <v>9386.56</v>
      </c>
    </row>
    <row r="2629" spans="1:8">
      <c r="A2629" t="s">
        <v>78</v>
      </c>
      <c r="B2629" t="s">
        <v>79</v>
      </c>
      <c r="C2629" t="s">
        <v>28</v>
      </c>
      <c r="D2629" t="s">
        <v>29</v>
      </c>
      <c r="E2629">
        <v>2007</v>
      </c>
      <c r="F2629" t="s">
        <v>12</v>
      </c>
      <c r="G2629" t="s">
        <v>13</v>
      </c>
      <c r="H2629" s="2">
        <v>6838.26</v>
      </c>
    </row>
    <row r="2630" spans="1:8">
      <c r="A2630" t="s">
        <v>78</v>
      </c>
      <c r="B2630" t="s">
        <v>79</v>
      </c>
      <c r="C2630" t="s">
        <v>28</v>
      </c>
      <c r="D2630" t="s">
        <v>29</v>
      </c>
      <c r="E2630">
        <v>2007</v>
      </c>
      <c r="F2630" t="s">
        <v>20</v>
      </c>
      <c r="G2630" t="s">
        <v>17</v>
      </c>
      <c r="H2630" s="2">
        <v>-72.28</v>
      </c>
    </row>
    <row r="2631" spans="1:8">
      <c r="A2631" t="s">
        <v>78</v>
      </c>
      <c r="B2631" t="s">
        <v>79</v>
      </c>
      <c r="C2631" t="s">
        <v>28</v>
      </c>
      <c r="D2631" t="s">
        <v>29</v>
      </c>
      <c r="E2631">
        <v>2007</v>
      </c>
      <c r="F2631" t="s">
        <v>21</v>
      </c>
      <c r="G2631" t="s">
        <v>15</v>
      </c>
      <c r="H2631" s="2">
        <v>137.9</v>
      </c>
    </row>
    <row r="2632" spans="1:8">
      <c r="A2632" t="s">
        <v>78</v>
      </c>
      <c r="B2632" t="s">
        <v>79</v>
      </c>
      <c r="C2632" t="s">
        <v>28</v>
      </c>
      <c r="D2632" t="s">
        <v>29</v>
      </c>
      <c r="E2632">
        <v>2007</v>
      </c>
      <c r="F2632" t="s">
        <v>16</v>
      </c>
      <c r="G2632" t="s">
        <v>17</v>
      </c>
      <c r="H2632" s="2">
        <v>19.16</v>
      </c>
    </row>
    <row r="2633" spans="1:8">
      <c r="A2633" t="s">
        <v>78</v>
      </c>
      <c r="B2633" t="s">
        <v>79</v>
      </c>
      <c r="C2633" t="s">
        <v>28</v>
      </c>
      <c r="D2633" t="s">
        <v>29</v>
      </c>
      <c r="E2633">
        <v>2008</v>
      </c>
      <c r="F2633" t="s">
        <v>18</v>
      </c>
      <c r="G2633" t="s">
        <v>15</v>
      </c>
      <c r="H2633" s="2">
        <v>930.78</v>
      </c>
    </row>
    <row r="2634" spans="1:8">
      <c r="A2634" t="s">
        <v>78</v>
      </c>
      <c r="B2634" t="s">
        <v>79</v>
      </c>
      <c r="C2634" t="s">
        <v>28</v>
      </c>
      <c r="D2634" t="s">
        <v>29</v>
      </c>
      <c r="E2634">
        <v>2008</v>
      </c>
      <c r="F2634" t="s">
        <v>14</v>
      </c>
      <c r="G2634" t="s">
        <v>15</v>
      </c>
      <c r="H2634" s="2">
        <v>89.5</v>
      </c>
    </row>
    <row r="2635" spans="1:8">
      <c r="A2635" t="s">
        <v>78</v>
      </c>
      <c r="B2635" t="s">
        <v>79</v>
      </c>
      <c r="C2635" t="s">
        <v>28</v>
      </c>
      <c r="D2635" t="s">
        <v>29</v>
      </c>
      <c r="E2635">
        <v>2008</v>
      </c>
      <c r="F2635" t="s">
        <v>16</v>
      </c>
      <c r="G2635" t="s">
        <v>17</v>
      </c>
      <c r="H2635" s="2">
        <v>18.89</v>
      </c>
    </row>
    <row r="2636" spans="1:8">
      <c r="A2636" t="s">
        <v>78</v>
      </c>
      <c r="B2636" t="s">
        <v>79</v>
      </c>
      <c r="C2636" t="s">
        <v>28</v>
      </c>
      <c r="D2636" t="s">
        <v>29</v>
      </c>
      <c r="E2636">
        <v>2009</v>
      </c>
      <c r="F2636" t="s">
        <v>20</v>
      </c>
      <c r="G2636" t="s">
        <v>13</v>
      </c>
      <c r="H2636" s="2">
        <v>-8084.66</v>
      </c>
    </row>
    <row r="2637" spans="1:8">
      <c r="A2637" t="s">
        <v>78</v>
      </c>
      <c r="B2637" t="s">
        <v>79</v>
      </c>
      <c r="C2637" t="s">
        <v>28</v>
      </c>
      <c r="D2637" t="s">
        <v>29</v>
      </c>
      <c r="E2637">
        <v>2009</v>
      </c>
      <c r="F2637" t="s">
        <v>14</v>
      </c>
      <c r="G2637" t="s">
        <v>19</v>
      </c>
      <c r="H2637" s="2">
        <v>0</v>
      </c>
    </row>
    <row r="2638" spans="1:8">
      <c r="A2638" t="s">
        <v>78</v>
      </c>
      <c r="B2638" t="s">
        <v>79</v>
      </c>
      <c r="C2638" t="s">
        <v>28</v>
      </c>
      <c r="D2638" t="s">
        <v>29</v>
      </c>
      <c r="E2638">
        <v>2010</v>
      </c>
      <c r="F2638" t="s">
        <v>22</v>
      </c>
      <c r="G2638" t="s">
        <v>15</v>
      </c>
      <c r="H2638" s="2">
        <v>8618.66</v>
      </c>
    </row>
    <row r="2639" spans="1:8">
      <c r="A2639" t="s">
        <v>78</v>
      </c>
      <c r="B2639" t="s">
        <v>79</v>
      </c>
      <c r="C2639" t="s">
        <v>28</v>
      </c>
      <c r="D2639" t="s">
        <v>29</v>
      </c>
      <c r="E2639">
        <v>2010</v>
      </c>
      <c r="F2639" t="s">
        <v>22</v>
      </c>
      <c r="G2639" t="s">
        <v>19</v>
      </c>
      <c r="H2639" s="2">
        <v>0</v>
      </c>
    </row>
    <row r="2640" spans="1:8">
      <c r="A2640" t="s">
        <v>78</v>
      </c>
      <c r="B2640" t="s">
        <v>79</v>
      </c>
      <c r="C2640" t="s">
        <v>28</v>
      </c>
      <c r="D2640" t="s">
        <v>29</v>
      </c>
      <c r="E2640">
        <v>2010</v>
      </c>
      <c r="F2640" t="s">
        <v>18</v>
      </c>
      <c r="G2640" t="s">
        <v>19</v>
      </c>
      <c r="H2640" s="2">
        <v>881.4</v>
      </c>
    </row>
    <row r="2641" spans="1:8">
      <c r="A2641" t="s">
        <v>78</v>
      </c>
      <c r="B2641" t="s">
        <v>79</v>
      </c>
      <c r="C2641" t="s">
        <v>28</v>
      </c>
      <c r="D2641" t="s">
        <v>29</v>
      </c>
      <c r="E2641">
        <v>2010</v>
      </c>
      <c r="F2641" t="s">
        <v>20</v>
      </c>
      <c r="G2641" t="s">
        <v>17</v>
      </c>
      <c r="H2641" s="2">
        <v>-79.33</v>
      </c>
    </row>
    <row r="2642" spans="1:8">
      <c r="A2642" t="s">
        <v>78</v>
      </c>
      <c r="B2642" t="s">
        <v>79</v>
      </c>
      <c r="C2642" t="s">
        <v>28</v>
      </c>
      <c r="D2642" t="s">
        <v>29</v>
      </c>
      <c r="E2642">
        <v>2011</v>
      </c>
      <c r="F2642" t="s">
        <v>22</v>
      </c>
      <c r="G2642" t="s">
        <v>15</v>
      </c>
      <c r="H2642" s="2">
        <v>9265.15</v>
      </c>
    </row>
    <row r="2643" spans="1:8">
      <c r="A2643" t="s">
        <v>78</v>
      </c>
      <c r="B2643" t="s">
        <v>79</v>
      </c>
      <c r="C2643" t="s">
        <v>28</v>
      </c>
      <c r="D2643" t="s">
        <v>29</v>
      </c>
      <c r="E2643">
        <v>2011</v>
      </c>
      <c r="F2643" t="s">
        <v>22</v>
      </c>
      <c r="G2643" t="s">
        <v>13</v>
      </c>
      <c r="H2643" s="2">
        <v>1252.28</v>
      </c>
    </row>
    <row r="2644" spans="1:8">
      <c r="A2644" t="s">
        <v>78</v>
      </c>
      <c r="B2644" t="s">
        <v>79</v>
      </c>
      <c r="C2644" t="s">
        <v>28</v>
      </c>
      <c r="D2644" t="s">
        <v>29</v>
      </c>
      <c r="E2644">
        <v>2011</v>
      </c>
      <c r="F2644" t="s">
        <v>20</v>
      </c>
      <c r="G2644" t="s">
        <v>15</v>
      </c>
      <c r="H2644" s="2">
        <v>-73.06</v>
      </c>
    </row>
    <row r="2645" spans="1:8">
      <c r="A2645" t="s">
        <v>78</v>
      </c>
      <c r="B2645" t="s">
        <v>79</v>
      </c>
      <c r="C2645" t="s">
        <v>28</v>
      </c>
      <c r="D2645" t="s">
        <v>29</v>
      </c>
      <c r="E2645">
        <v>2011</v>
      </c>
      <c r="F2645" t="s">
        <v>21</v>
      </c>
      <c r="G2645" t="s">
        <v>15</v>
      </c>
      <c r="H2645" s="2">
        <v>129.47999999999999</v>
      </c>
    </row>
    <row r="2646" spans="1:8">
      <c r="A2646" t="s">
        <v>78</v>
      </c>
      <c r="B2646" t="s">
        <v>79</v>
      </c>
      <c r="C2646" t="s">
        <v>28</v>
      </c>
      <c r="D2646" t="s">
        <v>29</v>
      </c>
      <c r="E2646">
        <v>2011</v>
      </c>
      <c r="F2646" t="s">
        <v>16</v>
      </c>
      <c r="G2646" t="s">
        <v>15</v>
      </c>
      <c r="H2646" s="2">
        <v>297.60000000000002</v>
      </c>
    </row>
    <row r="2647" spans="1:8">
      <c r="A2647" t="s">
        <v>78</v>
      </c>
      <c r="B2647" t="s">
        <v>79</v>
      </c>
      <c r="C2647" t="s">
        <v>28</v>
      </c>
      <c r="D2647" t="s">
        <v>29</v>
      </c>
      <c r="E2647">
        <v>2011</v>
      </c>
      <c r="F2647" t="s">
        <v>16</v>
      </c>
      <c r="G2647" t="s">
        <v>17</v>
      </c>
      <c r="H2647" s="2">
        <v>19.57</v>
      </c>
    </row>
    <row r="2648" spans="1:8">
      <c r="A2648" t="s">
        <v>78</v>
      </c>
      <c r="B2648" t="s">
        <v>79</v>
      </c>
      <c r="C2648" t="s">
        <v>28</v>
      </c>
      <c r="D2648" t="s">
        <v>29</v>
      </c>
      <c r="E2648">
        <v>2012</v>
      </c>
      <c r="F2648" t="s">
        <v>12</v>
      </c>
      <c r="G2648" t="s">
        <v>19</v>
      </c>
      <c r="H2648" s="2">
        <v>0</v>
      </c>
    </row>
    <row r="2649" spans="1:8">
      <c r="A2649" t="s">
        <v>78</v>
      </c>
      <c r="B2649" t="s">
        <v>79</v>
      </c>
      <c r="C2649" t="s">
        <v>28</v>
      </c>
      <c r="D2649" t="s">
        <v>29</v>
      </c>
      <c r="E2649">
        <v>2012</v>
      </c>
      <c r="F2649" t="s">
        <v>20</v>
      </c>
      <c r="G2649" t="s">
        <v>15</v>
      </c>
      <c r="H2649" s="2">
        <v>-68.89</v>
      </c>
    </row>
    <row r="2650" spans="1:8">
      <c r="A2650" t="s">
        <v>78</v>
      </c>
      <c r="B2650" t="s">
        <v>79</v>
      </c>
      <c r="C2650" t="s">
        <v>28</v>
      </c>
      <c r="D2650" t="s">
        <v>29</v>
      </c>
      <c r="E2650">
        <v>2012</v>
      </c>
      <c r="F2650" t="s">
        <v>20</v>
      </c>
      <c r="G2650" t="s">
        <v>19</v>
      </c>
      <c r="H2650" s="2">
        <v>0</v>
      </c>
    </row>
    <row r="2651" spans="1:8">
      <c r="A2651" t="s">
        <v>78</v>
      </c>
      <c r="B2651" t="s">
        <v>79</v>
      </c>
      <c r="C2651" t="s">
        <v>28</v>
      </c>
      <c r="D2651" t="s">
        <v>29</v>
      </c>
      <c r="E2651">
        <v>2012</v>
      </c>
      <c r="F2651" t="s">
        <v>14</v>
      </c>
      <c r="G2651" t="s">
        <v>15</v>
      </c>
      <c r="H2651" s="2">
        <v>82.2</v>
      </c>
    </row>
    <row r="2652" spans="1:8">
      <c r="A2652" t="s">
        <v>78</v>
      </c>
      <c r="B2652" t="s">
        <v>79</v>
      </c>
      <c r="C2652" t="s">
        <v>28</v>
      </c>
      <c r="D2652" t="s">
        <v>29</v>
      </c>
      <c r="E2652">
        <v>2012</v>
      </c>
      <c r="F2652" t="s">
        <v>21</v>
      </c>
      <c r="G2652" t="s">
        <v>17</v>
      </c>
      <c r="H2652" s="2">
        <v>64.22</v>
      </c>
    </row>
    <row r="2653" spans="1:8">
      <c r="A2653" t="s">
        <v>78</v>
      </c>
      <c r="B2653" t="s">
        <v>79</v>
      </c>
      <c r="C2653" t="s">
        <v>28</v>
      </c>
      <c r="D2653" t="s">
        <v>29</v>
      </c>
      <c r="E2653">
        <v>2013</v>
      </c>
      <c r="F2653" t="s">
        <v>18</v>
      </c>
      <c r="G2653" t="s">
        <v>19</v>
      </c>
      <c r="H2653" s="2">
        <v>844.6</v>
      </c>
    </row>
    <row r="2654" spans="1:8">
      <c r="A2654" t="s">
        <v>78</v>
      </c>
      <c r="B2654" t="s">
        <v>79</v>
      </c>
      <c r="C2654" t="s">
        <v>28</v>
      </c>
      <c r="D2654" t="s">
        <v>29</v>
      </c>
      <c r="E2654">
        <v>2013</v>
      </c>
      <c r="F2654" t="s">
        <v>20</v>
      </c>
      <c r="G2654" t="s">
        <v>13</v>
      </c>
      <c r="H2654" s="2">
        <v>-7533.45</v>
      </c>
    </row>
    <row r="2655" spans="1:8">
      <c r="A2655" t="s">
        <v>78</v>
      </c>
      <c r="B2655" t="s">
        <v>79</v>
      </c>
      <c r="C2655" t="s">
        <v>28</v>
      </c>
      <c r="D2655" t="s">
        <v>29</v>
      </c>
      <c r="E2655">
        <v>2013</v>
      </c>
      <c r="F2655" t="s">
        <v>16</v>
      </c>
      <c r="G2655" t="s">
        <v>17</v>
      </c>
      <c r="H2655" s="2">
        <v>18.59</v>
      </c>
    </row>
    <row r="2656" spans="1:8">
      <c r="A2656" t="s">
        <v>78</v>
      </c>
      <c r="B2656" t="s">
        <v>79</v>
      </c>
      <c r="C2656" t="s">
        <v>28</v>
      </c>
      <c r="D2656" t="s">
        <v>29</v>
      </c>
      <c r="E2656">
        <v>2014</v>
      </c>
      <c r="F2656" t="s">
        <v>22</v>
      </c>
      <c r="G2656" t="s">
        <v>13</v>
      </c>
      <c r="H2656" s="2">
        <v>1240.43</v>
      </c>
    </row>
    <row r="2657" spans="1:8">
      <c r="A2657" t="s">
        <v>78</v>
      </c>
      <c r="B2657" t="s">
        <v>79</v>
      </c>
      <c r="C2657" t="s">
        <v>28</v>
      </c>
      <c r="D2657" t="s">
        <v>29</v>
      </c>
      <c r="E2657">
        <v>2015</v>
      </c>
      <c r="F2657" t="s">
        <v>18</v>
      </c>
      <c r="G2657" t="s">
        <v>19</v>
      </c>
      <c r="H2657" s="2">
        <v>833.36</v>
      </c>
    </row>
    <row r="2658" spans="1:8">
      <c r="A2658" t="s">
        <v>78</v>
      </c>
      <c r="B2658" t="s">
        <v>79</v>
      </c>
      <c r="C2658" t="s">
        <v>28</v>
      </c>
      <c r="D2658" t="s">
        <v>29</v>
      </c>
      <c r="E2658">
        <v>2015</v>
      </c>
      <c r="F2658" t="s">
        <v>18</v>
      </c>
      <c r="G2658" t="s">
        <v>17</v>
      </c>
      <c r="H2658" s="2">
        <v>822.25</v>
      </c>
    </row>
    <row r="2659" spans="1:8">
      <c r="A2659" t="s">
        <v>78</v>
      </c>
      <c r="B2659" t="s">
        <v>79</v>
      </c>
      <c r="C2659" t="s">
        <v>28</v>
      </c>
      <c r="D2659" t="s">
        <v>29</v>
      </c>
      <c r="E2659">
        <v>2015</v>
      </c>
      <c r="F2659" t="s">
        <v>20</v>
      </c>
      <c r="G2659" t="s">
        <v>17</v>
      </c>
      <c r="H2659" s="2">
        <v>-70.08</v>
      </c>
    </row>
    <row r="2660" spans="1:8">
      <c r="A2660" t="s">
        <v>78</v>
      </c>
      <c r="B2660" t="s">
        <v>79</v>
      </c>
      <c r="C2660" t="s">
        <v>28</v>
      </c>
      <c r="D2660" t="s">
        <v>29</v>
      </c>
      <c r="E2660">
        <v>2015</v>
      </c>
      <c r="F2660" t="s">
        <v>16</v>
      </c>
      <c r="G2660" t="s">
        <v>19</v>
      </c>
      <c r="H2660" s="2">
        <v>0</v>
      </c>
    </row>
    <row r="2661" spans="1:8">
      <c r="A2661" t="s">
        <v>78</v>
      </c>
      <c r="B2661" t="s">
        <v>79</v>
      </c>
      <c r="C2661" t="s">
        <v>28</v>
      </c>
      <c r="D2661" t="s">
        <v>29</v>
      </c>
      <c r="E2661">
        <v>2016</v>
      </c>
      <c r="F2661" t="s">
        <v>22</v>
      </c>
      <c r="G2661" t="s">
        <v>13</v>
      </c>
      <c r="H2661" s="2">
        <v>1205.9100000000001</v>
      </c>
    </row>
    <row r="2662" spans="1:8">
      <c r="A2662" t="s">
        <v>78</v>
      </c>
      <c r="B2662" t="s">
        <v>79</v>
      </c>
      <c r="C2662" t="s">
        <v>28</v>
      </c>
      <c r="D2662" t="s">
        <v>29</v>
      </c>
      <c r="E2662">
        <v>2016</v>
      </c>
      <c r="F2662" t="s">
        <v>14</v>
      </c>
      <c r="G2662" t="s">
        <v>17</v>
      </c>
      <c r="H2662" s="2">
        <v>49.31</v>
      </c>
    </row>
    <row r="2663" spans="1:8">
      <c r="A2663" t="s">
        <v>78</v>
      </c>
      <c r="B2663" t="s">
        <v>79</v>
      </c>
      <c r="C2663" t="s">
        <v>28</v>
      </c>
      <c r="D2663" t="s">
        <v>29</v>
      </c>
      <c r="E2663">
        <v>2017</v>
      </c>
      <c r="F2663" t="s">
        <v>12</v>
      </c>
      <c r="G2663" t="s">
        <v>17</v>
      </c>
      <c r="H2663" s="2">
        <v>223.67</v>
      </c>
    </row>
    <row r="2664" spans="1:8">
      <c r="A2664" t="s">
        <v>78</v>
      </c>
      <c r="B2664" t="s">
        <v>79</v>
      </c>
      <c r="C2664" t="s">
        <v>28</v>
      </c>
      <c r="D2664" t="s">
        <v>29</v>
      </c>
      <c r="E2664">
        <v>2017</v>
      </c>
      <c r="F2664" t="s">
        <v>20</v>
      </c>
      <c r="G2664" t="s">
        <v>15</v>
      </c>
      <c r="H2664" s="2">
        <v>-76.17</v>
      </c>
    </row>
    <row r="2665" spans="1:8">
      <c r="A2665" t="s">
        <v>78</v>
      </c>
      <c r="B2665" t="s">
        <v>79</v>
      </c>
      <c r="C2665" t="s">
        <v>28</v>
      </c>
      <c r="D2665" t="s">
        <v>29</v>
      </c>
      <c r="E2665">
        <v>2018</v>
      </c>
      <c r="F2665" t="s">
        <v>18</v>
      </c>
      <c r="G2665" t="s">
        <v>15</v>
      </c>
      <c r="H2665" s="2">
        <v>759.02</v>
      </c>
    </row>
    <row r="2666" spans="1:8">
      <c r="A2666" t="s">
        <v>78</v>
      </c>
      <c r="B2666" t="s">
        <v>79</v>
      </c>
      <c r="C2666" t="s">
        <v>28</v>
      </c>
      <c r="D2666" t="s">
        <v>29</v>
      </c>
      <c r="E2666">
        <v>2018</v>
      </c>
      <c r="F2666" t="s">
        <v>16</v>
      </c>
      <c r="G2666" t="s">
        <v>13</v>
      </c>
      <c r="H2666" s="2">
        <v>53.73</v>
      </c>
    </row>
    <row r="2667" spans="1:8">
      <c r="A2667" t="s">
        <v>78</v>
      </c>
      <c r="B2667" t="s">
        <v>79</v>
      </c>
      <c r="C2667" t="s">
        <v>28</v>
      </c>
      <c r="D2667" t="s">
        <v>29</v>
      </c>
      <c r="E2667">
        <v>2019</v>
      </c>
      <c r="F2667" t="s">
        <v>14</v>
      </c>
      <c r="G2667" t="s">
        <v>13</v>
      </c>
      <c r="H2667" s="2">
        <v>2120.06</v>
      </c>
    </row>
    <row r="2668" spans="1:8">
      <c r="A2668" t="s">
        <v>78</v>
      </c>
      <c r="B2668" t="s">
        <v>79</v>
      </c>
      <c r="C2668" t="s">
        <v>28</v>
      </c>
      <c r="D2668" t="s">
        <v>29</v>
      </c>
      <c r="E2668">
        <v>2020</v>
      </c>
      <c r="F2668" t="s">
        <v>22</v>
      </c>
      <c r="G2668" t="s">
        <v>17</v>
      </c>
      <c r="H2668" s="2">
        <v>1945.24</v>
      </c>
    </row>
    <row r="2669" spans="1:8">
      <c r="A2669" t="s">
        <v>78</v>
      </c>
      <c r="B2669" t="s">
        <v>79</v>
      </c>
      <c r="C2669" t="s">
        <v>28</v>
      </c>
      <c r="D2669" t="s">
        <v>29</v>
      </c>
      <c r="E2669">
        <v>2020</v>
      </c>
      <c r="F2669" t="s">
        <v>12</v>
      </c>
      <c r="G2669" t="s">
        <v>15</v>
      </c>
      <c r="H2669" s="2">
        <v>402.89</v>
      </c>
    </row>
    <row r="2670" spans="1:8">
      <c r="A2670" t="s">
        <v>78</v>
      </c>
      <c r="B2670" t="s">
        <v>79</v>
      </c>
      <c r="C2670" t="s">
        <v>28</v>
      </c>
      <c r="D2670" t="s">
        <v>29</v>
      </c>
      <c r="E2670">
        <v>2020</v>
      </c>
      <c r="F2670" t="s">
        <v>21</v>
      </c>
      <c r="G2670" t="s">
        <v>13</v>
      </c>
      <c r="H2670" s="2">
        <v>4845.78</v>
      </c>
    </row>
    <row r="2671" spans="1:8">
      <c r="A2671" t="s">
        <v>78</v>
      </c>
      <c r="B2671" t="s">
        <v>79</v>
      </c>
      <c r="C2671" t="s">
        <v>28</v>
      </c>
      <c r="D2671" t="s">
        <v>29</v>
      </c>
      <c r="E2671">
        <v>2020</v>
      </c>
      <c r="F2671" t="s">
        <v>21</v>
      </c>
      <c r="G2671" t="s">
        <v>19</v>
      </c>
      <c r="H2671" s="2">
        <v>0</v>
      </c>
    </row>
    <row r="2672" spans="1:8">
      <c r="A2672" t="s">
        <v>78</v>
      </c>
      <c r="B2672" t="s">
        <v>79</v>
      </c>
      <c r="C2672" t="s">
        <v>28</v>
      </c>
      <c r="D2672" t="s">
        <v>29</v>
      </c>
      <c r="E2672">
        <v>2021</v>
      </c>
      <c r="F2672" t="s">
        <v>22</v>
      </c>
      <c r="G2672" t="s">
        <v>13</v>
      </c>
      <c r="H2672" s="2">
        <v>928.14</v>
      </c>
    </row>
    <row r="2673" spans="1:8">
      <c r="A2673" t="s">
        <v>78</v>
      </c>
      <c r="B2673" t="s">
        <v>79</v>
      </c>
      <c r="C2673" t="s">
        <v>28</v>
      </c>
      <c r="D2673" t="s">
        <v>29</v>
      </c>
      <c r="E2673">
        <v>2021</v>
      </c>
      <c r="F2673" t="s">
        <v>18</v>
      </c>
      <c r="G2673" t="s">
        <v>17</v>
      </c>
      <c r="H2673" s="2">
        <v>720.2</v>
      </c>
    </row>
    <row r="2674" spans="1:8">
      <c r="A2674" t="s">
        <v>78</v>
      </c>
      <c r="B2674" t="s">
        <v>79</v>
      </c>
      <c r="C2674" t="s">
        <v>28</v>
      </c>
      <c r="D2674" t="s">
        <v>29</v>
      </c>
      <c r="E2674">
        <v>2021</v>
      </c>
      <c r="F2674" t="s">
        <v>20</v>
      </c>
      <c r="G2674" t="s">
        <v>19</v>
      </c>
      <c r="H2674" s="2">
        <v>0</v>
      </c>
    </row>
    <row r="2675" spans="1:8">
      <c r="A2675" t="s">
        <v>78</v>
      </c>
      <c r="B2675" t="s">
        <v>79</v>
      </c>
      <c r="C2675" t="s">
        <v>28</v>
      </c>
      <c r="D2675" t="s">
        <v>29</v>
      </c>
      <c r="E2675">
        <v>2021</v>
      </c>
      <c r="F2675" t="s">
        <v>20</v>
      </c>
      <c r="G2675" t="s">
        <v>17</v>
      </c>
      <c r="H2675" s="2">
        <v>-60.3</v>
      </c>
    </row>
    <row r="2676" spans="1:8">
      <c r="A2676" t="s">
        <v>78</v>
      </c>
      <c r="B2676" t="s">
        <v>79</v>
      </c>
      <c r="C2676" t="s">
        <v>28</v>
      </c>
      <c r="D2676" t="s">
        <v>29</v>
      </c>
      <c r="E2676">
        <v>2021</v>
      </c>
      <c r="F2676" t="s">
        <v>14</v>
      </c>
      <c r="G2676" t="s">
        <v>17</v>
      </c>
      <c r="H2676" s="2">
        <v>41.11</v>
      </c>
    </row>
    <row r="2677" spans="1:8">
      <c r="A2677" t="s">
        <v>78</v>
      </c>
      <c r="B2677" t="s">
        <v>79</v>
      </c>
      <c r="C2677" t="s">
        <v>28</v>
      </c>
      <c r="D2677" t="s">
        <v>29</v>
      </c>
      <c r="E2677">
        <v>2021</v>
      </c>
      <c r="F2677" t="s">
        <v>21</v>
      </c>
      <c r="G2677" t="s">
        <v>15</v>
      </c>
      <c r="H2677" s="2">
        <v>99.15</v>
      </c>
    </row>
    <row r="2678" spans="1:8">
      <c r="A2678" t="s">
        <v>78</v>
      </c>
      <c r="B2678" t="s">
        <v>79</v>
      </c>
      <c r="C2678" t="s">
        <v>28</v>
      </c>
      <c r="D2678" t="s">
        <v>29</v>
      </c>
      <c r="E2678">
        <v>2021</v>
      </c>
      <c r="F2678" t="s">
        <v>21</v>
      </c>
      <c r="G2678" t="s">
        <v>19</v>
      </c>
      <c r="H2678" s="2">
        <v>0</v>
      </c>
    </row>
    <row r="2679" spans="1:8">
      <c r="A2679" t="s">
        <v>78</v>
      </c>
      <c r="B2679" t="s">
        <v>79</v>
      </c>
      <c r="C2679" t="s">
        <v>28</v>
      </c>
      <c r="D2679" t="s">
        <v>29</v>
      </c>
      <c r="E2679">
        <v>2021</v>
      </c>
      <c r="F2679" t="s">
        <v>21</v>
      </c>
      <c r="G2679" t="s">
        <v>17</v>
      </c>
      <c r="H2679" s="2">
        <v>50.13</v>
      </c>
    </row>
    <row r="2680" spans="1:8">
      <c r="A2680" t="s">
        <v>78</v>
      </c>
      <c r="B2680" t="s">
        <v>79</v>
      </c>
      <c r="C2680" t="s">
        <v>28</v>
      </c>
      <c r="D2680" t="s">
        <v>29</v>
      </c>
      <c r="E2680">
        <v>2021</v>
      </c>
      <c r="F2680" t="s">
        <v>16</v>
      </c>
      <c r="G2680" t="s">
        <v>15</v>
      </c>
      <c r="H2680" s="2">
        <v>251.61</v>
      </c>
    </row>
    <row r="2681" spans="1:8">
      <c r="A2681" t="s">
        <v>78</v>
      </c>
      <c r="B2681" t="s">
        <v>79</v>
      </c>
      <c r="C2681" t="s">
        <v>28</v>
      </c>
      <c r="D2681" t="s">
        <v>29</v>
      </c>
      <c r="E2681">
        <v>2022</v>
      </c>
      <c r="F2681" t="s">
        <v>22</v>
      </c>
      <c r="G2681" t="s">
        <v>17</v>
      </c>
      <c r="H2681" s="2">
        <v>1894.39</v>
      </c>
    </row>
    <row r="2682" spans="1:8">
      <c r="A2682" t="s">
        <v>78</v>
      </c>
      <c r="B2682" t="s">
        <v>79</v>
      </c>
      <c r="C2682" t="s">
        <v>28</v>
      </c>
      <c r="D2682" t="s">
        <v>29</v>
      </c>
      <c r="E2682">
        <v>2022</v>
      </c>
      <c r="F2682" t="s">
        <v>12</v>
      </c>
      <c r="G2682" t="s">
        <v>15</v>
      </c>
      <c r="H2682" s="2">
        <v>431.05</v>
      </c>
    </row>
    <row r="2683" spans="1:8">
      <c r="A2683" t="s">
        <v>78</v>
      </c>
      <c r="B2683" t="s">
        <v>79</v>
      </c>
      <c r="C2683" t="s">
        <v>28</v>
      </c>
      <c r="D2683" t="s">
        <v>29</v>
      </c>
      <c r="E2683">
        <v>2022</v>
      </c>
      <c r="F2683" t="s">
        <v>20</v>
      </c>
      <c r="G2683" t="s">
        <v>19</v>
      </c>
      <c r="H2683" s="2">
        <v>0</v>
      </c>
    </row>
    <row r="2684" spans="1:8">
      <c r="A2684" t="s">
        <v>78</v>
      </c>
      <c r="B2684" t="s">
        <v>79</v>
      </c>
      <c r="C2684" t="s">
        <v>28</v>
      </c>
      <c r="D2684" t="s">
        <v>29</v>
      </c>
      <c r="E2684">
        <v>2022</v>
      </c>
      <c r="F2684" t="s">
        <v>21</v>
      </c>
      <c r="G2684" t="s">
        <v>13</v>
      </c>
      <c r="H2684" s="2">
        <v>4491.91</v>
      </c>
    </row>
    <row r="2685" spans="1:8">
      <c r="A2685" t="s">
        <v>78</v>
      </c>
      <c r="B2685" t="s">
        <v>79</v>
      </c>
      <c r="C2685" t="s">
        <v>28</v>
      </c>
      <c r="D2685" t="s">
        <v>29</v>
      </c>
      <c r="E2685">
        <v>2023</v>
      </c>
      <c r="F2685" t="s">
        <v>22</v>
      </c>
      <c r="G2685" t="s">
        <v>17</v>
      </c>
      <c r="H2685" s="2">
        <v>1987.02</v>
      </c>
    </row>
    <row r="2686" spans="1:8">
      <c r="A2686" t="s">
        <v>78</v>
      </c>
      <c r="B2686" t="s">
        <v>79</v>
      </c>
      <c r="C2686" t="s">
        <v>28</v>
      </c>
      <c r="D2686" t="s">
        <v>29</v>
      </c>
      <c r="E2686">
        <v>2023</v>
      </c>
      <c r="F2686" t="s">
        <v>21</v>
      </c>
      <c r="G2686" t="s">
        <v>17</v>
      </c>
      <c r="H2686" s="2">
        <v>53.11</v>
      </c>
    </row>
    <row r="2687" spans="1:8">
      <c r="A2687" t="s">
        <v>78</v>
      </c>
      <c r="B2687" t="s">
        <v>79</v>
      </c>
      <c r="C2687" t="s">
        <v>28</v>
      </c>
      <c r="D2687" t="s">
        <v>29</v>
      </c>
      <c r="E2687">
        <v>2024</v>
      </c>
      <c r="F2687" t="s">
        <v>12</v>
      </c>
      <c r="G2687" t="s">
        <v>17</v>
      </c>
      <c r="H2687" s="2">
        <v>167.43</v>
      </c>
    </row>
    <row r="2688" spans="1:8">
      <c r="A2688" t="s">
        <v>78</v>
      </c>
      <c r="B2688" t="s">
        <v>79</v>
      </c>
      <c r="C2688" t="s">
        <v>28</v>
      </c>
      <c r="D2688" t="s">
        <v>29</v>
      </c>
      <c r="E2688">
        <v>2024</v>
      </c>
      <c r="F2688" t="s">
        <v>18</v>
      </c>
      <c r="G2688" t="s">
        <v>13</v>
      </c>
      <c r="H2688" s="2">
        <v>10860.07</v>
      </c>
    </row>
    <row r="2689" spans="1:8">
      <c r="A2689" t="s">
        <v>78</v>
      </c>
      <c r="B2689" t="s">
        <v>79</v>
      </c>
      <c r="C2689" t="s">
        <v>28</v>
      </c>
      <c r="D2689" t="s">
        <v>29</v>
      </c>
      <c r="E2689">
        <v>2024</v>
      </c>
      <c r="F2689" t="s">
        <v>18</v>
      </c>
      <c r="G2689" t="s">
        <v>17</v>
      </c>
      <c r="H2689" s="2">
        <v>607.74</v>
      </c>
    </row>
    <row r="2690" spans="1:8">
      <c r="A2690" t="s">
        <v>78</v>
      </c>
      <c r="B2690" t="s">
        <v>79</v>
      </c>
      <c r="C2690" t="s">
        <v>28</v>
      </c>
      <c r="D2690" t="s">
        <v>29</v>
      </c>
      <c r="E2690">
        <v>2024</v>
      </c>
      <c r="F2690" t="s">
        <v>16</v>
      </c>
      <c r="G2690" t="s">
        <v>19</v>
      </c>
      <c r="H2690" s="2">
        <v>0</v>
      </c>
    </row>
    <row r="2691" spans="1:8">
      <c r="A2691" t="s">
        <v>80</v>
      </c>
      <c r="B2691" t="s">
        <v>81</v>
      </c>
      <c r="C2691" t="s">
        <v>10</v>
      </c>
      <c r="D2691" t="s">
        <v>33</v>
      </c>
      <c r="E2691">
        <v>1990</v>
      </c>
      <c r="F2691" t="s">
        <v>18</v>
      </c>
      <c r="G2691" t="s">
        <v>17</v>
      </c>
      <c r="H2691" s="2">
        <v>20425.419999999998</v>
      </c>
    </row>
    <row r="2692" spans="1:8">
      <c r="A2692" t="s">
        <v>80</v>
      </c>
      <c r="B2692" t="s">
        <v>81</v>
      </c>
      <c r="C2692" t="s">
        <v>10</v>
      </c>
      <c r="D2692" t="s">
        <v>33</v>
      </c>
      <c r="E2692">
        <v>1990</v>
      </c>
      <c r="F2692" t="s">
        <v>20</v>
      </c>
      <c r="G2692" t="s">
        <v>19</v>
      </c>
      <c r="H2692" s="2">
        <v>0</v>
      </c>
    </row>
    <row r="2693" spans="1:8">
      <c r="A2693" t="s">
        <v>80</v>
      </c>
      <c r="B2693" t="s">
        <v>81</v>
      </c>
      <c r="C2693" t="s">
        <v>10</v>
      </c>
      <c r="D2693" t="s">
        <v>33</v>
      </c>
      <c r="E2693">
        <v>1990</v>
      </c>
      <c r="F2693" t="s">
        <v>14</v>
      </c>
      <c r="G2693" t="s">
        <v>19</v>
      </c>
      <c r="H2693" s="2">
        <v>0</v>
      </c>
    </row>
    <row r="2694" spans="1:8">
      <c r="A2694" t="s">
        <v>80</v>
      </c>
      <c r="B2694" t="s">
        <v>81</v>
      </c>
      <c r="C2694" t="s">
        <v>10</v>
      </c>
      <c r="D2694" t="s">
        <v>33</v>
      </c>
      <c r="E2694">
        <v>1990</v>
      </c>
      <c r="F2694" t="s">
        <v>14</v>
      </c>
      <c r="G2694" t="s">
        <v>17</v>
      </c>
      <c r="H2694" s="2">
        <v>709.51</v>
      </c>
    </row>
    <row r="2695" spans="1:8">
      <c r="A2695" t="s">
        <v>80</v>
      </c>
      <c r="B2695" t="s">
        <v>81</v>
      </c>
      <c r="C2695" t="s">
        <v>10</v>
      </c>
      <c r="D2695" t="s">
        <v>33</v>
      </c>
      <c r="E2695">
        <v>1991</v>
      </c>
      <c r="F2695" t="s">
        <v>22</v>
      </c>
      <c r="G2695" t="s">
        <v>15</v>
      </c>
      <c r="H2695" s="2">
        <v>193339.47</v>
      </c>
    </row>
    <row r="2696" spans="1:8">
      <c r="A2696" t="s">
        <v>80</v>
      </c>
      <c r="B2696" t="s">
        <v>81</v>
      </c>
      <c r="C2696" t="s">
        <v>10</v>
      </c>
      <c r="D2696" t="s">
        <v>33</v>
      </c>
      <c r="E2696">
        <v>1991</v>
      </c>
      <c r="F2696" t="s">
        <v>12</v>
      </c>
      <c r="G2696" t="s">
        <v>19</v>
      </c>
      <c r="H2696" s="2">
        <v>0</v>
      </c>
    </row>
    <row r="2697" spans="1:8">
      <c r="A2697" t="s">
        <v>80</v>
      </c>
      <c r="B2697" t="s">
        <v>81</v>
      </c>
      <c r="C2697" t="s">
        <v>10</v>
      </c>
      <c r="D2697" t="s">
        <v>33</v>
      </c>
      <c r="E2697">
        <v>1991</v>
      </c>
      <c r="F2697" t="s">
        <v>21</v>
      </c>
      <c r="G2697" t="s">
        <v>13</v>
      </c>
      <c r="H2697" s="2">
        <v>205694.36</v>
      </c>
    </row>
    <row r="2698" spans="1:8">
      <c r="A2698" t="s">
        <v>80</v>
      </c>
      <c r="B2698" t="s">
        <v>81</v>
      </c>
      <c r="C2698" t="s">
        <v>10</v>
      </c>
      <c r="D2698" t="s">
        <v>33</v>
      </c>
      <c r="E2698">
        <v>1991</v>
      </c>
      <c r="F2698" t="s">
        <v>16</v>
      </c>
      <c r="G2698" t="s">
        <v>17</v>
      </c>
      <c r="H2698" s="2">
        <v>1681.83</v>
      </c>
    </row>
    <row r="2699" spans="1:8">
      <c r="A2699" t="s">
        <v>80</v>
      </c>
      <c r="B2699" t="s">
        <v>81</v>
      </c>
      <c r="C2699" t="s">
        <v>10</v>
      </c>
      <c r="D2699" t="s">
        <v>33</v>
      </c>
      <c r="E2699">
        <v>1992</v>
      </c>
      <c r="F2699" t="s">
        <v>22</v>
      </c>
      <c r="G2699" t="s">
        <v>17</v>
      </c>
      <c r="H2699" s="2">
        <v>51384.49</v>
      </c>
    </row>
    <row r="2700" spans="1:8">
      <c r="A2700" t="s">
        <v>80</v>
      </c>
      <c r="B2700" t="s">
        <v>81</v>
      </c>
      <c r="C2700" t="s">
        <v>10</v>
      </c>
      <c r="D2700" t="s">
        <v>33</v>
      </c>
      <c r="E2700">
        <v>1992</v>
      </c>
      <c r="F2700" t="s">
        <v>18</v>
      </c>
      <c r="G2700" t="s">
        <v>19</v>
      </c>
      <c r="H2700" s="2">
        <v>19671.46</v>
      </c>
    </row>
    <row r="2701" spans="1:8">
      <c r="A2701" t="s">
        <v>80</v>
      </c>
      <c r="B2701" t="s">
        <v>81</v>
      </c>
      <c r="C2701" t="s">
        <v>10</v>
      </c>
      <c r="D2701" t="s">
        <v>33</v>
      </c>
      <c r="E2701">
        <v>1992</v>
      </c>
      <c r="F2701" t="s">
        <v>20</v>
      </c>
      <c r="G2701" t="s">
        <v>17</v>
      </c>
      <c r="H2701" s="2">
        <v>993.55</v>
      </c>
    </row>
    <row r="2702" spans="1:8">
      <c r="A2702" t="s">
        <v>80</v>
      </c>
      <c r="B2702" t="s">
        <v>81</v>
      </c>
      <c r="C2702" t="s">
        <v>10</v>
      </c>
      <c r="D2702" t="s">
        <v>33</v>
      </c>
      <c r="E2702">
        <v>1992</v>
      </c>
      <c r="F2702" t="s">
        <v>16</v>
      </c>
      <c r="G2702" t="s">
        <v>13</v>
      </c>
      <c r="H2702" s="2">
        <v>5081.04</v>
      </c>
    </row>
    <row r="2703" spans="1:8">
      <c r="A2703" t="s">
        <v>80</v>
      </c>
      <c r="B2703" t="s">
        <v>81</v>
      </c>
      <c r="C2703" t="s">
        <v>10</v>
      </c>
      <c r="D2703" t="s">
        <v>33</v>
      </c>
      <c r="E2703">
        <v>1993</v>
      </c>
      <c r="F2703" t="s">
        <v>22</v>
      </c>
      <c r="G2703" t="s">
        <v>13</v>
      </c>
      <c r="H2703" s="2">
        <v>27513.39</v>
      </c>
    </row>
    <row r="2704" spans="1:8">
      <c r="A2704" t="s">
        <v>80</v>
      </c>
      <c r="B2704" t="s">
        <v>81</v>
      </c>
      <c r="C2704" t="s">
        <v>10</v>
      </c>
      <c r="D2704" t="s">
        <v>33</v>
      </c>
      <c r="E2704">
        <v>1993</v>
      </c>
      <c r="F2704" t="s">
        <v>16</v>
      </c>
      <c r="G2704" t="s">
        <v>17</v>
      </c>
      <c r="H2704" s="2">
        <v>1781.91</v>
      </c>
    </row>
    <row r="2705" spans="1:8">
      <c r="A2705" t="s">
        <v>80</v>
      </c>
      <c r="B2705" t="s">
        <v>81</v>
      </c>
      <c r="C2705" t="s">
        <v>10</v>
      </c>
      <c r="D2705" t="s">
        <v>33</v>
      </c>
      <c r="E2705">
        <v>1994</v>
      </c>
      <c r="F2705" t="s">
        <v>20</v>
      </c>
      <c r="G2705" t="s">
        <v>15</v>
      </c>
      <c r="H2705" s="2">
        <v>1203.97</v>
      </c>
    </row>
    <row r="2706" spans="1:8">
      <c r="A2706" t="s">
        <v>80</v>
      </c>
      <c r="B2706" t="s">
        <v>81</v>
      </c>
      <c r="C2706" t="s">
        <v>10</v>
      </c>
      <c r="D2706" t="s">
        <v>33</v>
      </c>
      <c r="E2706">
        <v>1995</v>
      </c>
      <c r="F2706" t="s">
        <v>12</v>
      </c>
      <c r="G2706" t="s">
        <v>17</v>
      </c>
      <c r="H2706" s="2">
        <v>3818.15</v>
      </c>
    </row>
    <row r="2707" spans="1:8">
      <c r="A2707" t="s">
        <v>80</v>
      </c>
      <c r="B2707" t="s">
        <v>81</v>
      </c>
      <c r="C2707" t="s">
        <v>10</v>
      </c>
      <c r="D2707" t="s">
        <v>33</v>
      </c>
      <c r="E2707">
        <v>1995</v>
      </c>
      <c r="F2707" t="s">
        <v>14</v>
      </c>
      <c r="G2707" t="s">
        <v>19</v>
      </c>
      <c r="H2707" s="2">
        <v>0</v>
      </c>
    </row>
    <row r="2708" spans="1:8">
      <c r="A2708" t="s">
        <v>80</v>
      </c>
      <c r="B2708" t="s">
        <v>81</v>
      </c>
      <c r="C2708" t="s">
        <v>10</v>
      </c>
      <c r="D2708" t="s">
        <v>33</v>
      </c>
      <c r="E2708">
        <v>1995</v>
      </c>
      <c r="F2708" t="s">
        <v>14</v>
      </c>
      <c r="G2708" t="s">
        <v>17</v>
      </c>
      <c r="H2708" s="2">
        <v>834.15</v>
      </c>
    </row>
    <row r="2709" spans="1:8">
      <c r="A2709" t="s">
        <v>80</v>
      </c>
      <c r="B2709" t="s">
        <v>81</v>
      </c>
      <c r="C2709" t="s">
        <v>10</v>
      </c>
      <c r="D2709" t="s">
        <v>33</v>
      </c>
      <c r="E2709">
        <v>1995</v>
      </c>
      <c r="F2709" t="s">
        <v>21</v>
      </c>
      <c r="G2709" t="s">
        <v>17</v>
      </c>
      <c r="H2709" s="2">
        <v>2177.42</v>
      </c>
    </row>
    <row r="2710" spans="1:8">
      <c r="A2710" t="s">
        <v>80</v>
      </c>
      <c r="B2710" t="s">
        <v>81</v>
      </c>
      <c r="C2710" t="s">
        <v>10</v>
      </c>
      <c r="D2710" t="s">
        <v>33</v>
      </c>
      <c r="E2710">
        <v>1996</v>
      </c>
      <c r="F2710" t="s">
        <v>12</v>
      </c>
      <c r="G2710" t="s">
        <v>13</v>
      </c>
      <c r="H2710" s="2">
        <v>105552.14</v>
      </c>
    </row>
    <row r="2711" spans="1:8">
      <c r="A2711" t="s">
        <v>80</v>
      </c>
      <c r="B2711" t="s">
        <v>81</v>
      </c>
      <c r="C2711" t="s">
        <v>10</v>
      </c>
      <c r="D2711" t="s">
        <v>33</v>
      </c>
      <c r="E2711">
        <v>1996</v>
      </c>
      <c r="F2711" t="s">
        <v>12</v>
      </c>
      <c r="G2711" t="s">
        <v>19</v>
      </c>
      <c r="H2711" s="2">
        <v>0</v>
      </c>
    </row>
    <row r="2712" spans="1:8">
      <c r="A2712" t="s">
        <v>80</v>
      </c>
      <c r="B2712" t="s">
        <v>81</v>
      </c>
      <c r="C2712" t="s">
        <v>10</v>
      </c>
      <c r="D2712" t="s">
        <v>33</v>
      </c>
      <c r="E2712">
        <v>1996</v>
      </c>
      <c r="F2712" t="s">
        <v>14</v>
      </c>
      <c r="G2712" t="s">
        <v>19</v>
      </c>
      <c r="H2712" s="2">
        <v>0</v>
      </c>
    </row>
    <row r="2713" spans="1:8">
      <c r="A2713" t="s">
        <v>80</v>
      </c>
      <c r="B2713" t="s">
        <v>81</v>
      </c>
      <c r="C2713" t="s">
        <v>10</v>
      </c>
      <c r="D2713" t="s">
        <v>33</v>
      </c>
      <c r="E2713">
        <v>1997</v>
      </c>
      <c r="F2713" t="s">
        <v>22</v>
      </c>
      <c r="G2713" t="s">
        <v>13</v>
      </c>
      <c r="H2713" s="2">
        <v>23559.03</v>
      </c>
    </row>
    <row r="2714" spans="1:8">
      <c r="A2714" t="s">
        <v>80</v>
      </c>
      <c r="B2714" t="s">
        <v>81</v>
      </c>
      <c r="C2714" t="s">
        <v>10</v>
      </c>
      <c r="D2714" t="s">
        <v>33</v>
      </c>
      <c r="E2714">
        <v>1997</v>
      </c>
      <c r="F2714" t="s">
        <v>18</v>
      </c>
      <c r="G2714" t="s">
        <v>17</v>
      </c>
      <c r="H2714" s="2">
        <v>19666.900000000001</v>
      </c>
    </row>
    <row r="2715" spans="1:8">
      <c r="A2715" t="s">
        <v>80</v>
      </c>
      <c r="B2715" t="s">
        <v>81</v>
      </c>
      <c r="C2715" t="s">
        <v>10</v>
      </c>
      <c r="D2715" t="s">
        <v>33</v>
      </c>
      <c r="E2715">
        <v>1997</v>
      </c>
      <c r="F2715" t="s">
        <v>21</v>
      </c>
      <c r="G2715" t="s">
        <v>19</v>
      </c>
      <c r="H2715" s="2">
        <v>0</v>
      </c>
    </row>
    <row r="2716" spans="1:8">
      <c r="A2716" t="s">
        <v>80</v>
      </c>
      <c r="B2716" t="s">
        <v>81</v>
      </c>
      <c r="C2716" t="s">
        <v>10</v>
      </c>
      <c r="D2716" t="s">
        <v>33</v>
      </c>
      <c r="E2716">
        <v>1998</v>
      </c>
      <c r="F2716" t="s">
        <v>12</v>
      </c>
      <c r="G2716" t="s">
        <v>15</v>
      </c>
      <c r="H2716" s="2">
        <v>9259.5</v>
      </c>
    </row>
    <row r="2717" spans="1:8">
      <c r="A2717" t="s">
        <v>80</v>
      </c>
      <c r="B2717" t="s">
        <v>81</v>
      </c>
      <c r="C2717" t="s">
        <v>10</v>
      </c>
      <c r="D2717" t="s">
        <v>33</v>
      </c>
      <c r="E2717">
        <v>1998</v>
      </c>
      <c r="F2717" t="s">
        <v>12</v>
      </c>
      <c r="G2717" t="s">
        <v>13</v>
      </c>
      <c r="H2717" s="2">
        <v>128583.91</v>
      </c>
    </row>
    <row r="2718" spans="1:8">
      <c r="A2718" t="s">
        <v>80</v>
      </c>
      <c r="B2718" t="s">
        <v>81</v>
      </c>
      <c r="C2718" t="s">
        <v>10</v>
      </c>
      <c r="D2718" t="s">
        <v>33</v>
      </c>
      <c r="E2718">
        <v>1998</v>
      </c>
      <c r="F2718" t="s">
        <v>18</v>
      </c>
      <c r="G2718" t="s">
        <v>19</v>
      </c>
      <c r="H2718" s="2">
        <v>25521.78</v>
      </c>
    </row>
    <row r="2719" spans="1:8">
      <c r="A2719" t="s">
        <v>80</v>
      </c>
      <c r="B2719" t="s">
        <v>81</v>
      </c>
      <c r="C2719" t="s">
        <v>10</v>
      </c>
      <c r="D2719" t="s">
        <v>33</v>
      </c>
      <c r="E2719">
        <v>1998</v>
      </c>
      <c r="F2719" t="s">
        <v>16</v>
      </c>
      <c r="G2719" t="s">
        <v>19</v>
      </c>
      <c r="H2719" s="2">
        <v>0</v>
      </c>
    </row>
    <row r="2720" spans="1:8">
      <c r="A2720" t="s">
        <v>80</v>
      </c>
      <c r="B2720" t="s">
        <v>81</v>
      </c>
      <c r="C2720" t="s">
        <v>10</v>
      </c>
      <c r="D2720" t="s">
        <v>33</v>
      </c>
      <c r="E2720">
        <v>1999</v>
      </c>
      <c r="F2720" t="s">
        <v>22</v>
      </c>
      <c r="G2720" t="s">
        <v>13</v>
      </c>
      <c r="H2720" s="2">
        <v>28219.31</v>
      </c>
    </row>
    <row r="2721" spans="1:8">
      <c r="A2721" t="s">
        <v>80</v>
      </c>
      <c r="B2721" t="s">
        <v>81</v>
      </c>
      <c r="C2721" t="s">
        <v>10</v>
      </c>
      <c r="D2721" t="s">
        <v>33</v>
      </c>
      <c r="E2721">
        <v>1999</v>
      </c>
      <c r="F2721" t="s">
        <v>22</v>
      </c>
      <c r="G2721" t="s">
        <v>17</v>
      </c>
      <c r="H2721" s="2">
        <v>51659.95</v>
      </c>
    </row>
    <row r="2722" spans="1:8">
      <c r="A2722" t="s">
        <v>80</v>
      </c>
      <c r="B2722" t="s">
        <v>81</v>
      </c>
      <c r="C2722" t="s">
        <v>10</v>
      </c>
      <c r="D2722" t="s">
        <v>33</v>
      </c>
      <c r="E2722">
        <v>1999</v>
      </c>
      <c r="F2722" t="s">
        <v>12</v>
      </c>
      <c r="G2722" t="s">
        <v>13</v>
      </c>
      <c r="H2722" s="2">
        <v>122507.05</v>
      </c>
    </row>
    <row r="2723" spans="1:8">
      <c r="A2723" t="s">
        <v>80</v>
      </c>
      <c r="B2723" t="s">
        <v>81</v>
      </c>
      <c r="C2723" t="s">
        <v>10</v>
      </c>
      <c r="D2723" t="s">
        <v>33</v>
      </c>
      <c r="E2723">
        <v>1999</v>
      </c>
      <c r="F2723" t="s">
        <v>16</v>
      </c>
      <c r="G2723" t="s">
        <v>15</v>
      </c>
      <c r="H2723" s="2">
        <v>30817.66</v>
      </c>
    </row>
    <row r="2724" spans="1:8">
      <c r="A2724" t="s">
        <v>80</v>
      </c>
      <c r="B2724" t="s">
        <v>81</v>
      </c>
      <c r="C2724" t="s">
        <v>10</v>
      </c>
      <c r="D2724" t="s">
        <v>33</v>
      </c>
      <c r="E2724">
        <v>2000</v>
      </c>
      <c r="F2724" t="s">
        <v>12</v>
      </c>
      <c r="G2724" t="s">
        <v>19</v>
      </c>
      <c r="H2724" s="2">
        <v>0</v>
      </c>
    </row>
    <row r="2725" spans="1:8">
      <c r="A2725" t="s">
        <v>80</v>
      </c>
      <c r="B2725" t="s">
        <v>81</v>
      </c>
      <c r="C2725" t="s">
        <v>10</v>
      </c>
      <c r="D2725" t="s">
        <v>33</v>
      </c>
      <c r="E2725">
        <v>2000</v>
      </c>
      <c r="F2725" t="s">
        <v>21</v>
      </c>
      <c r="G2725" t="s">
        <v>19</v>
      </c>
      <c r="H2725" s="2">
        <v>0</v>
      </c>
    </row>
    <row r="2726" spans="1:8">
      <c r="A2726" t="s">
        <v>80</v>
      </c>
      <c r="B2726" t="s">
        <v>81</v>
      </c>
      <c r="C2726" t="s">
        <v>10</v>
      </c>
      <c r="D2726" t="s">
        <v>33</v>
      </c>
      <c r="E2726">
        <v>2000</v>
      </c>
      <c r="F2726" t="s">
        <v>16</v>
      </c>
      <c r="G2726" t="s">
        <v>13</v>
      </c>
      <c r="H2726" s="2">
        <v>5982.92</v>
      </c>
    </row>
    <row r="2727" spans="1:8">
      <c r="A2727" t="s">
        <v>80</v>
      </c>
      <c r="B2727" t="s">
        <v>81</v>
      </c>
      <c r="C2727" t="s">
        <v>10</v>
      </c>
      <c r="D2727" t="s">
        <v>33</v>
      </c>
      <c r="E2727">
        <v>2000</v>
      </c>
      <c r="F2727" t="s">
        <v>16</v>
      </c>
      <c r="G2727" t="s">
        <v>19</v>
      </c>
      <c r="H2727" s="2">
        <v>0</v>
      </c>
    </row>
    <row r="2728" spans="1:8">
      <c r="A2728" t="s">
        <v>80</v>
      </c>
      <c r="B2728" t="s">
        <v>81</v>
      </c>
      <c r="C2728" t="s">
        <v>10</v>
      </c>
      <c r="D2728" t="s">
        <v>33</v>
      </c>
      <c r="E2728">
        <v>2001</v>
      </c>
      <c r="F2728" t="s">
        <v>12</v>
      </c>
      <c r="G2728" t="s">
        <v>13</v>
      </c>
      <c r="H2728" s="2">
        <v>126988.4</v>
      </c>
    </row>
    <row r="2729" spans="1:8">
      <c r="A2729" t="s">
        <v>80</v>
      </c>
      <c r="B2729" t="s">
        <v>81</v>
      </c>
      <c r="C2729" t="s">
        <v>10</v>
      </c>
      <c r="D2729" t="s">
        <v>33</v>
      </c>
      <c r="E2729">
        <v>2001</v>
      </c>
      <c r="F2729" t="s">
        <v>18</v>
      </c>
      <c r="G2729" t="s">
        <v>13</v>
      </c>
      <c r="H2729" s="2">
        <v>432637.51</v>
      </c>
    </row>
    <row r="2730" spans="1:8">
      <c r="A2730" t="s">
        <v>80</v>
      </c>
      <c r="B2730" t="s">
        <v>81</v>
      </c>
      <c r="C2730" t="s">
        <v>10</v>
      </c>
      <c r="D2730" t="s">
        <v>33</v>
      </c>
      <c r="E2730">
        <v>2001</v>
      </c>
      <c r="F2730" t="s">
        <v>16</v>
      </c>
      <c r="G2730" t="s">
        <v>17</v>
      </c>
      <c r="H2730" s="2">
        <v>2025.18</v>
      </c>
    </row>
    <row r="2731" spans="1:8">
      <c r="A2731" t="s">
        <v>80</v>
      </c>
      <c r="B2731" t="s">
        <v>81</v>
      </c>
      <c r="C2731" t="s">
        <v>10</v>
      </c>
      <c r="D2731" t="s">
        <v>33</v>
      </c>
      <c r="E2731">
        <v>2002</v>
      </c>
      <c r="F2731" t="s">
        <v>12</v>
      </c>
      <c r="G2731" t="s">
        <v>15</v>
      </c>
      <c r="H2731" s="2">
        <v>9280.9</v>
      </c>
    </row>
    <row r="2732" spans="1:8">
      <c r="A2732" t="s">
        <v>80</v>
      </c>
      <c r="B2732" t="s">
        <v>81</v>
      </c>
      <c r="C2732" t="s">
        <v>10</v>
      </c>
      <c r="D2732" t="s">
        <v>33</v>
      </c>
      <c r="E2732">
        <v>2002</v>
      </c>
      <c r="F2732" t="s">
        <v>18</v>
      </c>
      <c r="G2732" t="s">
        <v>19</v>
      </c>
      <c r="H2732" s="2">
        <v>26494.01</v>
      </c>
    </row>
    <row r="2733" spans="1:8">
      <c r="A2733" t="s">
        <v>80</v>
      </c>
      <c r="B2733" t="s">
        <v>81</v>
      </c>
      <c r="C2733" t="s">
        <v>10</v>
      </c>
      <c r="D2733" t="s">
        <v>33</v>
      </c>
      <c r="E2733">
        <v>2003</v>
      </c>
      <c r="F2733" t="s">
        <v>12</v>
      </c>
      <c r="G2733" t="s">
        <v>19</v>
      </c>
      <c r="H2733" s="2">
        <v>0</v>
      </c>
    </row>
    <row r="2734" spans="1:8">
      <c r="A2734" t="s">
        <v>80</v>
      </c>
      <c r="B2734" t="s">
        <v>81</v>
      </c>
      <c r="C2734" t="s">
        <v>10</v>
      </c>
      <c r="D2734" t="s">
        <v>33</v>
      </c>
      <c r="E2734">
        <v>2003</v>
      </c>
      <c r="F2734" t="s">
        <v>18</v>
      </c>
      <c r="G2734" t="s">
        <v>13</v>
      </c>
      <c r="H2734" s="2">
        <v>440320.52</v>
      </c>
    </row>
    <row r="2735" spans="1:8">
      <c r="A2735" t="s">
        <v>80</v>
      </c>
      <c r="B2735" t="s">
        <v>81</v>
      </c>
      <c r="C2735" t="s">
        <v>10</v>
      </c>
      <c r="D2735" t="s">
        <v>33</v>
      </c>
      <c r="E2735">
        <v>2003</v>
      </c>
      <c r="F2735" t="s">
        <v>18</v>
      </c>
      <c r="G2735" t="s">
        <v>19</v>
      </c>
      <c r="H2735" s="2">
        <v>27987.61</v>
      </c>
    </row>
    <row r="2736" spans="1:8">
      <c r="A2736" t="s">
        <v>80</v>
      </c>
      <c r="B2736" t="s">
        <v>81</v>
      </c>
      <c r="C2736" t="s">
        <v>10</v>
      </c>
      <c r="D2736" t="s">
        <v>33</v>
      </c>
      <c r="E2736">
        <v>2003</v>
      </c>
      <c r="F2736" t="s">
        <v>14</v>
      </c>
      <c r="G2736" t="s">
        <v>17</v>
      </c>
      <c r="H2736" s="2">
        <v>905.82</v>
      </c>
    </row>
    <row r="2737" spans="1:8">
      <c r="A2737" t="s">
        <v>80</v>
      </c>
      <c r="B2737" t="s">
        <v>81</v>
      </c>
      <c r="C2737" t="s">
        <v>10</v>
      </c>
      <c r="D2737" t="s">
        <v>33</v>
      </c>
      <c r="E2737">
        <v>2003</v>
      </c>
      <c r="F2737" t="s">
        <v>21</v>
      </c>
      <c r="G2737" t="s">
        <v>15</v>
      </c>
      <c r="H2737" s="2">
        <v>4793.4399999999996</v>
      </c>
    </row>
    <row r="2738" spans="1:8">
      <c r="A2738" t="s">
        <v>80</v>
      </c>
      <c r="B2738" t="s">
        <v>81</v>
      </c>
      <c r="C2738" t="s">
        <v>10</v>
      </c>
      <c r="D2738" t="s">
        <v>33</v>
      </c>
      <c r="E2738">
        <v>2004</v>
      </c>
      <c r="F2738" t="s">
        <v>22</v>
      </c>
      <c r="G2738" t="s">
        <v>13</v>
      </c>
      <c r="H2738" s="2">
        <v>28055.85</v>
      </c>
    </row>
    <row r="2739" spans="1:8">
      <c r="A2739" t="s">
        <v>80</v>
      </c>
      <c r="B2739" t="s">
        <v>81</v>
      </c>
      <c r="C2739" t="s">
        <v>10</v>
      </c>
      <c r="D2739" t="s">
        <v>33</v>
      </c>
      <c r="E2739">
        <v>2004</v>
      </c>
      <c r="F2739" t="s">
        <v>12</v>
      </c>
      <c r="G2739" t="s">
        <v>19</v>
      </c>
      <c r="H2739" s="2">
        <v>0</v>
      </c>
    </row>
    <row r="2740" spans="1:8">
      <c r="A2740" t="s">
        <v>80</v>
      </c>
      <c r="B2740" t="s">
        <v>81</v>
      </c>
      <c r="C2740" t="s">
        <v>10</v>
      </c>
      <c r="D2740" t="s">
        <v>33</v>
      </c>
      <c r="E2740">
        <v>2004</v>
      </c>
      <c r="F2740" t="s">
        <v>18</v>
      </c>
      <c r="G2740" t="s">
        <v>17</v>
      </c>
      <c r="H2740" s="2">
        <v>27267.96</v>
      </c>
    </row>
    <row r="2741" spans="1:8">
      <c r="A2741" t="s">
        <v>80</v>
      </c>
      <c r="B2741" t="s">
        <v>81</v>
      </c>
      <c r="C2741" t="s">
        <v>10</v>
      </c>
      <c r="D2741" t="s">
        <v>33</v>
      </c>
      <c r="E2741">
        <v>2004</v>
      </c>
      <c r="F2741" t="s">
        <v>20</v>
      </c>
      <c r="G2741" t="s">
        <v>17</v>
      </c>
      <c r="H2741" s="2">
        <v>1354.28</v>
      </c>
    </row>
    <row r="2742" spans="1:8">
      <c r="A2742" t="s">
        <v>80</v>
      </c>
      <c r="B2742" t="s">
        <v>81</v>
      </c>
      <c r="C2742" t="s">
        <v>10</v>
      </c>
      <c r="D2742" t="s">
        <v>33</v>
      </c>
      <c r="E2742">
        <v>2004</v>
      </c>
      <c r="F2742" t="s">
        <v>14</v>
      </c>
      <c r="G2742" t="s">
        <v>15</v>
      </c>
      <c r="H2742" s="2">
        <v>1497.23</v>
      </c>
    </row>
    <row r="2743" spans="1:8">
      <c r="A2743" t="s">
        <v>80</v>
      </c>
      <c r="B2743" t="s">
        <v>81</v>
      </c>
      <c r="C2743" t="s">
        <v>10</v>
      </c>
      <c r="D2743" t="s">
        <v>33</v>
      </c>
      <c r="E2743">
        <v>2004</v>
      </c>
      <c r="F2743" t="s">
        <v>16</v>
      </c>
      <c r="G2743" t="s">
        <v>13</v>
      </c>
      <c r="H2743" s="2">
        <v>6353.22</v>
      </c>
    </row>
    <row r="2744" spans="1:8">
      <c r="A2744" t="s">
        <v>80</v>
      </c>
      <c r="B2744" t="s">
        <v>81</v>
      </c>
      <c r="C2744" t="s">
        <v>10</v>
      </c>
      <c r="D2744" t="s">
        <v>33</v>
      </c>
      <c r="E2744">
        <v>2005</v>
      </c>
      <c r="F2744" t="s">
        <v>20</v>
      </c>
      <c r="G2744" t="s">
        <v>17</v>
      </c>
      <c r="H2744" s="2">
        <v>1059.24</v>
      </c>
    </row>
    <row r="2745" spans="1:8">
      <c r="A2745" t="s">
        <v>80</v>
      </c>
      <c r="B2745" t="s">
        <v>81</v>
      </c>
      <c r="C2745" t="s">
        <v>10</v>
      </c>
      <c r="D2745" t="s">
        <v>33</v>
      </c>
      <c r="E2745">
        <v>2005</v>
      </c>
      <c r="F2745" t="s">
        <v>14</v>
      </c>
      <c r="G2745" t="s">
        <v>19</v>
      </c>
      <c r="H2745" s="2">
        <v>0</v>
      </c>
    </row>
    <row r="2746" spans="1:8">
      <c r="A2746" t="s">
        <v>80</v>
      </c>
      <c r="B2746" t="s">
        <v>81</v>
      </c>
      <c r="C2746" t="s">
        <v>10</v>
      </c>
      <c r="D2746" t="s">
        <v>33</v>
      </c>
      <c r="E2746">
        <v>2006</v>
      </c>
      <c r="F2746" t="s">
        <v>20</v>
      </c>
      <c r="G2746" t="s">
        <v>15</v>
      </c>
      <c r="H2746" s="2">
        <v>1230.57</v>
      </c>
    </row>
    <row r="2747" spans="1:8">
      <c r="A2747" t="s">
        <v>80</v>
      </c>
      <c r="B2747" t="s">
        <v>81</v>
      </c>
      <c r="C2747" t="s">
        <v>10</v>
      </c>
      <c r="D2747" t="s">
        <v>33</v>
      </c>
      <c r="E2747">
        <v>2006</v>
      </c>
      <c r="F2747" t="s">
        <v>16</v>
      </c>
      <c r="G2747" t="s">
        <v>13</v>
      </c>
      <c r="H2747" s="2">
        <v>5583.82</v>
      </c>
    </row>
    <row r="2748" spans="1:8">
      <c r="A2748" t="s">
        <v>80</v>
      </c>
      <c r="B2748" t="s">
        <v>81</v>
      </c>
      <c r="C2748" t="s">
        <v>10</v>
      </c>
      <c r="D2748" t="s">
        <v>33</v>
      </c>
      <c r="E2748">
        <v>2007</v>
      </c>
      <c r="F2748" t="s">
        <v>22</v>
      </c>
      <c r="G2748" t="s">
        <v>13</v>
      </c>
      <c r="H2748" s="2">
        <v>30292.66</v>
      </c>
    </row>
    <row r="2749" spans="1:8">
      <c r="A2749" t="s">
        <v>80</v>
      </c>
      <c r="B2749" t="s">
        <v>81</v>
      </c>
      <c r="C2749" t="s">
        <v>10</v>
      </c>
      <c r="D2749" t="s">
        <v>33</v>
      </c>
      <c r="E2749">
        <v>2007</v>
      </c>
      <c r="F2749" t="s">
        <v>20</v>
      </c>
      <c r="G2749" t="s">
        <v>15</v>
      </c>
      <c r="H2749" s="2">
        <v>1133.24</v>
      </c>
    </row>
    <row r="2750" spans="1:8">
      <c r="A2750" t="s">
        <v>80</v>
      </c>
      <c r="B2750" t="s">
        <v>81</v>
      </c>
      <c r="C2750" t="s">
        <v>10</v>
      </c>
      <c r="D2750" t="s">
        <v>33</v>
      </c>
      <c r="E2750">
        <v>2007</v>
      </c>
      <c r="F2750" t="s">
        <v>16</v>
      </c>
      <c r="G2750" t="s">
        <v>19</v>
      </c>
      <c r="H2750" s="2">
        <v>0</v>
      </c>
    </row>
    <row r="2751" spans="1:8">
      <c r="A2751" t="s">
        <v>80</v>
      </c>
      <c r="B2751" t="s">
        <v>81</v>
      </c>
      <c r="C2751" t="s">
        <v>10</v>
      </c>
      <c r="D2751" t="s">
        <v>33</v>
      </c>
      <c r="E2751">
        <v>2009</v>
      </c>
      <c r="F2751" t="s">
        <v>18</v>
      </c>
      <c r="G2751" t="s">
        <v>15</v>
      </c>
      <c r="H2751" s="2">
        <v>25596.26</v>
      </c>
    </row>
    <row r="2752" spans="1:8">
      <c r="A2752" t="s">
        <v>80</v>
      </c>
      <c r="B2752" t="s">
        <v>81</v>
      </c>
      <c r="C2752" t="s">
        <v>10</v>
      </c>
      <c r="D2752" t="s">
        <v>33</v>
      </c>
      <c r="E2752">
        <v>2010</v>
      </c>
      <c r="F2752" t="s">
        <v>20</v>
      </c>
      <c r="G2752" t="s">
        <v>17</v>
      </c>
      <c r="H2752" s="2">
        <v>1341.99</v>
      </c>
    </row>
    <row r="2753" spans="1:8">
      <c r="A2753" t="s">
        <v>80</v>
      </c>
      <c r="B2753" t="s">
        <v>81</v>
      </c>
      <c r="C2753" t="s">
        <v>10</v>
      </c>
      <c r="D2753" t="s">
        <v>33</v>
      </c>
      <c r="E2753">
        <v>2010</v>
      </c>
      <c r="F2753" t="s">
        <v>21</v>
      </c>
      <c r="G2753" t="s">
        <v>13</v>
      </c>
      <c r="H2753" s="2">
        <v>220492.84</v>
      </c>
    </row>
    <row r="2754" spans="1:8">
      <c r="A2754" t="s">
        <v>80</v>
      </c>
      <c r="B2754" t="s">
        <v>81</v>
      </c>
      <c r="C2754" t="s">
        <v>10</v>
      </c>
      <c r="D2754" t="s">
        <v>33</v>
      </c>
      <c r="E2754">
        <v>2010</v>
      </c>
      <c r="F2754" t="s">
        <v>16</v>
      </c>
      <c r="G2754" t="s">
        <v>19</v>
      </c>
      <c r="H2754" s="2">
        <v>0</v>
      </c>
    </row>
    <row r="2755" spans="1:8">
      <c r="A2755" t="s">
        <v>80</v>
      </c>
      <c r="B2755" t="s">
        <v>81</v>
      </c>
      <c r="C2755" t="s">
        <v>10</v>
      </c>
      <c r="D2755" t="s">
        <v>33</v>
      </c>
      <c r="E2755">
        <v>2011</v>
      </c>
      <c r="F2755" t="s">
        <v>12</v>
      </c>
      <c r="G2755" t="s">
        <v>15</v>
      </c>
      <c r="H2755" s="2">
        <v>9885.59</v>
      </c>
    </row>
    <row r="2756" spans="1:8">
      <c r="A2756" t="s">
        <v>80</v>
      </c>
      <c r="B2756" t="s">
        <v>81</v>
      </c>
      <c r="C2756" t="s">
        <v>10</v>
      </c>
      <c r="D2756" t="s">
        <v>33</v>
      </c>
      <c r="E2756">
        <v>2012</v>
      </c>
      <c r="F2756" t="s">
        <v>14</v>
      </c>
      <c r="G2756" t="s">
        <v>15</v>
      </c>
      <c r="H2756" s="2">
        <v>1432.49</v>
      </c>
    </row>
    <row r="2757" spans="1:8">
      <c r="A2757" t="s">
        <v>80</v>
      </c>
      <c r="B2757" t="s">
        <v>81</v>
      </c>
      <c r="C2757" t="s">
        <v>10</v>
      </c>
      <c r="D2757" t="s">
        <v>33</v>
      </c>
      <c r="E2757">
        <v>2012</v>
      </c>
      <c r="F2757" t="s">
        <v>14</v>
      </c>
      <c r="G2757" t="s">
        <v>13</v>
      </c>
      <c r="H2757" s="2">
        <v>44136.5</v>
      </c>
    </row>
    <row r="2758" spans="1:8">
      <c r="A2758" t="s">
        <v>80</v>
      </c>
      <c r="B2758" t="s">
        <v>81</v>
      </c>
      <c r="C2758" t="s">
        <v>10</v>
      </c>
      <c r="D2758" t="s">
        <v>33</v>
      </c>
      <c r="E2758">
        <v>2012</v>
      </c>
      <c r="F2758" t="s">
        <v>21</v>
      </c>
      <c r="G2758" t="s">
        <v>17</v>
      </c>
      <c r="H2758" s="2">
        <v>2460.27</v>
      </c>
    </row>
    <row r="2759" spans="1:8">
      <c r="A2759" t="s">
        <v>80</v>
      </c>
      <c r="B2759" t="s">
        <v>81</v>
      </c>
      <c r="C2759" t="s">
        <v>10</v>
      </c>
      <c r="D2759" t="s">
        <v>33</v>
      </c>
      <c r="E2759">
        <v>2012</v>
      </c>
      <c r="F2759" t="s">
        <v>16</v>
      </c>
      <c r="G2759" t="s">
        <v>17</v>
      </c>
      <c r="H2759" s="2">
        <v>2165.0500000000002</v>
      </c>
    </row>
    <row r="2760" spans="1:8">
      <c r="A2760" t="s">
        <v>80</v>
      </c>
      <c r="B2760" t="s">
        <v>81</v>
      </c>
      <c r="C2760" t="s">
        <v>10</v>
      </c>
      <c r="D2760" t="s">
        <v>33</v>
      </c>
      <c r="E2760">
        <v>2013</v>
      </c>
      <c r="F2760" t="s">
        <v>18</v>
      </c>
      <c r="G2760" t="s">
        <v>13</v>
      </c>
      <c r="H2760" s="2">
        <v>464017.88</v>
      </c>
    </row>
    <row r="2761" spans="1:8">
      <c r="A2761" t="s">
        <v>80</v>
      </c>
      <c r="B2761" t="s">
        <v>81</v>
      </c>
      <c r="C2761" t="s">
        <v>10</v>
      </c>
      <c r="D2761" t="s">
        <v>33</v>
      </c>
      <c r="E2761">
        <v>2013</v>
      </c>
      <c r="F2761" t="s">
        <v>21</v>
      </c>
      <c r="G2761" t="s">
        <v>15</v>
      </c>
      <c r="H2761" s="2">
        <v>4813.76</v>
      </c>
    </row>
    <row r="2762" spans="1:8">
      <c r="A2762" t="s">
        <v>80</v>
      </c>
      <c r="B2762" t="s">
        <v>81</v>
      </c>
      <c r="C2762" t="s">
        <v>10</v>
      </c>
      <c r="D2762" t="s">
        <v>33</v>
      </c>
      <c r="E2762">
        <v>2013</v>
      </c>
      <c r="F2762" t="s">
        <v>21</v>
      </c>
      <c r="G2762" t="s">
        <v>13</v>
      </c>
      <c r="H2762" s="2">
        <v>219806.19</v>
      </c>
    </row>
    <row r="2763" spans="1:8">
      <c r="A2763" t="s">
        <v>80</v>
      </c>
      <c r="B2763" t="s">
        <v>81</v>
      </c>
      <c r="C2763" t="s">
        <v>10</v>
      </c>
      <c r="D2763" t="s">
        <v>33</v>
      </c>
      <c r="E2763">
        <v>2014</v>
      </c>
      <c r="F2763" t="s">
        <v>18</v>
      </c>
      <c r="G2763" t="s">
        <v>15</v>
      </c>
      <c r="H2763" s="2">
        <v>27517.17</v>
      </c>
    </row>
    <row r="2764" spans="1:8">
      <c r="A2764" t="s">
        <v>80</v>
      </c>
      <c r="B2764" t="s">
        <v>81</v>
      </c>
      <c r="C2764" t="s">
        <v>10</v>
      </c>
      <c r="D2764" t="s">
        <v>33</v>
      </c>
      <c r="E2764">
        <v>2014</v>
      </c>
      <c r="F2764" t="s">
        <v>16</v>
      </c>
      <c r="G2764" t="s">
        <v>17</v>
      </c>
      <c r="H2764" s="2">
        <v>2321.5300000000002</v>
      </c>
    </row>
    <row r="2765" spans="1:8">
      <c r="A2765" t="s">
        <v>80</v>
      </c>
      <c r="B2765" t="s">
        <v>81</v>
      </c>
      <c r="C2765" t="s">
        <v>10</v>
      </c>
      <c r="D2765" t="s">
        <v>33</v>
      </c>
      <c r="E2765">
        <v>2015</v>
      </c>
      <c r="F2765" t="s">
        <v>21</v>
      </c>
      <c r="G2765" t="s">
        <v>15</v>
      </c>
      <c r="H2765" s="2">
        <v>4807.72</v>
      </c>
    </row>
    <row r="2766" spans="1:8">
      <c r="A2766" t="s">
        <v>80</v>
      </c>
      <c r="B2766" t="s">
        <v>81</v>
      </c>
      <c r="C2766" t="s">
        <v>10</v>
      </c>
      <c r="D2766" t="s">
        <v>33</v>
      </c>
      <c r="E2766">
        <v>2015</v>
      </c>
      <c r="F2766" t="s">
        <v>21</v>
      </c>
      <c r="G2766" t="s">
        <v>17</v>
      </c>
      <c r="H2766" s="2">
        <v>2295.41</v>
      </c>
    </row>
    <row r="2767" spans="1:8">
      <c r="A2767" t="s">
        <v>80</v>
      </c>
      <c r="B2767" t="s">
        <v>81</v>
      </c>
      <c r="C2767" t="s">
        <v>10</v>
      </c>
      <c r="D2767" t="s">
        <v>33</v>
      </c>
      <c r="E2767">
        <v>2015</v>
      </c>
      <c r="F2767" t="s">
        <v>16</v>
      </c>
      <c r="G2767" t="s">
        <v>13</v>
      </c>
      <c r="H2767" s="2">
        <v>6014.58</v>
      </c>
    </row>
    <row r="2768" spans="1:8">
      <c r="A2768" t="s">
        <v>80</v>
      </c>
      <c r="B2768" t="s">
        <v>81</v>
      </c>
      <c r="C2768" t="s">
        <v>10</v>
      </c>
      <c r="D2768" t="s">
        <v>33</v>
      </c>
      <c r="E2768">
        <v>2016</v>
      </c>
      <c r="F2768" t="s">
        <v>20</v>
      </c>
      <c r="G2768" t="s">
        <v>17</v>
      </c>
      <c r="H2768" s="2">
        <v>1362.79</v>
      </c>
    </row>
    <row r="2769" spans="1:8">
      <c r="A2769" t="s">
        <v>80</v>
      </c>
      <c r="B2769" t="s">
        <v>81</v>
      </c>
      <c r="C2769" t="s">
        <v>10</v>
      </c>
      <c r="D2769" t="s">
        <v>33</v>
      </c>
      <c r="E2769">
        <v>2017</v>
      </c>
      <c r="F2769" t="s">
        <v>22</v>
      </c>
      <c r="G2769" t="s">
        <v>15</v>
      </c>
      <c r="H2769" s="2">
        <v>228487.02</v>
      </c>
    </row>
    <row r="2770" spans="1:8">
      <c r="A2770" t="s">
        <v>80</v>
      </c>
      <c r="B2770" t="s">
        <v>81</v>
      </c>
      <c r="C2770" t="s">
        <v>10</v>
      </c>
      <c r="D2770" t="s">
        <v>33</v>
      </c>
      <c r="E2770">
        <v>2017</v>
      </c>
      <c r="F2770" t="s">
        <v>12</v>
      </c>
      <c r="G2770" t="s">
        <v>15</v>
      </c>
      <c r="H2770" s="2">
        <v>10799.8</v>
      </c>
    </row>
    <row r="2771" spans="1:8">
      <c r="A2771" t="s">
        <v>80</v>
      </c>
      <c r="B2771" t="s">
        <v>81</v>
      </c>
      <c r="C2771" t="s">
        <v>10</v>
      </c>
      <c r="D2771" t="s">
        <v>33</v>
      </c>
      <c r="E2771">
        <v>2017</v>
      </c>
      <c r="F2771" t="s">
        <v>12</v>
      </c>
      <c r="G2771" t="s">
        <v>19</v>
      </c>
      <c r="H2771" s="2">
        <v>0</v>
      </c>
    </row>
    <row r="2772" spans="1:8">
      <c r="A2772" t="s">
        <v>80</v>
      </c>
      <c r="B2772" t="s">
        <v>81</v>
      </c>
      <c r="C2772" t="s">
        <v>10</v>
      </c>
      <c r="D2772" t="s">
        <v>33</v>
      </c>
      <c r="E2772">
        <v>2017</v>
      </c>
      <c r="F2772" t="s">
        <v>18</v>
      </c>
      <c r="G2772" t="s">
        <v>15</v>
      </c>
      <c r="H2772" s="2">
        <v>24628.49</v>
      </c>
    </row>
    <row r="2773" spans="1:8">
      <c r="A2773" t="s">
        <v>80</v>
      </c>
      <c r="B2773" t="s">
        <v>81</v>
      </c>
      <c r="C2773" t="s">
        <v>10</v>
      </c>
      <c r="D2773" t="s">
        <v>33</v>
      </c>
      <c r="E2773">
        <v>2017</v>
      </c>
      <c r="F2773" t="s">
        <v>18</v>
      </c>
      <c r="G2773" t="s">
        <v>19</v>
      </c>
      <c r="H2773" s="2">
        <v>24779.48</v>
      </c>
    </row>
    <row r="2774" spans="1:8">
      <c r="A2774" t="s">
        <v>80</v>
      </c>
      <c r="B2774" t="s">
        <v>81</v>
      </c>
      <c r="C2774" t="s">
        <v>10</v>
      </c>
      <c r="D2774" t="s">
        <v>33</v>
      </c>
      <c r="E2774">
        <v>2017</v>
      </c>
      <c r="F2774" t="s">
        <v>20</v>
      </c>
      <c r="G2774" t="s">
        <v>19</v>
      </c>
      <c r="H2774" s="2">
        <v>0</v>
      </c>
    </row>
    <row r="2775" spans="1:8">
      <c r="A2775" t="s">
        <v>80</v>
      </c>
      <c r="B2775" t="s">
        <v>81</v>
      </c>
      <c r="C2775" t="s">
        <v>10</v>
      </c>
      <c r="D2775" t="s">
        <v>33</v>
      </c>
      <c r="E2775">
        <v>2017</v>
      </c>
      <c r="F2775" t="s">
        <v>14</v>
      </c>
      <c r="G2775" t="s">
        <v>19</v>
      </c>
      <c r="H2775" s="2">
        <v>0</v>
      </c>
    </row>
    <row r="2776" spans="1:8">
      <c r="A2776" t="s">
        <v>80</v>
      </c>
      <c r="B2776" t="s">
        <v>81</v>
      </c>
      <c r="C2776" t="s">
        <v>10</v>
      </c>
      <c r="D2776" t="s">
        <v>33</v>
      </c>
      <c r="E2776">
        <v>2017</v>
      </c>
      <c r="F2776" t="s">
        <v>16</v>
      </c>
      <c r="G2776" t="s">
        <v>19</v>
      </c>
      <c r="H2776" s="2">
        <v>0</v>
      </c>
    </row>
    <row r="2777" spans="1:8">
      <c r="A2777" t="s">
        <v>80</v>
      </c>
      <c r="B2777" t="s">
        <v>81</v>
      </c>
      <c r="C2777" t="s">
        <v>10</v>
      </c>
      <c r="D2777" t="s">
        <v>33</v>
      </c>
      <c r="E2777">
        <v>2018</v>
      </c>
      <c r="F2777" t="s">
        <v>16</v>
      </c>
      <c r="G2777" t="s">
        <v>13</v>
      </c>
      <c r="H2777" s="2">
        <v>6617.31</v>
      </c>
    </row>
    <row r="2778" spans="1:8">
      <c r="A2778" t="s">
        <v>80</v>
      </c>
      <c r="B2778" t="s">
        <v>81</v>
      </c>
      <c r="C2778" t="s">
        <v>10</v>
      </c>
      <c r="D2778" t="s">
        <v>33</v>
      </c>
      <c r="E2778">
        <v>2019</v>
      </c>
      <c r="F2778" t="s">
        <v>12</v>
      </c>
      <c r="G2778" t="s">
        <v>17</v>
      </c>
      <c r="H2778" s="2">
        <v>4611.46</v>
      </c>
    </row>
    <row r="2779" spans="1:8">
      <c r="A2779" t="s">
        <v>80</v>
      </c>
      <c r="B2779" t="s">
        <v>81</v>
      </c>
      <c r="C2779" t="s">
        <v>10</v>
      </c>
      <c r="D2779" t="s">
        <v>33</v>
      </c>
      <c r="E2779">
        <v>2019</v>
      </c>
      <c r="F2779" t="s">
        <v>14</v>
      </c>
      <c r="G2779" t="s">
        <v>13</v>
      </c>
      <c r="H2779" s="2">
        <v>48530.84</v>
      </c>
    </row>
    <row r="2780" spans="1:8">
      <c r="A2780" t="s">
        <v>80</v>
      </c>
      <c r="B2780" t="s">
        <v>81</v>
      </c>
      <c r="C2780" t="s">
        <v>10</v>
      </c>
      <c r="D2780" t="s">
        <v>33</v>
      </c>
      <c r="E2780">
        <v>2020</v>
      </c>
      <c r="F2780" t="s">
        <v>22</v>
      </c>
      <c r="G2780" t="s">
        <v>13</v>
      </c>
      <c r="H2780" s="2">
        <v>34225.39</v>
      </c>
    </row>
    <row r="2781" spans="1:8">
      <c r="A2781" t="s">
        <v>80</v>
      </c>
      <c r="B2781" t="s">
        <v>81</v>
      </c>
      <c r="C2781" t="s">
        <v>10</v>
      </c>
      <c r="D2781" t="s">
        <v>33</v>
      </c>
      <c r="E2781">
        <v>2020</v>
      </c>
      <c r="F2781" t="s">
        <v>12</v>
      </c>
      <c r="G2781" t="s">
        <v>15</v>
      </c>
      <c r="H2781" s="2">
        <v>10464.209999999999</v>
      </c>
    </row>
    <row r="2782" spans="1:8">
      <c r="A2782" t="s">
        <v>80</v>
      </c>
      <c r="B2782" t="s">
        <v>81</v>
      </c>
      <c r="C2782" t="s">
        <v>10</v>
      </c>
      <c r="D2782" t="s">
        <v>33</v>
      </c>
      <c r="E2782">
        <v>2020</v>
      </c>
      <c r="F2782" t="s">
        <v>18</v>
      </c>
      <c r="G2782" t="s">
        <v>15</v>
      </c>
      <c r="H2782" s="2">
        <v>26995.5</v>
      </c>
    </row>
    <row r="2783" spans="1:8">
      <c r="A2783" t="s">
        <v>80</v>
      </c>
      <c r="B2783" t="s">
        <v>81</v>
      </c>
      <c r="C2783" t="s">
        <v>10</v>
      </c>
      <c r="D2783" t="s">
        <v>33</v>
      </c>
      <c r="E2783">
        <v>2020</v>
      </c>
      <c r="F2783" t="s">
        <v>18</v>
      </c>
      <c r="G2783" t="s">
        <v>13</v>
      </c>
      <c r="H2783" s="2">
        <v>471140.07</v>
      </c>
    </row>
    <row r="2784" spans="1:8">
      <c r="A2784" t="s">
        <v>80</v>
      </c>
      <c r="B2784" t="s">
        <v>81</v>
      </c>
      <c r="C2784" t="s">
        <v>10</v>
      </c>
      <c r="D2784" t="s">
        <v>33</v>
      </c>
      <c r="E2784">
        <v>2020</v>
      </c>
      <c r="F2784" t="s">
        <v>20</v>
      </c>
      <c r="G2784" t="s">
        <v>19</v>
      </c>
      <c r="H2784" s="2">
        <v>0</v>
      </c>
    </row>
    <row r="2785" spans="1:8">
      <c r="A2785" t="s">
        <v>80</v>
      </c>
      <c r="B2785" t="s">
        <v>81</v>
      </c>
      <c r="C2785" t="s">
        <v>10</v>
      </c>
      <c r="D2785" t="s">
        <v>33</v>
      </c>
      <c r="E2785">
        <v>2020</v>
      </c>
      <c r="F2785" t="s">
        <v>21</v>
      </c>
      <c r="G2785" t="s">
        <v>13</v>
      </c>
      <c r="H2785" s="2">
        <v>237031.19</v>
      </c>
    </row>
    <row r="2786" spans="1:8">
      <c r="A2786" t="s">
        <v>80</v>
      </c>
      <c r="B2786" t="s">
        <v>81</v>
      </c>
      <c r="C2786" t="s">
        <v>10</v>
      </c>
      <c r="D2786" t="s">
        <v>33</v>
      </c>
      <c r="E2786">
        <v>2020</v>
      </c>
      <c r="F2786" t="s">
        <v>16</v>
      </c>
      <c r="G2786" t="s">
        <v>13</v>
      </c>
      <c r="H2786" s="2">
        <v>5979.18</v>
      </c>
    </row>
    <row r="2787" spans="1:8">
      <c r="A2787" t="s">
        <v>80</v>
      </c>
      <c r="B2787" t="s">
        <v>81</v>
      </c>
      <c r="C2787" t="s">
        <v>10</v>
      </c>
      <c r="D2787" t="s">
        <v>33</v>
      </c>
      <c r="E2787">
        <v>2021</v>
      </c>
      <c r="F2787" t="s">
        <v>22</v>
      </c>
      <c r="G2787" t="s">
        <v>13</v>
      </c>
      <c r="H2787" s="2">
        <v>35864.589999999997</v>
      </c>
    </row>
    <row r="2788" spans="1:8">
      <c r="A2788" t="s">
        <v>80</v>
      </c>
      <c r="B2788" t="s">
        <v>81</v>
      </c>
      <c r="C2788" t="s">
        <v>10</v>
      </c>
      <c r="D2788" t="s">
        <v>33</v>
      </c>
      <c r="E2788">
        <v>2021</v>
      </c>
      <c r="F2788" t="s">
        <v>21</v>
      </c>
      <c r="G2788" t="s">
        <v>15</v>
      </c>
      <c r="H2788" s="2">
        <v>5919.78</v>
      </c>
    </row>
    <row r="2789" spans="1:8">
      <c r="A2789" t="s">
        <v>80</v>
      </c>
      <c r="B2789" t="s">
        <v>81</v>
      </c>
      <c r="C2789" t="s">
        <v>10</v>
      </c>
      <c r="D2789" t="s">
        <v>33</v>
      </c>
      <c r="E2789">
        <v>2022</v>
      </c>
      <c r="F2789" t="s">
        <v>22</v>
      </c>
      <c r="G2789" t="s">
        <v>19</v>
      </c>
      <c r="H2789" s="2">
        <v>0</v>
      </c>
    </row>
    <row r="2790" spans="1:8">
      <c r="A2790" t="s">
        <v>80</v>
      </c>
      <c r="B2790" t="s">
        <v>81</v>
      </c>
      <c r="C2790" t="s">
        <v>10</v>
      </c>
      <c r="D2790" t="s">
        <v>33</v>
      </c>
      <c r="E2790">
        <v>2022</v>
      </c>
      <c r="F2790" t="s">
        <v>12</v>
      </c>
      <c r="G2790" t="s">
        <v>19</v>
      </c>
      <c r="H2790" s="2">
        <v>0</v>
      </c>
    </row>
    <row r="2791" spans="1:8">
      <c r="A2791" t="s">
        <v>80</v>
      </c>
      <c r="B2791" t="s">
        <v>81</v>
      </c>
      <c r="C2791" t="s">
        <v>10</v>
      </c>
      <c r="D2791" t="s">
        <v>33</v>
      </c>
      <c r="E2791">
        <v>2022</v>
      </c>
      <c r="F2791" t="s">
        <v>14</v>
      </c>
      <c r="G2791" t="s">
        <v>15</v>
      </c>
      <c r="H2791" s="2">
        <v>1626.37</v>
      </c>
    </row>
    <row r="2792" spans="1:8">
      <c r="A2792" t="s">
        <v>80</v>
      </c>
      <c r="B2792" t="s">
        <v>81</v>
      </c>
      <c r="C2792" t="s">
        <v>10</v>
      </c>
      <c r="D2792" t="s">
        <v>33</v>
      </c>
      <c r="E2792">
        <v>2022</v>
      </c>
      <c r="F2792" t="s">
        <v>16</v>
      </c>
      <c r="G2792" t="s">
        <v>13</v>
      </c>
      <c r="H2792" s="2">
        <v>6997.65</v>
      </c>
    </row>
    <row r="2793" spans="1:8">
      <c r="A2793" t="s">
        <v>80</v>
      </c>
      <c r="B2793" t="s">
        <v>81</v>
      </c>
      <c r="C2793" t="s">
        <v>10</v>
      </c>
      <c r="D2793" t="s">
        <v>33</v>
      </c>
      <c r="E2793">
        <v>2023</v>
      </c>
      <c r="F2793" t="s">
        <v>18</v>
      </c>
      <c r="G2793" t="s">
        <v>15</v>
      </c>
      <c r="H2793" s="2">
        <v>29462.7</v>
      </c>
    </row>
    <row r="2794" spans="1:8">
      <c r="A2794" t="s">
        <v>80</v>
      </c>
      <c r="B2794" t="s">
        <v>81</v>
      </c>
      <c r="C2794" t="s">
        <v>10</v>
      </c>
      <c r="D2794" t="s">
        <v>33</v>
      </c>
      <c r="E2794">
        <v>2023</v>
      </c>
      <c r="F2794" t="s">
        <v>18</v>
      </c>
      <c r="G2794" t="s">
        <v>13</v>
      </c>
      <c r="H2794" s="2">
        <v>514747.66</v>
      </c>
    </row>
    <row r="2795" spans="1:8">
      <c r="A2795" t="s">
        <v>80</v>
      </c>
      <c r="B2795" t="s">
        <v>81</v>
      </c>
      <c r="C2795" t="s">
        <v>10</v>
      </c>
      <c r="D2795" t="s">
        <v>33</v>
      </c>
      <c r="E2795">
        <v>2023</v>
      </c>
      <c r="F2795" t="s">
        <v>18</v>
      </c>
      <c r="G2795" t="s">
        <v>19</v>
      </c>
      <c r="H2795" s="2">
        <v>29570.32</v>
      </c>
    </row>
    <row r="2796" spans="1:8">
      <c r="A2796" t="s">
        <v>80</v>
      </c>
      <c r="B2796" t="s">
        <v>81</v>
      </c>
      <c r="C2796" t="s">
        <v>10</v>
      </c>
      <c r="D2796" t="s">
        <v>33</v>
      </c>
      <c r="E2796">
        <v>2023</v>
      </c>
      <c r="F2796" t="s">
        <v>14</v>
      </c>
      <c r="G2796" t="s">
        <v>19</v>
      </c>
      <c r="H2796" s="2">
        <v>0</v>
      </c>
    </row>
    <row r="2797" spans="1:8">
      <c r="A2797" t="s">
        <v>80</v>
      </c>
      <c r="B2797" t="s">
        <v>81</v>
      </c>
      <c r="C2797" t="s">
        <v>10</v>
      </c>
      <c r="D2797" t="s">
        <v>33</v>
      </c>
      <c r="E2797">
        <v>2023</v>
      </c>
      <c r="F2797" t="s">
        <v>16</v>
      </c>
      <c r="G2797" t="s">
        <v>15</v>
      </c>
      <c r="H2797" s="2">
        <v>35827.69</v>
      </c>
    </row>
    <row r="2798" spans="1:8">
      <c r="A2798" t="s">
        <v>80</v>
      </c>
      <c r="B2798" t="s">
        <v>81</v>
      </c>
      <c r="C2798" t="s">
        <v>10</v>
      </c>
      <c r="D2798" t="s">
        <v>33</v>
      </c>
      <c r="E2798">
        <v>2024</v>
      </c>
      <c r="F2798" t="s">
        <v>18</v>
      </c>
      <c r="G2798" t="s">
        <v>15</v>
      </c>
      <c r="H2798" s="2">
        <v>30703.18</v>
      </c>
    </row>
    <row r="2799" spans="1:8">
      <c r="A2799" t="s">
        <v>80</v>
      </c>
      <c r="B2799" t="s">
        <v>81</v>
      </c>
      <c r="C2799" t="s">
        <v>10</v>
      </c>
      <c r="D2799" t="s">
        <v>33</v>
      </c>
      <c r="E2799">
        <v>2024</v>
      </c>
      <c r="F2799" t="s">
        <v>14</v>
      </c>
      <c r="G2799" t="s">
        <v>13</v>
      </c>
      <c r="H2799" s="2">
        <v>52971.39</v>
      </c>
    </row>
    <row r="2800" spans="1:8">
      <c r="A2800" t="s">
        <v>80</v>
      </c>
      <c r="B2800" t="s">
        <v>81</v>
      </c>
      <c r="C2800" t="s">
        <v>10</v>
      </c>
      <c r="D2800" t="s">
        <v>33</v>
      </c>
      <c r="E2800">
        <v>2024</v>
      </c>
      <c r="F2800" t="s">
        <v>16</v>
      </c>
      <c r="G2800" t="s">
        <v>19</v>
      </c>
      <c r="H2800" s="2">
        <v>0</v>
      </c>
    </row>
    <row r="2801" spans="1:8">
      <c r="A2801" t="s">
        <v>82</v>
      </c>
      <c r="B2801" t="s">
        <v>83</v>
      </c>
      <c r="C2801" t="s">
        <v>51</v>
      </c>
      <c r="D2801" t="s">
        <v>29</v>
      </c>
      <c r="E2801">
        <v>1990</v>
      </c>
      <c r="F2801" t="s">
        <v>22</v>
      </c>
      <c r="G2801" t="s">
        <v>17</v>
      </c>
      <c r="H2801" s="2">
        <v>12621.39</v>
      </c>
    </row>
    <row r="2802" spans="1:8">
      <c r="A2802" t="s">
        <v>82</v>
      </c>
      <c r="B2802" t="s">
        <v>83</v>
      </c>
      <c r="C2802" t="s">
        <v>51</v>
      </c>
      <c r="D2802" t="s">
        <v>29</v>
      </c>
      <c r="E2802">
        <v>1990</v>
      </c>
      <c r="F2802" t="s">
        <v>14</v>
      </c>
      <c r="G2802" t="s">
        <v>13</v>
      </c>
      <c r="H2802" s="2">
        <v>130114.86</v>
      </c>
    </row>
    <row r="2803" spans="1:8">
      <c r="A2803" t="s">
        <v>82</v>
      </c>
      <c r="B2803" t="s">
        <v>83</v>
      </c>
      <c r="C2803" t="s">
        <v>51</v>
      </c>
      <c r="D2803" t="s">
        <v>29</v>
      </c>
      <c r="E2803">
        <v>1990</v>
      </c>
      <c r="F2803" t="s">
        <v>21</v>
      </c>
      <c r="G2803" t="s">
        <v>19</v>
      </c>
      <c r="H2803" s="2">
        <v>0</v>
      </c>
    </row>
    <row r="2804" spans="1:8">
      <c r="A2804" t="s">
        <v>82</v>
      </c>
      <c r="B2804" t="s">
        <v>83</v>
      </c>
      <c r="C2804" t="s">
        <v>51</v>
      </c>
      <c r="D2804" t="s">
        <v>29</v>
      </c>
      <c r="E2804">
        <v>1991</v>
      </c>
      <c r="F2804" t="s">
        <v>12</v>
      </c>
      <c r="G2804" t="s">
        <v>13</v>
      </c>
      <c r="H2804" s="2">
        <v>80343.289999999994</v>
      </c>
    </row>
    <row r="2805" spans="1:8">
      <c r="A2805" t="s">
        <v>82</v>
      </c>
      <c r="B2805" t="s">
        <v>83</v>
      </c>
      <c r="C2805" t="s">
        <v>51</v>
      </c>
      <c r="D2805" t="s">
        <v>29</v>
      </c>
      <c r="E2805">
        <v>1992</v>
      </c>
      <c r="F2805" t="s">
        <v>22</v>
      </c>
      <c r="G2805" t="s">
        <v>17</v>
      </c>
      <c r="H2805" s="2">
        <v>11659.61</v>
      </c>
    </row>
    <row r="2806" spans="1:8">
      <c r="A2806" t="s">
        <v>82</v>
      </c>
      <c r="B2806" t="s">
        <v>83</v>
      </c>
      <c r="C2806" t="s">
        <v>51</v>
      </c>
      <c r="D2806" t="s">
        <v>29</v>
      </c>
      <c r="E2806">
        <v>1993</v>
      </c>
      <c r="F2806" t="s">
        <v>18</v>
      </c>
      <c r="G2806" t="s">
        <v>13</v>
      </c>
      <c r="H2806" s="2">
        <v>98855.13</v>
      </c>
    </row>
    <row r="2807" spans="1:8">
      <c r="A2807" t="s">
        <v>82</v>
      </c>
      <c r="B2807" t="s">
        <v>83</v>
      </c>
      <c r="C2807" t="s">
        <v>51</v>
      </c>
      <c r="D2807" t="s">
        <v>29</v>
      </c>
      <c r="E2807">
        <v>1993</v>
      </c>
      <c r="F2807" t="s">
        <v>20</v>
      </c>
      <c r="G2807" t="s">
        <v>19</v>
      </c>
      <c r="H2807" s="2">
        <v>0</v>
      </c>
    </row>
    <row r="2808" spans="1:8">
      <c r="A2808" t="s">
        <v>82</v>
      </c>
      <c r="B2808" t="s">
        <v>83</v>
      </c>
      <c r="C2808" t="s">
        <v>51</v>
      </c>
      <c r="D2808" t="s">
        <v>29</v>
      </c>
      <c r="E2808">
        <v>1993</v>
      </c>
      <c r="F2808" t="s">
        <v>14</v>
      </c>
      <c r="G2808" t="s">
        <v>19</v>
      </c>
      <c r="H2808" s="2">
        <v>0</v>
      </c>
    </row>
    <row r="2809" spans="1:8">
      <c r="A2809" t="s">
        <v>82</v>
      </c>
      <c r="B2809" t="s">
        <v>83</v>
      </c>
      <c r="C2809" t="s">
        <v>51</v>
      </c>
      <c r="D2809" t="s">
        <v>29</v>
      </c>
      <c r="E2809">
        <v>1994</v>
      </c>
      <c r="F2809" t="s">
        <v>18</v>
      </c>
      <c r="G2809" t="s">
        <v>17</v>
      </c>
      <c r="H2809" s="2">
        <v>5347.02</v>
      </c>
    </row>
    <row r="2810" spans="1:8">
      <c r="A2810" t="s">
        <v>82</v>
      </c>
      <c r="B2810" t="s">
        <v>83</v>
      </c>
      <c r="C2810" t="s">
        <v>51</v>
      </c>
      <c r="D2810" t="s">
        <v>29</v>
      </c>
      <c r="E2810">
        <v>1995</v>
      </c>
      <c r="F2810" t="s">
        <v>21</v>
      </c>
      <c r="G2810" t="s">
        <v>19</v>
      </c>
      <c r="H2810" s="2">
        <v>0</v>
      </c>
    </row>
    <row r="2811" spans="1:8">
      <c r="A2811" t="s">
        <v>82</v>
      </c>
      <c r="B2811" t="s">
        <v>83</v>
      </c>
      <c r="C2811" t="s">
        <v>51</v>
      </c>
      <c r="D2811" t="s">
        <v>29</v>
      </c>
      <c r="E2811">
        <v>1995</v>
      </c>
      <c r="F2811" t="s">
        <v>16</v>
      </c>
      <c r="G2811" t="s">
        <v>17</v>
      </c>
      <c r="H2811" s="2">
        <v>971.17</v>
      </c>
    </row>
    <row r="2812" spans="1:8">
      <c r="A2812" t="s">
        <v>82</v>
      </c>
      <c r="B2812" t="s">
        <v>83</v>
      </c>
      <c r="C2812" t="s">
        <v>51</v>
      </c>
      <c r="D2812" t="s">
        <v>29</v>
      </c>
      <c r="E2812">
        <v>1996</v>
      </c>
      <c r="F2812" t="s">
        <v>20</v>
      </c>
      <c r="G2812" t="s">
        <v>17</v>
      </c>
      <c r="H2812" s="2">
        <v>31.04</v>
      </c>
    </row>
    <row r="2813" spans="1:8">
      <c r="A2813" t="s">
        <v>82</v>
      </c>
      <c r="B2813" t="s">
        <v>83</v>
      </c>
      <c r="C2813" t="s">
        <v>51</v>
      </c>
      <c r="D2813" t="s">
        <v>29</v>
      </c>
      <c r="E2813">
        <v>1996</v>
      </c>
      <c r="F2813" t="s">
        <v>14</v>
      </c>
      <c r="G2813" t="s">
        <v>15</v>
      </c>
      <c r="H2813" s="2">
        <v>3780.11</v>
      </c>
    </row>
    <row r="2814" spans="1:8">
      <c r="A2814" t="s">
        <v>82</v>
      </c>
      <c r="B2814" t="s">
        <v>83</v>
      </c>
      <c r="C2814" t="s">
        <v>51</v>
      </c>
      <c r="D2814" t="s">
        <v>29</v>
      </c>
      <c r="E2814">
        <v>1996</v>
      </c>
      <c r="F2814" t="s">
        <v>14</v>
      </c>
      <c r="G2814" t="s">
        <v>13</v>
      </c>
      <c r="H2814" s="2">
        <v>123402.51</v>
      </c>
    </row>
    <row r="2815" spans="1:8">
      <c r="A2815" t="s">
        <v>82</v>
      </c>
      <c r="B2815" t="s">
        <v>83</v>
      </c>
      <c r="C2815" t="s">
        <v>51</v>
      </c>
      <c r="D2815" t="s">
        <v>29</v>
      </c>
      <c r="E2815">
        <v>1996</v>
      </c>
      <c r="F2815" t="s">
        <v>21</v>
      </c>
      <c r="G2815" t="s">
        <v>13</v>
      </c>
      <c r="H2815" s="2">
        <v>86144.02</v>
      </c>
    </row>
    <row r="2816" spans="1:8">
      <c r="A2816" t="s">
        <v>82</v>
      </c>
      <c r="B2816" t="s">
        <v>83</v>
      </c>
      <c r="C2816" t="s">
        <v>51</v>
      </c>
      <c r="D2816" t="s">
        <v>29</v>
      </c>
      <c r="E2816">
        <v>1996</v>
      </c>
      <c r="F2816" t="s">
        <v>16</v>
      </c>
      <c r="G2816" t="s">
        <v>15</v>
      </c>
      <c r="H2816" s="2">
        <v>15340.27</v>
      </c>
    </row>
    <row r="2817" spans="1:8">
      <c r="A2817" t="s">
        <v>82</v>
      </c>
      <c r="B2817" t="s">
        <v>83</v>
      </c>
      <c r="C2817" t="s">
        <v>51</v>
      </c>
      <c r="D2817" t="s">
        <v>29</v>
      </c>
      <c r="E2817">
        <v>1996</v>
      </c>
      <c r="F2817" t="s">
        <v>16</v>
      </c>
      <c r="G2817" t="s">
        <v>19</v>
      </c>
      <c r="H2817" s="2">
        <v>0</v>
      </c>
    </row>
    <row r="2818" spans="1:8">
      <c r="A2818" t="s">
        <v>82</v>
      </c>
      <c r="B2818" t="s">
        <v>83</v>
      </c>
      <c r="C2818" t="s">
        <v>51</v>
      </c>
      <c r="D2818" t="s">
        <v>29</v>
      </c>
      <c r="E2818">
        <v>1997</v>
      </c>
      <c r="F2818" t="s">
        <v>18</v>
      </c>
      <c r="G2818" t="s">
        <v>17</v>
      </c>
      <c r="H2818" s="2">
        <v>6411.97</v>
      </c>
    </row>
    <row r="2819" spans="1:8">
      <c r="A2819" t="s">
        <v>82</v>
      </c>
      <c r="B2819" t="s">
        <v>83</v>
      </c>
      <c r="C2819" t="s">
        <v>51</v>
      </c>
      <c r="D2819" t="s">
        <v>29</v>
      </c>
      <c r="E2819">
        <v>1997</v>
      </c>
      <c r="F2819" t="s">
        <v>20</v>
      </c>
      <c r="G2819" t="s">
        <v>17</v>
      </c>
      <c r="H2819" s="2">
        <v>33.68</v>
      </c>
    </row>
    <row r="2820" spans="1:8">
      <c r="A2820" t="s">
        <v>82</v>
      </c>
      <c r="B2820" t="s">
        <v>83</v>
      </c>
      <c r="C2820" t="s">
        <v>51</v>
      </c>
      <c r="D2820" t="s">
        <v>29</v>
      </c>
      <c r="E2820">
        <v>1998</v>
      </c>
      <c r="F2820" t="s">
        <v>12</v>
      </c>
      <c r="G2820" t="s">
        <v>17</v>
      </c>
      <c r="H2820" s="2">
        <v>2877.25</v>
      </c>
    </row>
    <row r="2821" spans="1:8">
      <c r="A2821" t="s">
        <v>82</v>
      </c>
      <c r="B2821" t="s">
        <v>83</v>
      </c>
      <c r="C2821" t="s">
        <v>51</v>
      </c>
      <c r="D2821" t="s">
        <v>29</v>
      </c>
      <c r="E2821">
        <v>1998</v>
      </c>
      <c r="F2821" t="s">
        <v>21</v>
      </c>
      <c r="G2821" t="s">
        <v>19</v>
      </c>
      <c r="H2821" s="2">
        <v>0</v>
      </c>
    </row>
    <row r="2822" spans="1:8">
      <c r="A2822" t="s">
        <v>82</v>
      </c>
      <c r="B2822" t="s">
        <v>83</v>
      </c>
      <c r="C2822" t="s">
        <v>51</v>
      </c>
      <c r="D2822" t="s">
        <v>29</v>
      </c>
      <c r="E2822">
        <v>1998</v>
      </c>
      <c r="F2822" t="s">
        <v>16</v>
      </c>
      <c r="G2822" t="s">
        <v>15</v>
      </c>
      <c r="H2822" s="2">
        <v>16660.02</v>
      </c>
    </row>
    <row r="2823" spans="1:8">
      <c r="A2823" t="s">
        <v>82</v>
      </c>
      <c r="B2823" t="s">
        <v>83</v>
      </c>
      <c r="C2823" t="s">
        <v>51</v>
      </c>
      <c r="D2823" t="s">
        <v>29</v>
      </c>
      <c r="E2823">
        <v>1999</v>
      </c>
      <c r="F2823" t="s">
        <v>22</v>
      </c>
      <c r="G2823" t="s">
        <v>15</v>
      </c>
      <c r="H2823" s="2">
        <v>43014.559999999998</v>
      </c>
    </row>
    <row r="2824" spans="1:8">
      <c r="A2824" t="s">
        <v>82</v>
      </c>
      <c r="B2824" t="s">
        <v>83</v>
      </c>
      <c r="C2824" t="s">
        <v>51</v>
      </c>
      <c r="D2824" t="s">
        <v>29</v>
      </c>
      <c r="E2824">
        <v>1999</v>
      </c>
      <c r="F2824" t="s">
        <v>18</v>
      </c>
      <c r="G2824" t="s">
        <v>13</v>
      </c>
      <c r="H2824" s="2">
        <v>99511.1</v>
      </c>
    </row>
    <row r="2825" spans="1:8">
      <c r="A2825" t="s">
        <v>82</v>
      </c>
      <c r="B2825" t="s">
        <v>83</v>
      </c>
      <c r="C2825" t="s">
        <v>51</v>
      </c>
      <c r="D2825" t="s">
        <v>29</v>
      </c>
      <c r="E2825">
        <v>1999</v>
      </c>
      <c r="F2825" t="s">
        <v>21</v>
      </c>
      <c r="G2825" t="s">
        <v>17</v>
      </c>
      <c r="H2825" s="2">
        <v>999.67</v>
      </c>
    </row>
    <row r="2826" spans="1:8">
      <c r="A2826" t="s">
        <v>82</v>
      </c>
      <c r="B2826" t="s">
        <v>83</v>
      </c>
      <c r="C2826" t="s">
        <v>51</v>
      </c>
      <c r="D2826" t="s">
        <v>29</v>
      </c>
      <c r="E2826">
        <v>1999</v>
      </c>
      <c r="F2826" t="s">
        <v>16</v>
      </c>
      <c r="G2826" t="s">
        <v>15</v>
      </c>
      <c r="H2826" s="2">
        <v>16237.05</v>
      </c>
    </row>
    <row r="2827" spans="1:8">
      <c r="A2827" t="s">
        <v>82</v>
      </c>
      <c r="B2827" t="s">
        <v>83</v>
      </c>
      <c r="C2827" t="s">
        <v>51</v>
      </c>
      <c r="D2827" t="s">
        <v>29</v>
      </c>
      <c r="E2827">
        <v>2000</v>
      </c>
      <c r="F2827" t="s">
        <v>12</v>
      </c>
      <c r="G2827" t="s">
        <v>17</v>
      </c>
      <c r="H2827" s="2">
        <v>3044.71</v>
      </c>
    </row>
    <row r="2828" spans="1:8">
      <c r="A2828" t="s">
        <v>82</v>
      </c>
      <c r="B2828" t="s">
        <v>83</v>
      </c>
      <c r="C2828" t="s">
        <v>51</v>
      </c>
      <c r="D2828" t="s">
        <v>29</v>
      </c>
      <c r="E2828">
        <v>2001</v>
      </c>
      <c r="F2828" t="s">
        <v>21</v>
      </c>
      <c r="G2828" t="s">
        <v>17</v>
      </c>
      <c r="H2828" s="2">
        <v>888.29</v>
      </c>
    </row>
    <row r="2829" spans="1:8">
      <c r="A2829" t="s">
        <v>82</v>
      </c>
      <c r="B2829" t="s">
        <v>83</v>
      </c>
      <c r="C2829" t="s">
        <v>51</v>
      </c>
      <c r="D2829" t="s">
        <v>29</v>
      </c>
      <c r="E2829">
        <v>2002</v>
      </c>
      <c r="F2829" t="s">
        <v>14</v>
      </c>
      <c r="G2829" t="s">
        <v>15</v>
      </c>
      <c r="H2829" s="2">
        <v>4300.12</v>
      </c>
    </row>
    <row r="2830" spans="1:8">
      <c r="A2830" t="s">
        <v>82</v>
      </c>
      <c r="B2830" t="s">
        <v>83</v>
      </c>
      <c r="C2830" t="s">
        <v>51</v>
      </c>
      <c r="D2830" t="s">
        <v>29</v>
      </c>
      <c r="E2830">
        <v>2002</v>
      </c>
      <c r="F2830" t="s">
        <v>21</v>
      </c>
      <c r="G2830" t="s">
        <v>13</v>
      </c>
      <c r="H2830" s="2">
        <v>98420.59</v>
      </c>
    </row>
    <row r="2831" spans="1:8">
      <c r="A2831" t="s">
        <v>82</v>
      </c>
      <c r="B2831" t="s">
        <v>83</v>
      </c>
      <c r="C2831" t="s">
        <v>51</v>
      </c>
      <c r="D2831" t="s">
        <v>29</v>
      </c>
      <c r="E2831">
        <v>2002</v>
      </c>
      <c r="F2831" t="s">
        <v>16</v>
      </c>
      <c r="G2831" t="s">
        <v>17</v>
      </c>
      <c r="H2831" s="2">
        <v>1000.19</v>
      </c>
    </row>
    <row r="2832" spans="1:8">
      <c r="A2832" t="s">
        <v>82</v>
      </c>
      <c r="B2832" t="s">
        <v>83</v>
      </c>
      <c r="C2832" t="s">
        <v>51</v>
      </c>
      <c r="D2832" t="s">
        <v>29</v>
      </c>
      <c r="E2832">
        <v>2003</v>
      </c>
      <c r="F2832" t="s">
        <v>22</v>
      </c>
      <c r="G2832" t="s">
        <v>13</v>
      </c>
      <c r="H2832" s="2">
        <v>6023.45</v>
      </c>
    </row>
    <row r="2833" spans="1:8">
      <c r="A2833" t="s">
        <v>82</v>
      </c>
      <c r="B2833" t="s">
        <v>83</v>
      </c>
      <c r="C2833" t="s">
        <v>51</v>
      </c>
      <c r="D2833" t="s">
        <v>29</v>
      </c>
      <c r="E2833">
        <v>2003</v>
      </c>
      <c r="F2833" t="s">
        <v>18</v>
      </c>
      <c r="G2833" t="s">
        <v>13</v>
      </c>
      <c r="H2833" s="2">
        <v>91843.88</v>
      </c>
    </row>
    <row r="2834" spans="1:8">
      <c r="A2834" t="s">
        <v>82</v>
      </c>
      <c r="B2834" t="s">
        <v>83</v>
      </c>
      <c r="C2834" t="s">
        <v>51</v>
      </c>
      <c r="D2834" t="s">
        <v>29</v>
      </c>
      <c r="E2834">
        <v>2003</v>
      </c>
      <c r="F2834" t="s">
        <v>18</v>
      </c>
      <c r="G2834" t="s">
        <v>19</v>
      </c>
      <c r="H2834" s="2">
        <v>5357.63</v>
      </c>
    </row>
    <row r="2835" spans="1:8">
      <c r="A2835" t="s">
        <v>82</v>
      </c>
      <c r="B2835" t="s">
        <v>83</v>
      </c>
      <c r="C2835" t="s">
        <v>51</v>
      </c>
      <c r="D2835" t="s">
        <v>29</v>
      </c>
      <c r="E2835">
        <v>2003</v>
      </c>
      <c r="F2835" t="s">
        <v>21</v>
      </c>
      <c r="G2835" t="s">
        <v>17</v>
      </c>
      <c r="H2835" s="2">
        <v>945.22</v>
      </c>
    </row>
    <row r="2836" spans="1:8">
      <c r="A2836" t="s">
        <v>82</v>
      </c>
      <c r="B2836" t="s">
        <v>83</v>
      </c>
      <c r="C2836" t="s">
        <v>51</v>
      </c>
      <c r="D2836" t="s">
        <v>29</v>
      </c>
      <c r="E2836">
        <v>2004</v>
      </c>
      <c r="F2836" t="s">
        <v>22</v>
      </c>
      <c r="G2836" t="s">
        <v>17</v>
      </c>
      <c r="H2836" s="2">
        <v>11217.08</v>
      </c>
    </row>
    <row r="2837" spans="1:8">
      <c r="A2837" t="s">
        <v>82</v>
      </c>
      <c r="B2837" t="s">
        <v>83</v>
      </c>
      <c r="C2837" t="s">
        <v>51</v>
      </c>
      <c r="D2837" t="s">
        <v>29</v>
      </c>
      <c r="E2837">
        <v>2004</v>
      </c>
      <c r="F2837" t="s">
        <v>18</v>
      </c>
      <c r="G2837" t="s">
        <v>19</v>
      </c>
      <c r="H2837" s="2">
        <v>5208.6400000000003</v>
      </c>
    </row>
    <row r="2838" spans="1:8">
      <c r="A2838" t="s">
        <v>82</v>
      </c>
      <c r="B2838" t="s">
        <v>83</v>
      </c>
      <c r="C2838" t="s">
        <v>51</v>
      </c>
      <c r="D2838" t="s">
        <v>29</v>
      </c>
      <c r="E2838">
        <v>2005</v>
      </c>
      <c r="F2838" t="s">
        <v>12</v>
      </c>
      <c r="G2838" t="s">
        <v>17</v>
      </c>
      <c r="H2838" s="2">
        <v>2915.98</v>
      </c>
    </row>
    <row r="2839" spans="1:8">
      <c r="A2839" t="s">
        <v>82</v>
      </c>
      <c r="B2839" t="s">
        <v>83</v>
      </c>
      <c r="C2839" t="s">
        <v>51</v>
      </c>
      <c r="D2839" t="s">
        <v>29</v>
      </c>
      <c r="E2839">
        <v>2005</v>
      </c>
      <c r="F2839" t="s">
        <v>20</v>
      </c>
      <c r="G2839" t="s">
        <v>15</v>
      </c>
      <c r="H2839" s="2">
        <v>31.72</v>
      </c>
    </row>
    <row r="2840" spans="1:8">
      <c r="A2840" t="s">
        <v>82</v>
      </c>
      <c r="B2840" t="s">
        <v>83</v>
      </c>
      <c r="C2840" t="s">
        <v>51</v>
      </c>
      <c r="D2840" t="s">
        <v>29</v>
      </c>
      <c r="E2840">
        <v>2005</v>
      </c>
      <c r="F2840" t="s">
        <v>20</v>
      </c>
      <c r="G2840" t="s">
        <v>19</v>
      </c>
      <c r="H2840" s="2">
        <v>0</v>
      </c>
    </row>
    <row r="2841" spans="1:8">
      <c r="A2841" t="s">
        <v>82</v>
      </c>
      <c r="B2841" t="s">
        <v>83</v>
      </c>
      <c r="C2841" t="s">
        <v>51</v>
      </c>
      <c r="D2841" t="s">
        <v>29</v>
      </c>
      <c r="E2841">
        <v>2006</v>
      </c>
      <c r="F2841" t="s">
        <v>22</v>
      </c>
      <c r="G2841" t="s">
        <v>17</v>
      </c>
      <c r="H2841" s="2">
        <v>12839.57</v>
      </c>
    </row>
    <row r="2842" spans="1:8">
      <c r="A2842" t="s">
        <v>82</v>
      </c>
      <c r="B2842" t="s">
        <v>83</v>
      </c>
      <c r="C2842" t="s">
        <v>51</v>
      </c>
      <c r="D2842" t="s">
        <v>29</v>
      </c>
      <c r="E2842">
        <v>2006</v>
      </c>
      <c r="F2842" t="s">
        <v>18</v>
      </c>
      <c r="G2842" t="s">
        <v>17</v>
      </c>
      <c r="H2842" s="2">
        <v>6287.76</v>
      </c>
    </row>
    <row r="2843" spans="1:8">
      <c r="A2843" t="s">
        <v>82</v>
      </c>
      <c r="B2843" t="s">
        <v>83</v>
      </c>
      <c r="C2843" t="s">
        <v>51</v>
      </c>
      <c r="D2843" t="s">
        <v>29</v>
      </c>
      <c r="E2843">
        <v>2006</v>
      </c>
      <c r="F2843" t="s">
        <v>20</v>
      </c>
      <c r="G2843" t="s">
        <v>15</v>
      </c>
      <c r="H2843" s="2">
        <v>31.66</v>
      </c>
    </row>
    <row r="2844" spans="1:8">
      <c r="A2844" t="s">
        <v>82</v>
      </c>
      <c r="B2844" t="s">
        <v>83</v>
      </c>
      <c r="C2844" t="s">
        <v>51</v>
      </c>
      <c r="D2844" t="s">
        <v>29</v>
      </c>
      <c r="E2844">
        <v>2006</v>
      </c>
      <c r="F2844" t="s">
        <v>14</v>
      </c>
      <c r="G2844" t="s">
        <v>13</v>
      </c>
      <c r="H2844" s="2">
        <v>125015.93</v>
      </c>
    </row>
    <row r="2845" spans="1:8">
      <c r="A2845" t="s">
        <v>82</v>
      </c>
      <c r="B2845" t="s">
        <v>83</v>
      </c>
      <c r="C2845" t="s">
        <v>51</v>
      </c>
      <c r="D2845" t="s">
        <v>29</v>
      </c>
      <c r="E2845">
        <v>2006</v>
      </c>
      <c r="F2845" t="s">
        <v>16</v>
      </c>
      <c r="G2845" t="s">
        <v>19</v>
      </c>
      <c r="H2845" s="2">
        <v>0</v>
      </c>
    </row>
    <row r="2846" spans="1:8">
      <c r="A2846" t="s">
        <v>82</v>
      </c>
      <c r="B2846" t="s">
        <v>83</v>
      </c>
      <c r="C2846" t="s">
        <v>51</v>
      </c>
      <c r="D2846" t="s">
        <v>29</v>
      </c>
      <c r="E2846">
        <v>2007</v>
      </c>
      <c r="F2846" t="s">
        <v>14</v>
      </c>
      <c r="G2846" t="s">
        <v>17</v>
      </c>
      <c r="H2846" s="2">
        <v>2586.42</v>
      </c>
    </row>
    <row r="2847" spans="1:8">
      <c r="A2847" t="s">
        <v>82</v>
      </c>
      <c r="B2847" t="s">
        <v>83</v>
      </c>
      <c r="C2847" t="s">
        <v>51</v>
      </c>
      <c r="D2847" t="s">
        <v>29</v>
      </c>
      <c r="E2847">
        <v>2007</v>
      </c>
      <c r="F2847" t="s">
        <v>21</v>
      </c>
      <c r="G2847" t="s">
        <v>15</v>
      </c>
      <c r="H2847" s="2">
        <v>1953.28</v>
      </c>
    </row>
    <row r="2848" spans="1:8">
      <c r="A2848" t="s">
        <v>82</v>
      </c>
      <c r="B2848" t="s">
        <v>83</v>
      </c>
      <c r="C2848" t="s">
        <v>51</v>
      </c>
      <c r="D2848" t="s">
        <v>29</v>
      </c>
      <c r="E2848">
        <v>2007</v>
      </c>
      <c r="F2848" t="s">
        <v>21</v>
      </c>
      <c r="G2848" t="s">
        <v>13</v>
      </c>
      <c r="H2848" s="2">
        <v>92897.08</v>
      </c>
    </row>
    <row r="2849" spans="1:8">
      <c r="A2849" t="s">
        <v>82</v>
      </c>
      <c r="B2849" t="s">
        <v>83</v>
      </c>
      <c r="C2849" t="s">
        <v>51</v>
      </c>
      <c r="D2849" t="s">
        <v>29</v>
      </c>
      <c r="E2849">
        <v>2008</v>
      </c>
      <c r="F2849" t="s">
        <v>22</v>
      </c>
      <c r="G2849" t="s">
        <v>19</v>
      </c>
      <c r="H2849" s="2">
        <v>0</v>
      </c>
    </row>
    <row r="2850" spans="1:8">
      <c r="A2850" t="s">
        <v>82</v>
      </c>
      <c r="B2850" t="s">
        <v>83</v>
      </c>
      <c r="C2850" t="s">
        <v>51</v>
      </c>
      <c r="D2850" t="s">
        <v>29</v>
      </c>
      <c r="E2850">
        <v>2008</v>
      </c>
      <c r="F2850" t="s">
        <v>14</v>
      </c>
      <c r="G2850" t="s">
        <v>15</v>
      </c>
      <c r="H2850" s="2">
        <v>3981.49</v>
      </c>
    </row>
    <row r="2851" spans="1:8">
      <c r="A2851" t="s">
        <v>82</v>
      </c>
      <c r="B2851" t="s">
        <v>83</v>
      </c>
      <c r="C2851" t="s">
        <v>51</v>
      </c>
      <c r="D2851" t="s">
        <v>29</v>
      </c>
      <c r="E2851">
        <v>2008</v>
      </c>
      <c r="F2851" t="s">
        <v>14</v>
      </c>
      <c r="G2851" t="s">
        <v>17</v>
      </c>
      <c r="H2851" s="2">
        <v>2719.8</v>
      </c>
    </row>
    <row r="2852" spans="1:8">
      <c r="A2852" t="s">
        <v>82</v>
      </c>
      <c r="B2852" t="s">
        <v>83</v>
      </c>
      <c r="C2852" t="s">
        <v>51</v>
      </c>
      <c r="D2852" t="s">
        <v>29</v>
      </c>
      <c r="E2852">
        <v>2008</v>
      </c>
      <c r="F2852" t="s">
        <v>21</v>
      </c>
      <c r="G2852" t="s">
        <v>19</v>
      </c>
      <c r="H2852" s="2">
        <v>0</v>
      </c>
    </row>
    <row r="2853" spans="1:8">
      <c r="A2853" t="s">
        <v>82</v>
      </c>
      <c r="B2853" t="s">
        <v>83</v>
      </c>
      <c r="C2853" t="s">
        <v>51</v>
      </c>
      <c r="D2853" t="s">
        <v>29</v>
      </c>
      <c r="E2853">
        <v>2008</v>
      </c>
      <c r="F2853" t="s">
        <v>16</v>
      </c>
      <c r="G2853" t="s">
        <v>15</v>
      </c>
      <c r="H2853" s="2">
        <v>17057.86</v>
      </c>
    </row>
    <row r="2854" spans="1:8">
      <c r="A2854" t="s">
        <v>82</v>
      </c>
      <c r="B2854" t="s">
        <v>83</v>
      </c>
      <c r="C2854" t="s">
        <v>51</v>
      </c>
      <c r="D2854" t="s">
        <v>29</v>
      </c>
      <c r="E2854">
        <v>2009</v>
      </c>
      <c r="F2854" t="s">
        <v>22</v>
      </c>
      <c r="G2854" t="s">
        <v>17</v>
      </c>
      <c r="H2854" s="2">
        <v>12425.33</v>
      </c>
    </row>
    <row r="2855" spans="1:8">
      <c r="A2855" t="s">
        <v>82</v>
      </c>
      <c r="B2855" t="s">
        <v>83</v>
      </c>
      <c r="C2855" t="s">
        <v>51</v>
      </c>
      <c r="D2855" t="s">
        <v>29</v>
      </c>
      <c r="E2855">
        <v>2009</v>
      </c>
      <c r="F2855" t="s">
        <v>12</v>
      </c>
      <c r="G2855" t="s">
        <v>13</v>
      </c>
      <c r="H2855" s="2">
        <v>90617.19</v>
      </c>
    </row>
    <row r="2856" spans="1:8">
      <c r="A2856" t="s">
        <v>82</v>
      </c>
      <c r="B2856" t="s">
        <v>83</v>
      </c>
      <c r="C2856" t="s">
        <v>51</v>
      </c>
      <c r="D2856" t="s">
        <v>29</v>
      </c>
      <c r="E2856">
        <v>2009</v>
      </c>
      <c r="F2856" t="s">
        <v>20</v>
      </c>
      <c r="G2856" t="s">
        <v>19</v>
      </c>
      <c r="H2856" s="2">
        <v>0</v>
      </c>
    </row>
    <row r="2857" spans="1:8">
      <c r="A2857" t="s">
        <v>82</v>
      </c>
      <c r="B2857" t="s">
        <v>83</v>
      </c>
      <c r="C2857" t="s">
        <v>51</v>
      </c>
      <c r="D2857" t="s">
        <v>29</v>
      </c>
      <c r="E2857">
        <v>2009</v>
      </c>
      <c r="F2857" t="s">
        <v>21</v>
      </c>
      <c r="G2857" t="s">
        <v>17</v>
      </c>
      <c r="H2857" s="2">
        <v>988.05</v>
      </c>
    </row>
    <row r="2858" spans="1:8">
      <c r="A2858" t="s">
        <v>82</v>
      </c>
      <c r="B2858" t="s">
        <v>83</v>
      </c>
      <c r="C2858" t="s">
        <v>51</v>
      </c>
      <c r="D2858" t="s">
        <v>29</v>
      </c>
      <c r="E2858">
        <v>2009</v>
      </c>
      <c r="F2858" t="s">
        <v>16</v>
      </c>
      <c r="G2858" t="s">
        <v>15</v>
      </c>
      <c r="H2858" s="2">
        <v>16342.57</v>
      </c>
    </row>
    <row r="2859" spans="1:8">
      <c r="A2859" t="s">
        <v>82</v>
      </c>
      <c r="B2859" t="s">
        <v>83</v>
      </c>
      <c r="C2859" t="s">
        <v>51</v>
      </c>
      <c r="D2859" t="s">
        <v>29</v>
      </c>
      <c r="E2859">
        <v>2010</v>
      </c>
      <c r="F2859" t="s">
        <v>20</v>
      </c>
      <c r="G2859" t="s">
        <v>13</v>
      </c>
      <c r="H2859" s="2">
        <v>2984.68</v>
      </c>
    </row>
    <row r="2860" spans="1:8">
      <c r="A2860" t="s">
        <v>82</v>
      </c>
      <c r="B2860" t="s">
        <v>83</v>
      </c>
      <c r="C2860" t="s">
        <v>51</v>
      </c>
      <c r="D2860" t="s">
        <v>29</v>
      </c>
      <c r="E2860">
        <v>2010</v>
      </c>
      <c r="F2860" t="s">
        <v>20</v>
      </c>
      <c r="G2860" t="s">
        <v>19</v>
      </c>
      <c r="H2860" s="2">
        <v>0</v>
      </c>
    </row>
    <row r="2861" spans="1:8">
      <c r="A2861" t="s">
        <v>82</v>
      </c>
      <c r="B2861" t="s">
        <v>83</v>
      </c>
      <c r="C2861" t="s">
        <v>51</v>
      </c>
      <c r="D2861" t="s">
        <v>29</v>
      </c>
      <c r="E2861">
        <v>2010</v>
      </c>
      <c r="F2861" t="s">
        <v>21</v>
      </c>
      <c r="G2861" t="s">
        <v>19</v>
      </c>
      <c r="H2861" s="2">
        <v>0</v>
      </c>
    </row>
    <row r="2862" spans="1:8">
      <c r="A2862" t="s">
        <v>82</v>
      </c>
      <c r="B2862" t="s">
        <v>83</v>
      </c>
      <c r="C2862" t="s">
        <v>51</v>
      </c>
      <c r="D2862" t="s">
        <v>29</v>
      </c>
      <c r="E2862">
        <v>2010</v>
      </c>
      <c r="F2862" t="s">
        <v>16</v>
      </c>
      <c r="G2862" t="s">
        <v>19</v>
      </c>
      <c r="H2862" s="2">
        <v>0</v>
      </c>
    </row>
    <row r="2863" spans="1:8">
      <c r="A2863" t="s">
        <v>82</v>
      </c>
      <c r="B2863" t="s">
        <v>83</v>
      </c>
      <c r="C2863" t="s">
        <v>51</v>
      </c>
      <c r="D2863" t="s">
        <v>29</v>
      </c>
      <c r="E2863">
        <v>2011</v>
      </c>
      <c r="F2863" t="s">
        <v>18</v>
      </c>
      <c r="G2863" t="s">
        <v>19</v>
      </c>
      <c r="H2863" s="2">
        <v>6271.55</v>
      </c>
    </row>
    <row r="2864" spans="1:8">
      <c r="A2864" t="s">
        <v>82</v>
      </c>
      <c r="B2864" t="s">
        <v>83</v>
      </c>
      <c r="C2864" t="s">
        <v>51</v>
      </c>
      <c r="D2864" t="s">
        <v>29</v>
      </c>
      <c r="E2864">
        <v>2011</v>
      </c>
      <c r="F2864" t="s">
        <v>14</v>
      </c>
      <c r="G2864" t="s">
        <v>19</v>
      </c>
      <c r="H2864" s="2">
        <v>0</v>
      </c>
    </row>
    <row r="2865" spans="1:8">
      <c r="A2865" t="s">
        <v>82</v>
      </c>
      <c r="B2865" t="s">
        <v>83</v>
      </c>
      <c r="C2865" t="s">
        <v>51</v>
      </c>
      <c r="D2865" t="s">
        <v>29</v>
      </c>
      <c r="E2865">
        <v>2011</v>
      </c>
      <c r="F2865" t="s">
        <v>21</v>
      </c>
      <c r="G2865" t="s">
        <v>15</v>
      </c>
      <c r="H2865" s="2">
        <v>1865.27</v>
      </c>
    </row>
    <row r="2866" spans="1:8">
      <c r="A2866" t="s">
        <v>82</v>
      </c>
      <c r="B2866" t="s">
        <v>83</v>
      </c>
      <c r="C2866" t="s">
        <v>51</v>
      </c>
      <c r="D2866" t="s">
        <v>29</v>
      </c>
      <c r="E2866">
        <v>2012</v>
      </c>
      <c r="F2866" t="s">
        <v>22</v>
      </c>
      <c r="G2866" t="s">
        <v>13</v>
      </c>
      <c r="H2866" s="2">
        <v>6681.72</v>
      </c>
    </row>
    <row r="2867" spans="1:8">
      <c r="A2867" t="s">
        <v>82</v>
      </c>
      <c r="B2867" t="s">
        <v>83</v>
      </c>
      <c r="C2867" t="s">
        <v>51</v>
      </c>
      <c r="D2867" t="s">
        <v>29</v>
      </c>
      <c r="E2867">
        <v>2012</v>
      </c>
      <c r="F2867" t="s">
        <v>14</v>
      </c>
      <c r="G2867" t="s">
        <v>13</v>
      </c>
      <c r="H2867" s="2">
        <v>120936.6</v>
      </c>
    </row>
    <row r="2868" spans="1:8">
      <c r="A2868" t="s">
        <v>82</v>
      </c>
      <c r="B2868" t="s">
        <v>83</v>
      </c>
      <c r="C2868" t="s">
        <v>51</v>
      </c>
      <c r="D2868" t="s">
        <v>29</v>
      </c>
      <c r="E2868">
        <v>2012</v>
      </c>
      <c r="F2868" t="s">
        <v>21</v>
      </c>
      <c r="G2868" t="s">
        <v>13</v>
      </c>
      <c r="H2868" s="2">
        <v>92541.98</v>
      </c>
    </row>
    <row r="2869" spans="1:8">
      <c r="A2869" t="s">
        <v>82</v>
      </c>
      <c r="B2869" t="s">
        <v>83</v>
      </c>
      <c r="C2869" t="s">
        <v>51</v>
      </c>
      <c r="D2869" t="s">
        <v>29</v>
      </c>
      <c r="E2869">
        <v>2013</v>
      </c>
      <c r="F2869" t="s">
        <v>18</v>
      </c>
      <c r="G2869" t="s">
        <v>19</v>
      </c>
      <c r="H2869" s="2">
        <v>5574.54</v>
      </c>
    </row>
    <row r="2870" spans="1:8">
      <c r="A2870" t="s">
        <v>82</v>
      </c>
      <c r="B2870" t="s">
        <v>83</v>
      </c>
      <c r="C2870" t="s">
        <v>51</v>
      </c>
      <c r="D2870" t="s">
        <v>29</v>
      </c>
      <c r="E2870">
        <v>2013</v>
      </c>
      <c r="F2870" t="s">
        <v>14</v>
      </c>
      <c r="G2870" t="s">
        <v>15</v>
      </c>
      <c r="H2870" s="2">
        <v>3601.52</v>
      </c>
    </row>
    <row r="2871" spans="1:8">
      <c r="A2871" t="s">
        <v>82</v>
      </c>
      <c r="B2871" t="s">
        <v>83</v>
      </c>
      <c r="C2871" t="s">
        <v>51</v>
      </c>
      <c r="D2871" t="s">
        <v>29</v>
      </c>
      <c r="E2871">
        <v>2013</v>
      </c>
      <c r="F2871" t="s">
        <v>21</v>
      </c>
      <c r="G2871" t="s">
        <v>13</v>
      </c>
      <c r="H2871" s="2">
        <v>92007.44</v>
      </c>
    </row>
    <row r="2872" spans="1:8">
      <c r="A2872" t="s">
        <v>82</v>
      </c>
      <c r="B2872" t="s">
        <v>83</v>
      </c>
      <c r="C2872" t="s">
        <v>51</v>
      </c>
      <c r="D2872" t="s">
        <v>29</v>
      </c>
      <c r="E2872">
        <v>2014</v>
      </c>
      <c r="F2872" t="s">
        <v>12</v>
      </c>
      <c r="G2872" t="s">
        <v>13</v>
      </c>
      <c r="H2872" s="2">
        <v>71469.649999999994</v>
      </c>
    </row>
    <row r="2873" spans="1:8">
      <c r="A2873" t="s">
        <v>82</v>
      </c>
      <c r="B2873" t="s">
        <v>83</v>
      </c>
      <c r="C2873" t="s">
        <v>51</v>
      </c>
      <c r="D2873" t="s">
        <v>29</v>
      </c>
      <c r="E2873">
        <v>2014</v>
      </c>
      <c r="F2873" t="s">
        <v>12</v>
      </c>
      <c r="G2873" t="s">
        <v>19</v>
      </c>
      <c r="H2873" s="2">
        <v>0</v>
      </c>
    </row>
    <row r="2874" spans="1:8">
      <c r="A2874" t="s">
        <v>82</v>
      </c>
      <c r="B2874" t="s">
        <v>83</v>
      </c>
      <c r="C2874" t="s">
        <v>51</v>
      </c>
      <c r="D2874" t="s">
        <v>29</v>
      </c>
      <c r="E2874">
        <v>2014</v>
      </c>
      <c r="F2874" t="s">
        <v>12</v>
      </c>
      <c r="G2874" t="s">
        <v>17</v>
      </c>
      <c r="H2874" s="2">
        <v>2570.85</v>
      </c>
    </row>
    <row r="2875" spans="1:8">
      <c r="A2875" t="s">
        <v>82</v>
      </c>
      <c r="B2875" t="s">
        <v>83</v>
      </c>
      <c r="C2875" t="s">
        <v>51</v>
      </c>
      <c r="D2875" t="s">
        <v>29</v>
      </c>
      <c r="E2875">
        <v>2014</v>
      </c>
      <c r="F2875" t="s">
        <v>18</v>
      </c>
      <c r="G2875" t="s">
        <v>13</v>
      </c>
      <c r="H2875" s="2">
        <v>91310.45</v>
      </c>
    </row>
    <row r="2876" spans="1:8">
      <c r="A2876" t="s">
        <v>82</v>
      </c>
      <c r="B2876" t="s">
        <v>83</v>
      </c>
      <c r="C2876" t="s">
        <v>51</v>
      </c>
      <c r="D2876" t="s">
        <v>29</v>
      </c>
      <c r="E2876">
        <v>2014</v>
      </c>
      <c r="F2876" t="s">
        <v>21</v>
      </c>
      <c r="G2876" t="s">
        <v>15</v>
      </c>
      <c r="H2876" s="2">
        <v>1676.87</v>
      </c>
    </row>
    <row r="2877" spans="1:8">
      <c r="A2877" t="s">
        <v>82</v>
      </c>
      <c r="B2877" t="s">
        <v>83</v>
      </c>
      <c r="C2877" t="s">
        <v>51</v>
      </c>
      <c r="D2877" t="s">
        <v>29</v>
      </c>
      <c r="E2877">
        <v>2014</v>
      </c>
      <c r="F2877" t="s">
        <v>16</v>
      </c>
      <c r="G2877" t="s">
        <v>13</v>
      </c>
      <c r="H2877" s="2">
        <v>2428.09</v>
      </c>
    </row>
    <row r="2878" spans="1:8">
      <c r="A2878" t="s">
        <v>82</v>
      </c>
      <c r="B2878" t="s">
        <v>83</v>
      </c>
      <c r="C2878" t="s">
        <v>51</v>
      </c>
      <c r="D2878" t="s">
        <v>29</v>
      </c>
      <c r="E2878">
        <v>2014</v>
      </c>
      <c r="F2878" t="s">
        <v>16</v>
      </c>
      <c r="G2878" t="s">
        <v>19</v>
      </c>
      <c r="H2878" s="2">
        <v>0</v>
      </c>
    </row>
    <row r="2879" spans="1:8">
      <c r="A2879" t="s">
        <v>82</v>
      </c>
      <c r="B2879" t="s">
        <v>83</v>
      </c>
      <c r="C2879" t="s">
        <v>51</v>
      </c>
      <c r="D2879" t="s">
        <v>29</v>
      </c>
      <c r="E2879">
        <v>2015</v>
      </c>
      <c r="F2879" t="s">
        <v>20</v>
      </c>
      <c r="G2879" t="s">
        <v>17</v>
      </c>
      <c r="H2879" s="2">
        <v>29.31</v>
      </c>
    </row>
    <row r="2880" spans="1:8">
      <c r="A2880" t="s">
        <v>82</v>
      </c>
      <c r="B2880" t="s">
        <v>83</v>
      </c>
      <c r="C2880" t="s">
        <v>51</v>
      </c>
      <c r="D2880" t="s">
        <v>29</v>
      </c>
      <c r="E2880">
        <v>2015</v>
      </c>
      <c r="F2880" t="s">
        <v>21</v>
      </c>
      <c r="G2880" t="s">
        <v>19</v>
      </c>
      <c r="H2880" s="2">
        <v>0</v>
      </c>
    </row>
    <row r="2881" spans="1:8">
      <c r="A2881" t="s">
        <v>82</v>
      </c>
      <c r="B2881" t="s">
        <v>83</v>
      </c>
      <c r="C2881" t="s">
        <v>51</v>
      </c>
      <c r="D2881" t="s">
        <v>29</v>
      </c>
      <c r="E2881">
        <v>2015</v>
      </c>
      <c r="F2881" t="s">
        <v>16</v>
      </c>
      <c r="G2881" t="s">
        <v>19</v>
      </c>
      <c r="H2881" s="2">
        <v>0</v>
      </c>
    </row>
    <row r="2882" spans="1:8">
      <c r="A2882" t="s">
        <v>82</v>
      </c>
      <c r="B2882" t="s">
        <v>83</v>
      </c>
      <c r="C2882" t="s">
        <v>51</v>
      </c>
      <c r="D2882" t="s">
        <v>29</v>
      </c>
      <c r="E2882">
        <v>2016</v>
      </c>
      <c r="F2882" t="s">
        <v>14</v>
      </c>
      <c r="G2882" t="s">
        <v>17</v>
      </c>
      <c r="H2882" s="2">
        <v>2078.7600000000002</v>
      </c>
    </row>
    <row r="2883" spans="1:8">
      <c r="A2883" t="s">
        <v>82</v>
      </c>
      <c r="B2883" t="s">
        <v>83</v>
      </c>
      <c r="C2883" t="s">
        <v>51</v>
      </c>
      <c r="D2883" t="s">
        <v>29</v>
      </c>
      <c r="E2883">
        <v>2016</v>
      </c>
      <c r="F2883" t="s">
        <v>21</v>
      </c>
      <c r="G2883" t="s">
        <v>19</v>
      </c>
      <c r="H2883" s="2">
        <v>0</v>
      </c>
    </row>
    <row r="2884" spans="1:8">
      <c r="A2884" t="s">
        <v>82</v>
      </c>
      <c r="B2884" t="s">
        <v>83</v>
      </c>
      <c r="C2884" t="s">
        <v>51</v>
      </c>
      <c r="D2884" t="s">
        <v>29</v>
      </c>
      <c r="E2884">
        <v>2017</v>
      </c>
      <c r="F2884" t="s">
        <v>22</v>
      </c>
      <c r="G2884" t="s">
        <v>19</v>
      </c>
      <c r="H2884" s="2">
        <v>0</v>
      </c>
    </row>
    <row r="2885" spans="1:8">
      <c r="A2885" t="s">
        <v>82</v>
      </c>
      <c r="B2885" t="s">
        <v>83</v>
      </c>
      <c r="C2885" t="s">
        <v>51</v>
      </c>
      <c r="D2885" t="s">
        <v>29</v>
      </c>
      <c r="E2885">
        <v>2017</v>
      </c>
      <c r="F2885" t="s">
        <v>12</v>
      </c>
      <c r="G2885" t="s">
        <v>15</v>
      </c>
      <c r="H2885" s="2">
        <v>5892.14</v>
      </c>
    </row>
    <row r="2886" spans="1:8">
      <c r="A2886" t="s">
        <v>82</v>
      </c>
      <c r="B2886" t="s">
        <v>83</v>
      </c>
      <c r="C2886" t="s">
        <v>51</v>
      </c>
      <c r="D2886" t="s">
        <v>29</v>
      </c>
      <c r="E2886">
        <v>2017</v>
      </c>
      <c r="F2886" t="s">
        <v>18</v>
      </c>
      <c r="G2886" t="s">
        <v>19</v>
      </c>
      <c r="H2886" s="2">
        <v>4484.1899999999996</v>
      </c>
    </row>
    <row r="2887" spans="1:8">
      <c r="A2887" t="s">
        <v>82</v>
      </c>
      <c r="B2887" t="s">
        <v>83</v>
      </c>
      <c r="C2887" t="s">
        <v>51</v>
      </c>
      <c r="D2887" t="s">
        <v>29</v>
      </c>
      <c r="E2887">
        <v>2017</v>
      </c>
      <c r="F2887" t="s">
        <v>14</v>
      </c>
      <c r="G2887" t="s">
        <v>15</v>
      </c>
      <c r="H2887" s="2">
        <v>3253.63</v>
      </c>
    </row>
    <row r="2888" spans="1:8">
      <c r="A2888" t="s">
        <v>82</v>
      </c>
      <c r="B2888" t="s">
        <v>83</v>
      </c>
      <c r="C2888" t="s">
        <v>51</v>
      </c>
      <c r="D2888" t="s">
        <v>29</v>
      </c>
      <c r="E2888">
        <v>2018</v>
      </c>
      <c r="F2888" t="s">
        <v>22</v>
      </c>
      <c r="G2888" t="s">
        <v>15</v>
      </c>
      <c r="H2888" s="2">
        <v>38178.269999999997</v>
      </c>
    </row>
    <row r="2889" spans="1:8">
      <c r="A2889" t="s">
        <v>82</v>
      </c>
      <c r="B2889" t="s">
        <v>83</v>
      </c>
      <c r="C2889" t="s">
        <v>51</v>
      </c>
      <c r="D2889" t="s">
        <v>29</v>
      </c>
      <c r="E2889">
        <v>2018</v>
      </c>
      <c r="F2889" t="s">
        <v>12</v>
      </c>
      <c r="G2889" t="s">
        <v>15</v>
      </c>
      <c r="H2889" s="2">
        <v>5714.8</v>
      </c>
    </row>
    <row r="2890" spans="1:8">
      <c r="A2890" t="s">
        <v>82</v>
      </c>
      <c r="B2890" t="s">
        <v>83</v>
      </c>
      <c r="C2890" t="s">
        <v>51</v>
      </c>
      <c r="D2890" t="s">
        <v>29</v>
      </c>
      <c r="E2890">
        <v>2018</v>
      </c>
      <c r="F2890" t="s">
        <v>12</v>
      </c>
      <c r="G2890" t="s">
        <v>17</v>
      </c>
      <c r="H2890" s="2">
        <v>2507.08</v>
      </c>
    </row>
    <row r="2891" spans="1:8">
      <c r="A2891" t="s">
        <v>82</v>
      </c>
      <c r="B2891" t="s">
        <v>83</v>
      </c>
      <c r="C2891" t="s">
        <v>51</v>
      </c>
      <c r="D2891" t="s">
        <v>29</v>
      </c>
      <c r="E2891">
        <v>2018</v>
      </c>
      <c r="F2891" t="s">
        <v>18</v>
      </c>
      <c r="G2891" t="s">
        <v>15</v>
      </c>
      <c r="H2891" s="2">
        <v>5040.22</v>
      </c>
    </row>
    <row r="2892" spans="1:8">
      <c r="A2892" t="s">
        <v>82</v>
      </c>
      <c r="B2892" t="s">
        <v>83</v>
      </c>
      <c r="C2892" t="s">
        <v>51</v>
      </c>
      <c r="D2892" t="s">
        <v>29</v>
      </c>
      <c r="E2892">
        <v>2018</v>
      </c>
      <c r="F2892" t="s">
        <v>14</v>
      </c>
      <c r="G2892" t="s">
        <v>13</v>
      </c>
      <c r="H2892" s="2">
        <v>101628.96</v>
      </c>
    </row>
    <row r="2893" spans="1:8">
      <c r="A2893" t="s">
        <v>82</v>
      </c>
      <c r="B2893" t="s">
        <v>83</v>
      </c>
      <c r="C2893" t="s">
        <v>51</v>
      </c>
      <c r="D2893" t="s">
        <v>29</v>
      </c>
      <c r="E2893">
        <v>2018</v>
      </c>
      <c r="F2893" t="s">
        <v>21</v>
      </c>
      <c r="G2893" t="s">
        <v>15</v>
      </c>
      <c r="H2893" s="2">
        <v>1546.78</v>
      </c>
    </row>
    <row r="2894" spans="1:8">
      <c r="A2894" t="s">
        <v>82</v>
      </c>
      <c r="B2894" t="s">
        <v>83</v>
      </c>
      <c r="C2894" t="s">
        <v>51</v>
      </c>
      <c r="D2894" t="s">
        <v>29</v>
      </c>
      <c r="E2894">
        <v>2018</v>
      </c>
      <c r="F2894" t="s">
        <v>21</v>
      </c>
      <c r="G2894" t="s">
        <v>13</v>
      </c>
      <c r="H2894" s="2">
        <v>75715.649999999994</v>
      </c>
    </row>
    <row r="2895" spans="1:8">
      <c r="A2895" t="s">
        <v>82</v>
      </c>
      <c r="B2895" t="s">
        <v>83</v>
      </c>
      <c r="C2895" t="s">
        <v>51</v>
      </c>
      <c r="D2895" t="s">
        <v>29</v>
      </c>
      <c r="E2895">
        <v>2018</v>
      </c>
      <c r="F2895" t="s">
        <v>16</v>
      </c>
      <c r="G2895" t="s">
        <v>15</v>
      </c>
      <c r="H2895" s="2">
        <v>13601.03</v>
      </c>
    </row>
    <row r="2896" spans="1:8">
      <c r="A2896" t="s">
        <v>82</v>
      </c>
      <c r="B2896" t="s">
        <v>83</v>
      </c>
      <c r="C2896" t="s">
        <v>51</v>
      </c>
      <c r="D2896" t="s">
        <v>29</v>
      </c>
      <c r="E2896">
        <v>2019</v>
      </c>
      <c r="F2896" t="s">
        <v>16</v>
      </c>
      <c r="G2896" t="s">
        <v>15</v>
      </c>
      <c r="H2896" s="2">
        <v>13026.45</v>
      </c>
    </row>
    <row r="2897" spans="1:8">
      <c r="A2897" t="s">
        <v>82</v>
      </c>
      <c r="B2897" t="s">
        <v>83</v>
      </c>
      <c r="C2897" t="s">
        <v>51</v>
      </c>
      <c r="D2897" t="s">
        <v>29</v>
      </c>
      <c r="E2897">
        <v>2019</v>
      </c>
      <c r="F2897" t="s">
        <v>16</v>
      </c>
      <c r="G2897" t="s">
        <v>13</v>
      </c>
      <c r="H2897" s="2">
        <v>2493.36</v>
      </c>
    </row>
    <row r="2898" spans="1:8">
      <c r="A2898" t="s">
        <v>82</v>
      </c>
      <c r="B2898" t="s">
        <v>83</v>
      </c>
      <c r="C2898" t="s">
        <v>51</v>
      </c>
      <c r="D2898" t="s">
        <v>29</v>
      </c>
      <c r="E2898">
        <v>2020</v>
      </c>
      <c r="F2898" t="s">
        <v>22</v>
      </c>
      <c r="G2898" t="s">
        <v>13</v>
      </c>
      <c r="H2898" s="2">
        <v>4908.57</v>
      </c>
    </row>
    <row r="2899" spans="1:8">
      <c r="A2899" t="s">
        <v>82</v>
      </c>
      <c r="B2899" t="s">
        <v>83</v>
      </c>
      <c r="C2899" t="s">
        <v>51</v>
      </c>
      <c r="D2899" t="s">
        <v>29</v>
      </c>
      <c r="E2899">
        <v>2020</v>
      </c>
      <c r="F2899" t="s">
        <v>21</v>
      </c>
      <c r="G2899" t="s">
        <v>17</v>
      </c>
      <c r="H2899" s="2">
        <v>702.37</v>
      </c>
    </row>
    <row r="2900" spans="1:8">
      <c r="A2900" t="s">
        <v>82</v>
      </c>
      <c r="B2900" t="s">
        <v>83</v>
      </c>
      <c r="C2900" t="s">
        <v>51</v>
      </c>
      <c r="D2900" t="s">
        <v>29</v>
      </c>
      <c r="E2900">
        <v>2022</v>
      </c>
      <c r="F2900" t="s">
        <v>12</v>
      </c>
      <c r="G2900" t="s">
        <v>15</v>
      </c>
      <c r="H2900" s="2">
        <v>4774.47</v>
      </c>
    </row>
    <row r="2901" spans="1:8">
      <c r="A2901" t="s">
        <v>82</v>
      </c>
      <c r="B2901" t="s">
        <v>83</v>
      </c>
      <c r="C2901" t="s">
        <v>51</v>
      </c>
      <c r="D2901" t="s">
        <v>29</v>
      </c>
      <c r="E2901">
        <v>2022</v>
      </c>
      <c r="F2901" t="s">
        <v>12</v>
      </c>
      <c r="G2901" t="s">
        <v>13</v>
      </c>
      <c r="H2901" s="2">
        <v>61861.17</v>
      </c>
    </row>
    <row r="2902" spans="1:8">
      <c r="A2902" t="s">
        <v>82</v>
      </c>
      <c r="B2902" t="s">
        <v>83</v>
      </c>
      <c r="C2902" t="s">
        <v>51</v>
      </c>
      <c r="D2902" t="s">
        <v>29</v>
      </c>
      <c r="E2902">
        <v>2022</v>
      </c>
      <c r="F2902" t="s">
        <v>14</v>
      </c>
      <c r="G2902" t="s">
        <v>17</v>
      </c>
      <c r="H2902" s="2">
        <v>1825.13</v>
      </c>
    </row>
    <row r="2903" spans="1:8">
      <c r="A2903" t="s">
        <v>82</v>
      </c>
      <c r="B2903" t="s">
        <v>83</v>
      </c>
      <c r="C2903" t="s">
        <v>51</v>
      </c>
      <c r="D2903" t="s">
        <v>29</v>
      </c>
      <c r="E2903">
        <v>2023</v>
      </c>
      <c r="F2903" t="s">
        <v>20</v>
      </c>
      <c r="G2903" t="s">
        <v>13</v>
      </c>
      <c r="H2903" s="2">
        <v>2315.9499999999998</v>
      </c>
    </row>
    <row r="2904" spans="1:8">
      <c r="A2904" t="s">
        <v>82</v>
      </c>
      <c r="B2904" t="s">
        <v>83</v>
      </c>
      <c r="C2904" t="s">
        <v>51</v>
      </c>
      <c r="D2904" t="s">
        <v>29</v>
      </c>
      <c r="E2904">
        <v>2023</v>
      </c>
      <c r="F2904" t="s">
        <v>14</v>
      </c>
      <c r="G2904" t="s">
        <v>15</v>
      </c>
      <c r="H2904" s="2">
        <v>3184.2</v>
      </c>
    </row>
    <row r="2905" spans="1:8">
      <c r="A2905" t="s">
        <v>82</v>
      </c>
      <c r="B2905" t="s">
        <v>83</v>
      </c>
      <c r="C2905" t="s">
        <v>51</v>
      </c>
      <c r="D2905" t="s">
        <v>29</v>
      </c>
      <c r="E2905">
        <v>2023</v>
      </c>
      <c r="F2905" t="s">
        <v>21</v>
      </c>
      <c r="G2905" t="s">
        <v>17</v>
      </c>
      <c r="H2905" s="2">
        <v>708.68</v>
      </c>
    </row>
    <row r="2906" spans="1:8">
      <c r="A2906" t="s">
        <v>82</v>
      </c>
      <c r="B2906" t="s">
        <v>83</v>
      </c>
      <c r="C2906" t="s">
        <v>51</v>
      </c>
      <c r="D2906" t="s">
        <v>29</v>
      </c>
      <c r="E2906">
        <v>2024</v>
      </c>
      <c r="F2906" t="s">
        <v>16</v>
      </c>
      <c r="G2906" t="s">
        <v>19</v>
      </c>
      <c r="H2906" s="2">
        <v>0</v>
      </c>
    </row>
    <row r="2907" spans="1:8">
      <c r="A2907" t="s">
        <v>84</v>
      </c>
      <c r="B2907" t="s">
        <v>85</v>
      </c>
      <c r="C2907" t="s">
        <v>32</v>
      </c>
      <c r="D2907" t="s">
        <v>33</v>
      </c>
      <c r="E2907">
        <v>1990</v>
      </c>
      <c r="F2907" t="s">
        <v>22</v>
      </c>
      <c r="G2907" t="s">
        <v>13</v>
      </c>
      <c r="H2907" s="2">
        <v>9553.7800000000007</v>
      </c>
    </row>
    <row r="2908" spans="1:8">
      <c r="A2908" t="s">
        <v>84</v>
      </c>
      <c r="B2908" t="s">
        <v>85</v>
      </c>
      <c r="C2908" t="s">
        <v>32</v>
      </c>
      <c r="D2908" t="s">
        <v>33</v>
      </c>
      <c r="E2908">
        <v>1990</v>
      </c>
      <c r="F2908" t="s">
        <v>12</v>
      </c>
      <c r="G2908" t="s">
        <v>19</v>
      </c>
      <c r="H2908" s="2">
        <v>0</v>
      </c>
    </row>
    <row r="2909" spans="1:8">
      <c r="A2909" t="s">
        <v>84</v>
      </c>
      <c r="B2909" t="s">
        <v>85</v>
      </c>
      <c r="C2909" t="s">
        <v>32</v>
      </c>
      <c r="D2909" t="s">
        <v>33</v>
      </c>
      <c r="E2909">
        <v>1991</v>
      </c>
      <c r="F2909" t="s">
        <v>22</v>
      </c>
      <c r="G2909" t="s">
        <v>17</v>
      </c>
      <c r="H2909" s="2">
        <v>19397.96</v>
      </c>
    </row>
    <row r="2910" spans="1:8">
      <c r="A2910" t="s">
        <v>84</v>
      </c>
      <c r="B2910" t="s">
        <v>85</v>
      </c>
      <c r="C2910" t="s">
        <v>32</v>
      </c>
      <c r="D2910" t="s">
        <v>33</v>
      </c>
      <c r="E2910">
        <v>1991</v>
      </c>
      <c r="F2910" t="s">
        <v>18</v>
      </c>
      <c r="G2910" t="s">
        <v>19</v>
      </c>
      <c r="H2910" s="2">
        <v>4672.1099999999997</v>
      </c>
    </row>
    <row r="2911" spans="1:8">
      <c r="A2911" t="s">
        <v>84</v>
      </c>
      <c r="B2911" t="s">
        <v>85</v>
      </c>
      <c r="C2911" t="s">
        <v>32</v>
      </c>
      <c r="D2911" t="s">
        <v>33</v>
      </c>
      <c r="E2911">
        <v>1991</v>
      </c>
      <c r="F2911" t="s">
        <v>20</v>
      </c>
      <c r="G2911" t="s">
        <v>19</v>
      </c>
      <c r="H2911" s="2">
        <v>0</v>
      </c>
    </row>
    <row r="2912" spans="1:8">
      <c r="A2912" t="s">
        <v>84</v>
      </c>
      <c r="B2912" t="s">
        <v>85</v>
      </c>
      <c r="C2912" t="s">
        <v>32</v>
      </c>
      <c r="D2912" t="s">
        <v>33</v>
      </c>
      <c r="E2912">
        <v>1991</v>
      </c>
      <c r="F2912" t="s">
        <v>14</v>
      </c>
      <c r="G2912" t="s">
        <v>17</v>
      </c>
      <c r="H2912" s="2">
        <v>1597.93</v>
      </c>
    </row>
    <row r="2913" spans="1:8">
      <c r="A2913" t="s">
        <v>84</v>
      </c>
      <c r="B2913" t="s">
        <v>85</v>
      </c>
      <c r="C2913" t="s">
        <v>32</v>
      </c>
      <c r="D2913" t="s">
        <v>33</v>
      </c>
      <c r="E2913">
        <v>1991</v>
      </c>
      <c r="F2913" t="s">
        <v>16</v>
      </c>
      <c r="G2913" t="s">
        <v>17</v>
      </c>
      <c r="H2913" s="2">
        <v>141.21</v>
      </c>
    </row>
    <row r="2914" spans="1:8">
      <c r="A2914" t="s">
        <v>84</v>
      </c>
      <c r="B2914" t="s">
        <v>85</v>
      </c>
      <c r="C2914" t="s">
        <v>32</v>
      </c>
      <c r="D2914" t="s">
        <v>33</v>
      </c>
      <c r="E2914">
        <v>1992</v>
      </c>
      <c r="F2914" t="s">
        <v>20</v>
      </c>
      <c r="G2914" t="s">
        <v>19</v>
      </c>
      <c r="H2914" s="2">
        <v>0</v>
      </c>
    </row>
    <row r="2915" spans="1:8">
      <c r="A2915" t="s">
        <v>84</v>
      </c>
      <c r="B2915" t="s">
        <v>85</v>
      </c>
      <c r="C2915" t="s">
        <v>32</v>
      </c>
      <c r="D2915" t="s">
        <v>33</v>
      </c>
      <c r="E2915">
        <v>1992</v>
      </c>
      <c r="F2915" t="s">
        <v>21</v>
      </c>
      <c r="G2915" t="s">
        <v>15</v>
      </c>
      <c r="H2915" s="2">
        <v>950.13</v>
      </c>
    </row>
    <row r="2916" spans="1:8">
      <c r="A2916" t="s">
        <v>84</v>
      </c>
      <c r="B2916" t="s">
        <v>85</v>
      </c>
      <c r="C2916" t="s">
        <v>32</v>
      </c>
      <c r="D2916" t="s">
        <v>33</v>
      </c>
      <c r="E2916">
        <v>1992</v>
      </c>
      <c r="F2916" t="s">
        <v>21</v>
      </c>
      <c r="G2916" t="s">
        <v>19</v>
      </c>
      <c r="H2916" s="2">
        <v>0</v>
      </c>
    </row>
    <row r="2917" spans="1:8">
      <c r="A2917" t="s">
        <v>84</v>
      </c>
      <c r="B2917" t="s">
        <v>85</v>
      </c>
      <c r="C2917" t="s">
        <v>32</v>
      </c>
      <c r="D2917" t="s">
        <v>33</v>
      </c>
      <c r="E2917">
        <v>1993</v>
      </c>
      <c r="F2917" t="s">
        <v>12</v>
      </c>
      <c r="G2917" t="s">
        <v>17</v>
      </c>
      <c r="H2917" s="2">
        <v>769.26</v>
      </c>
    </row>
    <row r="2918" spans="1:8">
      <c r="A2918" t="s">
        <v>84</v>
      </c>
      <c r="B2918" t="s">
        <v>85</v>
      </c>
      <c r="C2918" t="s">
        <v>32</v>
      </c>
      <c r="D2918" t="s">
        <v>33</v>
      </c>
      <c r="E2918">
        <v>1993</v>
      </c>
      <c r="F2918" t="s">
        <v>14</v>
      </c>
      <c r="G2918" t="s">
        <v>19</v>
      </c>
      <c r="H2918" s="2">
        <v>0</v>
      </c>
    </row>
    <row r="2919" spans="1:8">
      <c r="A2919" t="s">
        <v>84</v>
      </c>
      <c r="B2919" t="s">
        <v>85</v>
      </c>
      <c r="C2919" t="s">
        <v>32</v>
      </c>
      <c r="D2919" t="s">
        <v>33</v>
      </c>
      <c r="E2919">
        <v>1994</v>
      </c>
      <c r="F2919" t="s">
        <v>12</v>
      </c>
      <c r="G2919" t="s">
        <v>15</v>
      </c>
      <c r="H2919" s="2">
        <v>1757.87</v>
      </c>
    </row>
    <row r="2920" spans="1:8">
      <c r="A2920" t="s">
        <v>84</v>
      </c>
      <c r="B2920" t="s">
        <v>85</v>
      </c>
      <c r="C2920" t="s">
        <v>32</v>
      </c>
      <c r="D2920" t="s">
        <v>33</v>
      </c>
      <c r="E2920">
        <v>1994</v>
      </c>
      <c r="F2920" t="s">
        <v>18</v>
      </c>
      <c r="G2920" t="s">
        <v>17</v>
      </c>
      <c r="H2920" s="2">
        <v>4977.25</v>
      </c>
    </row>
    <row r="2921" spans="1:8">
      <c r="A2921" t="s">
        <v>84</v>
      </c>
      <c r="B2921" t="s">
        <v>85</v>
      </c>
      <c r="C2921" t="s">
        <v>32</v>
      </c>
      <c r="D2921" t="s">
        <v>33</v>
      </c>
      <c r="E2921">
        <v>1994</v>
      </c>
      <c r="F2921" t="s">
        <v>20</v>
      </c>
      <c r="G2921" t="s">
        <v>15</v>
      </c>
      <c r="H2921" s="2">
        <v>-553.82000000000005</v>
      </c>
    </row>
    <row r="2922" spans="1:8">
      <c r="A2922" t="s">
        <v>84</v>
      </c>
      <c r="B2922" t="s">
        <v>85</v>
      </c>
      <c r="C2922" t="s">
        <v>32</v>
      </c>
      <c r="D2922" t="s">
        <v>33</v>
      </c>
      <c r="E2922">
        <v>1994</v>
      </c>
      <c r="F2922" t="s">
        <v>14</v>
      </c>
      <c r="G2922" t="s">
        <v>17</v>
      </c>
      <c r="H2922" s="2">
        <v>1762.73</v>
      </c>
    </row>
    <row r="2923" spans="1:8">
      <c r="A2923" t="s">
        <v>84</v>
      </c>
      <c r="B2923" t="s">
        <v>85</v>
      </c>
      <c r="C2923" t="s">
        <v>32</v>
      </c>
      <c r="D2923" t="s">
        <v>33</v>
      </c>
      <c r="E2923">
        <v>1994</v>
      </c>
      <c r="F2923" t="s">
        <v>21</v>
      </c>
      <c r="G2923" t="s">
        <v>13</v>
      </c>
      <c r="H2923" s="2">
        <v>49256.32</v>
      </c>
    </row>
    <row r="2924" spans="1:8">
      <c r="A2924" t="s">
        <v>84</v>
      </c>
      <c r="B2924" t="s">
        <v>85</v>
      </c>
      <c r="C2924" t="s">
        <v>32</v>
      </c>
      <c r="D2924" t="s">
        <v>33</v>
      </c>
      <c r="E2924">
        <v>1995</v>
      </c>
      <c r="F2924" t="s">
        <v>12</v>
      </c>
      <c r="G2924" t="s">
        <v>13</v>
      </c>
      <c r="H2924" s="2">
        <v>23680.69</v>
      </c>
    </row>
    <row r="2925" spans="1:8">
      <c r="A2925" t="s">
        <v>84</v>
      </c>
      <c r="B2925" t="s">
        <v>85</v>
      </c>
      <c r="C2925" t="s">
        <v>32</v>
      </c>
      <c r="D2925" t="s">
        <v>33</v>
      </c>
      <c r="E2925">
        <v>1995</v>
      </c>
      <c r="F2925" t="s">
        <v>20</v>
      </c>
      <c r="G2925" t="s">
        <v>15</v>
      </c>
      <c r="H2925" s="2">
        <v>-635.91999999999996</v>
      </c>
    </row>
    <row r="2926" spans="1:8">
      <c r="A2926" t="s">
        <v>84</v>
      </c>
      <c r="B2926" t="s">
        <v>85</v>
      </c>
      <c r="C2926" t="s">
        <v>32</v>
      </c>
      <c r="D2926" t="s">
        <v>33</v>
      </c>
      <c r="E2926">
        <v>1995</v>
      </c>
      <c r="F2926" t="s">
        <v>21</v>
      </c>
      <c r="G2926" t="s">
        <v>17</v>
      </c>
      <c r="H2926" s="2">
        <v>565.96</v>
      </c>
    </row>
    <row r="2927" spans="1:8">
      <c r="A2927" t="s">
        <v>84</v>
      </c>
      <c r="B2927" t="s">
        <v>85</v>
      </c>
      <c r="C2927" t="s">
        <v>32</v>
      </c>
      <c r="D2927" t="s">
        <v>33</v>
      </c>
      <c r="E2927">
        <v>1996</v>
      </c>
      <c r="F2927" t="s">
        <v>20</v>
      </c>
      <c r="G2927" t="s">
        <v>19</v>
      </c>
      <c r="H2927" s="2">
        <v>0</v>
      </c>
    </row>
    <row r="2928" spans="1:8">
      <c r="A2928" t="s">
        <v>84</v>
      </c>
      <c r="B2928" t="s">
        <v>85</v>
      </c>
      <c r="C2928" t="s">
        <v>32</v>
      </c>
      <c r="D2928" t="s">
        <v>33</v>
      </c>
      <c r="E2928">
        <v>1996</v>
      </c>
      <c r="F2928" t="s">
        <v>14</v>
      </c>
      <c r="G2928" t="s">
        <v>13</v>
      </c>
      <c r="H2928" s="2">
        <v>82651.77</v>
      </c>
    </row>
    <row r="2929" spans="1:8">
      <c r="A2929" t="s">
        <v>84</v>
      </c>
      <c r="B2929" t="s">
        <v>85</v>
      </c>
      <c r="C2929" t="s">
        <v>32</v>
      </c>
      <c r="D2929" t="s">
        <v>33</v>
      </c>
      <c r="E2929">
        <v>1996</v>
      </c>
      <c r="F2929" t="s">
        <v>21</v>
      </c>
      <c r="G2929" t="s">
        <v>13</v>
      </c>
      <c r="H2929" s="2">
        <v>57380.23</v>
      </c>
    </row>
    <row r="2930" spans="1:8">
      <c r="A2930" t="s">
        <v>84</v>
      </c>
      <c r="B2930" t="s">
        <v>85</v>
      </c>
      <c r="C2930" t="s">
        <v>32</v>
      </c>
      <c r="D2930" t="s">
        <v>33</v>
      </c>
      <c r="E2930">
        <v>1997</v>
      </c>
      <c r="F2930" t="s">
        <v>12</v>
      </c>
      <c r="G2930" t="s">
        <v>17</v>
      </c>
      <c r="H2930" s="2">
        <v>924.14</v>
      </c>
    </row>
    <row r="2931" spans="1:8">
      <c r="A2931" t="s">
        <v>84</v>
      </c>
      <c r="B2931" t="s">
        <v>85</v>
      </c>
      <c r="C2931" t="s">
        <v>32</v>
      </c>
      <c r="D2931" t="s">
        <v>33</v>
      </c>
      <c r="E2931">
        <v>1997</v>
      </c>
      <c r="F2931" t="s">
        <v>14</v>
      </c>
      <c r="G2931" t="s">
        <v>19</v>
      </c>
      <c r="H2931" s="2">
        <v>0</v>
      </c>
    </row>
    <row r="2932" spans="1:8">
      <c r="A2932" t="s">
        <v>84</v>
      </c>
      <c r="B2932" t="s">
        <v>85</v>
      </c>
      <c r="C2932" t="s">
        <v>32</v>
      </c>
      <c r="D2932" t="s">
        <v>33</v>
      </c>
      <c r="E2932">
        <v>1997</v>
      </c>
      <c r="F2932" t="s">
        <v>21</v>
      </c>
      <c r="G2932" t="s">
        <v>19</v>
      </c>
      <c r="H2932" s="2">
        <v>0</v>
      </c>
    </row>
    <row r="2933" spans="1:8">
      <c r="A2933" t="s">
        <v>84</v>
      </c>
      <c r="B2933" t="s">
        <v>85</v>
      </c>
      <c r="C2933" t="s">
        <v>32</v>
      </c>
      <c r="D2933" t="s">
        <v>33</v>
      </c>
      <c r="E2933">
        <v>1997</v>
      </c>
      <c r="F2933" t="s">
        <v>16</v>
      </c>
      <c r="G2933" t="s">
        <v>17</v>
      </c>
      <c r="H2933" s="2">
        <v>195.36</v>
      </c>
    </row>
    <row r="2934" spans="1:8">
      <c r="A2934" t="s">
        <v>84</v>
      </c>
      <c r="B2934" t="s">
        <v>85</v>
      </c>
      <c r="C2934" t="s">
        <v>32</v>
      </c>
      <c r="D2934" t="s">
        <v>33</v>
      </c>
      <c r="E2934">
        <v>1998</v>
      </c>
      <c r="F2934" t="s">
        <v>22</v>
      </c>
      <c r="G2934" t="s">
        <v>17</v>
      </c>
      <c r="H2934" s="2">
        <v>27965.93</v>
      </c>
    </row>
    <row r="2935" spans="1:8">
      <c r="A2935" t="s">
        <v>84</v>
      </c>
      <c r="B2935" t="s">
        <v>85</v>
      </c>
      <c r="C2935" t="s">
        <v>32</v>
      </c>
      <c r="D2935" t="s">
        <v>33</v>
      </c>
      <c r="E2935">
        <v>1999</v>
      </c>
      <c r="F2935" t="s">
        <v>22</v>
      </c>
      <c r="G2935" t="s">
        <v>17</v>
      </c>
      <c r="H2935" s="2">
        <v>30514.240000000002</v>
      </c>
    </row>
    <row r="2936" spans="1:8">
      <c r="A2936" t="s">
        <v>84</v>
      </c>
      <c r="B2936" t="s">
        <v>85</v>
      </c>
      <c r="C2936" t="s">
        <v>32</v>
      </c>
      <c r="D2936" t="s">
        <v>33</v>
      </c>
      <c r="E2936">
        <v>1999</v>
      </c>
      <c r="F2936" t="s">
        <v>18</v>
      </c>
      <c r="G2936" t="s">
        <v>17</v>
      </c>
      <c r="H2936" s="2">
        <v>6300.56</v>
      </c>
    </row>
    <row r="2937" spans="1:8">
      <c r="A2937" t="s">
        <v>84</v>
      </c>
      <c r="B2937" t="s">
        <v>85</v>
      </c>
      <c r="C2937" t="s">
        <v>32</v>
      </c>
      <c r="D2937" t="s">
        <v>33</v>
      </c>
      <c r="E2937">
        <v>1999</v>
      </c>
      <c r="F2937" t="s">
        <v>14</v>
      </c>
      <c r="G2937" t="s">
        <v>17</v>
      </c>
      <c r="H2937" s="2">
        <v>2203.08</v>
      </c>
    </row>
    <row r="2938" spans="1:8">
      <c r="A2938" t="s">
        <v>84</v>
      </c>
      <c r="B2938" t="s">
        <v>85</v>
      </c>
      <c r="C2938" t="s">
        <v>32</v>
      </c>
      <c r="D2938" t="s">
        <v>33</v>
      </c>
      <c r="E2938">
        <v>1999</v>
      </c>
      <c r="F2938" t="s">
        <v>21</v>
      </c>
      <c r="G2938" t="s">
        <v>19</v>
      </c>
      <c r="H2938" s="2">
        <v>0</v>
      </c>
    </row>
    <row r="2939" spans="1:8">
      <c r="A2939" t="s">
        <v>84</v>
      </c>
      <c r="B2939" t="s">
        <v>85</v>
      </c>
      <c r="C2939" t="s">
        <v>32</v>
      </c>
      <c r="D2939" t="s">
        <v>33</v>
      </c>
      <c r="E2939">
        <v>1999</v>
      </c>
      <c r="F2939" t="s">
        <v>16</v>
      </c>
      <c r="G2939" t="s">
        <v>19</v>
      </c>
      <c r="H2939" s="2">
        <v>0</v>
      </c>
    </row>
    <row r="2940" spans="1:8">
      <c r="A2940" t="s">
        <v>84</v>
      </c>
      <c r="B2940" t="s">
        <v>85</v>
      </c>
      <c r="C2940" t="s">
        <v>32</v>
      </c>
      <c r="D2940" t="s">
        <v>33</v>
      </c>
      <c r="E2940">
        <v>1999</v>
      </c>
      <c r="F2940" t="s">
        <v>16</v>
      </c>
      <c r="G2940" t="s">
        <v>17</v>
      </c>
      <c r="H2940" s="2">
        <v>197.04</v>
      </c>
    </row>
    <row r="2941" spans="1:8">
      <c r="A2941" t="s">
        <v>84</v>
      </c>
      <c r="B2941" t="s">
        <v>85</v>
      </c>
      <c r="C2941" t="s">
        <v>32</v>
      </c>
      <c r="D2941" t="s">
        <v>33</v>
      </c>
      <c r="E2941">
        <v>2000</v>
      </c>
      <c r="F2941" t="s">
        <v>20</v>
      </c>
      <c r="G2941" t="s">
        <v>15</v>
      </c>
      <c r="H2941" s="2">
        <v>-655.55</v>
      </c>
    </row>
    <row r="2942" spans="1:8">
      <c r="A2942" t="s">
        <v>84</v>
      </c>
      <c r="B2942" t="s">
        <v>85</v>
      </c>
      <c r="C2942" t="s">
        <v>32</v>
      </c>
      <c r="D2942" t="s">
        <v>33</v>
      </c>
      <c r="E2942">
        <v>2000</v>
      </c>
      <c r="F2942" t="s">
        <v>14</v>
      </c>
      <c r="G2942" t="s">
        <v>19</v>
      </c>
      <c r="H2942" s="2">
        <v>0</v>
      </c>
    </row>
    <row r="2943" spans="1:8">
      <c r="A2943" t="s">
        <v>84</v>
      </c>
      <c r="B2943" t="s">
        <v>85</v>
      </c>
      <c r="C2943" t="s">
        <v>32</v>
      </c>
      <c r="D2943" t="s">
        <v>33</v>
      </c>
      <c r="E2943">
        <v>2000</v>
      </c>
      <c r="F2943" t="s">
        <v>14</v>
      </c>
      <c r="G2943" t="s">
        <v>17</v>
      </c>
      <c r="H2943" s="2">
        <v>2129.21</v>
      </c>
    </row>
    <row r="2944" spans="1:8">
      <c r="A2944" t="s">
        <v>84</v>
      </c>
      <c r="B2944" t="s">
        <v>85</v>
      </c>
      <c r="C2944" t="s">
        <v>32</v>
      </c>
      <c r="D2944" t="s">
        <v>33</v>
      </c>
      <c r="E2944">
        <v>2000</v>
      </c>
      <c r="F2944" t="s">
        <v>21</v>
      </c>
      <c r="G2944" t="s">
        <v>15</v>
      </c>
      <c r="H2944" s="2">
        <v>1330.13</v>
      </c>
    </row>
    <row r="2945" spans="1:8">
      <c r="A2945" t="s">
        <v>84</v>
      </c>
      <c r="B2945" t="s">
        <v>85</v>
      </c>
      <c r="C2945" t="s">
        <v>32</v>
      </c>
      <c r="D2945" t="s">
        <v>33</v>
      </c>
      <c r="E2945">
        <v>2000</v>
      </c>
      <c r="F2945" t="s">
        <v>21</v>
      </c>
      <c r="G2945" t="s">
        <v>19</v>
      </c>
      <c r="H2945" s="2">
        <v>0</v>
      </c>
    </row>
    <row r="2946" spans="1:8">
      <c r="A2946" t="s">
        <v>84</v>
      </c>
      <c r="B2946" t="s">
        <v>85</v>
      </c>
      <c r="C2946" t="s">
        <v>32</v>
      </c>
      <c r="D2946" t="s">
        <v>33</v>
      </c>
      <c r="E2946">
        <v>2001</v>
      </c>
      <c r="F2946" t="s">
        <v>16</v>
      </c>
      <c r="G2946" t="s">
        <v>19</v>
      </c>
      <c r="H2946" s="2">
        <v>0</v>
      </c>
    </row>
    <row r="2947" spans="1:8">
      <c r="A2947" t="s">
        <v>84</v>
      </c>
      <c r="B2947" t="s">
        <v>85</v>
      </c>
      <c r="C2947" t="s">
        <v>32</v>
      </c>
      <c r="D2947" t="s">
        <v>33</v>
      </c>
      <c r="E2947">
        <v>2001</v>
      </c>
      <c r="F2947" t="s">
        <v>16</v>
      </c>
      <c r="G2947" t="s">
        <v>17</v>
      </c>
      <c r="H2947" s="2">
        <v>190.35</v>
      </c>
    </row>
    <row r="2948" spans="1:8">
      <c r="A2948" t="s">
        <v>84</v>
      </c>
      <c r="B2948" t="s">
        <v>85</v>
      </c>
      <c r="C2948" t="s">
        <v>32</v>
      </c>
      <c r="D2948" t="s">
        <v>33</v>
      </c>
      <c r="E2948">
        <v>2002</v>
      </c>
      <c r="F2948" t="s">
        <v>22</v>
      </c>
      <c r="G2948" t="s">
        <v>13</v>
      </c>
      <c r="H2948" s="2">
        <v>15130.48</v>
      </c>
    </row>
    <row r="2949" spans="1:8">
      <c r="A2949" t="s">
        <v>84</v>
      </c>
      <c r="B2949" t="s">
        <v>85</v>
      </c>
      <c r="C2949" t="s">
        <v>32</v>
      </c>
      <c r="D2949" t="s">
        <v>33</v>
      </c>
      <c r="E2949">
        <v>2002</v>
      </c>
      <c r="F2949" t="s">
        <v>12</v>
      </c>
      <c r="G2949" t="s">
        <v>13</v>
      </c>
      <c r="H2949" s="2">
        <v>33973.760000000002</v>
      </c>
    </row>
    <row r="2950" spans="1:8">
      <c r="A2950" t="s">
        <v>84</v>
      </c>
      <c r="B2950" t="s">
        <v>85</v>
      </c>
      <c r="C2950" t="s">
        <v>32</v>
      </c>
      <c r="D2950" t="s">
        <v>33</v>
      </c>
      <c r="E2950">
        <v>2002</v>
      </c>
      <c r="F2950" t="s">
        <v>20</v>
      </c>
      <c r="G2950" t="s">
        <v>17</v>
      </c>
      <c r="H2950" s="2">
        <v>-804.36</v>
      </c>
    </row>
    <row r="2951" spans="1:8">
      <c r="A2951" t="s">
        <v>84</v>
      </c>
      <c r="B2951" t="s">
        <v>85</v>
      </c>
      <c r="C2951" t="s">
        <v>32</v>
      </c>
      <c r="D2951" t="s">
        <v>33</v>
      </c>
      <c r="E2951">
        <v>2002</v>
      </c>
      <c r="F2951" t="s">
        <v>14</v>
      </c>
      <c r="G2951" t="s">
        <v>15</v>
      </c>
      <c r="H2951" s="2">
        <v>3333.97</v>
      </c>
    </row>
    <row r="2952" spans="1:8">
      <c r="A2952" t="s">
        <v>84</v>
      </c>
      <c r="B2952" t="s">
        <v>85</v>
      </c>
      <c r="C2952" t="s">
        <v>32</v>
      </c>
      <c r="D2952" t="s">
        <v>33</v>
      </c>
      <c r="E2952">
        <v>2002</v>
      </c>
      <c r="F2952" t="s">
        <v>16</v>
      </c>
      <c r="G2952" t="s">
        <v>17</v>
      </c>
      <c r="H2952" s="2">
        <v>210.23</v>
      </c>
    </row>
    <row r="2953" spans="1:8">
      <c r="A2953" t="s">
        <v>84</v>
      </c>
      <c r="B2953" t="s">
        <v>85</v>
      </c>
      <c r="C2953" t="s">
        <v>32</v>
      </c>
      <c r="D2953" t="s">
        <v>33</v>
      </c>
      <c r="E2953">
        <v>2003</v>
      </c>
      <c r="F2953" t="s">
        <v>22</v>
      </c>
      <c r="G2953" t="s">
        <v>15</v>
      </c>
      <c r="H2953" s="2">
        <v>109008.54</v>
      </c>
    </row>
    <row r="2954" spans="1:8">
      <c r="A2954" t="s">
        <v>84</v>
      </c>
      <c r="B2954" t="s">
        <v>85</v>
      </c>
      <c r="C2954" t="s">
        <v>32</v>
      </c>
      <c r="D2954" t="s">
        <v>33</v>
      </c>
      <c r="E2954">
        <v>2003</v>
      </c>
      <c r="F2954" t="s">
        <v>22</v>
      </c>
      <c r="G2954" t="s">
        <v>19</v>
      </c>
      <c r="H2954" s="2">
        <v>0</v>
      </c>
    </row>
    <row r="2955" spans="1:8">
      <c r="A2955" t="s">
        <v>84</v>
      </c>
      <c r="B2955" t="s">
        <v>85</v>
      </c>
      <c r="C2955" t="s">
        <v>32</v>
      </c>
      <c r="D2955" t="s">
        <v>33</v>
      </c>
      <c r="E2955">
        <v>2003</v>
      </c>
      <c r="F2955" t="s">
        <v>12</v>
      </c>
      <c r="G2955" t="s">
        <v>19</v>
      </c>
      <c r="H2955" s="2">
        <v>0</v>
      </c>
    </row>
    <row r="2956" spans="1:8">
      <c r="A2956" t="s">
        <v>84</v>
      </c>
      <c r="B2956" t="s">
        <v>85</v>
      </c>
      <c r="C2956" t="s">
        <v>32</v>
      </c>
      <c r="D2956" t="s">
        <v>33</v>
      </c>
      <c r="E2956">
        <v>2003</v>
      </c>
      <c r="F2956" t="s">
        <v>14</v>
      </c>
      <c r="G2956" t="s">
        <v>15</v>
      </c>
      <c r="H2956" s="2">
        <v>3493.92</v>
      </c>
    </row>
    <row r="2957" spans="1:8">
      <c r="A2957" t="s">
        <v>84</v>
      </c>
      <c r="B2957" t="s">
        <v>85</v>
      </c>
      <c r="C2957" t="s">
        <v>32</v>
      </c>
      <c r="D2957" t="s">
        <v>33</v>
      </c>
      <c r="E2957">
        <v>2004</v>
      </c>
      <c r="F2957" t="s">
        <v>20</v>
      </c>
      <c r="G2957" t="s">
        <v>15</v>
      </c>
      <c r="H2957" s="2">
        <v>-848.64</v>
      </c>
    </row>
    <row r="2958" spans="1:8">
      <c r="A2958" t="s">
        <v>84</v>
      </c>
      <c r="B2958" t="s">
        <v>85</v>
      </c>
      <c r="C2958" t="s">
        <v>32</v>
      </c>
      <c r="D2958" t="s">
        <v>33</v>
      </c>
      <c r="E2958">
        <v>2004</v>
      </c>
      <c r="F2958" t="s">
        <v>20</v>
      </c>
      <c r="G2958" t="s">
        <v>13</v>
      </c>
      <c r="H2958" s="2">
        <v>-87750.32</v>
      </c>
    </row>
    <row r="2959" spans="1:8">
      <c r="A2959" t="s">
        <v>84</v>
      </c>
      <c r="B2959" t="s">
        <v>85</v>
      </c>
      <c r="C2959" t="s">
        <v>32</v>
      </c>
      <c r="D2959" t="s">
        <v>33</v>
      </c>
      <c r="E2959">
        <v>2004</v>
      </c>
      <c r="F2959" t="s">
        <v>20</v>
      </c>
      <c r="G2959" t="s">
        <v>19</v>
      </c>
      <c r="H2959" s="2">
        <v>0</v>
      </c>
    </row>
    <row r="2960" spans="1:8">
      <c r="A2960" t="s">
        <v>84</v>
      </c>
      <c r="B2960" t="s">
        <v>85</v>
      </c>
      <c r="C2960" t="s">
        <v>32</v>
      </c>
      <c r="D2960" t="s">
        <v>33</v>
      </c>
      <c r="E2960">
        <v>2004</v>
      </c>
      <c r="F2960" t="s">
        <v>14</v>
      </c>
      <c r="G2960" t="s">
        <v>15</v>
      </c>
      <c r="H2960" s="2">
        <v>3699.66</v>
      </c>
    </row>
    <row r="2961" spans="1:8">
      <c r="A2961" t="s">
        <v>84</v>
      </c>
      <c r="B2961" t="s">
        <v>85</v>
      </c>
      <c r="C2961" t="s">
        <v>32</v>
      </c>
      <c r="D2961" t="s">
        <v>33</v>
      </c>
      <c r="E2961">
        <v>2005</v>
      </c>
      <c r="F2961" t="s">
        <v>22</v>
      </c>
      <c r="G2961" t="s">
        <v>13</v>
      </c>
      <c r="H2961" s="2">
        <v>16756.23</v>
      </c>
    </row>
    <row r="2962" spans="1:8">
      <c r="A2962" t="s">
        <v>84</v>
      </c>
      <c r="B2962" t="s">
        <v>85</v>
      </c>
      <c r="C2962" t="s">
        <v>32</v>
      </c>
      <c r="D2962" t="s">
        <v>33</v>
      </c>
      <c r="E2962">
        <v>2005</v>
      </c>
      <c r="F2962" t="s">
        <v>18</v>
      </c>
      <c r="G2962" t="s">
        <v>19</v>
      </c>
      <c r="H2962" s="2">
        <v>7309.99</v>
      </c>
    </row>
    <row r="2963" spans="1:8">
      <c r="A2963" t="s">
        <v>84</v>
      </c>
      <c r="B2963" t="s">
        <v>85</v>
      </c>
      <c r="C2963" t="s">
        <v>32</v>
      </c>
      <c r="D2963" t="s">
        <v>33</v>
      </c>
      <c r="E2963">
        <v>2005</v>
      </c>
      <c r="F2963" t="s">
        <v>14</v>
      </c>
      <c r="G2963" t="s">
        <v>13</v>
      </c>
      <c r="H2963" s="2">
        <v>124617.99</v>
      </c>
    </row>
    <row r="2964" spans="1:8">
      <c r="A2964" t="s">
        <v>84</v>
      </c>
      <c r="B2964" t="s">
        <v>85</v>
      </c>
      <c r="C2964" t="s">
        <v>32</v>
      </c>
      <c r="D2964" t="s">
        <v>33</v>
      </c>
      <c r="E2964">
        <v>2006</v>
      </c>
      <c r="F2964" t="s">
        <v>12</v>
      </c>
      <c r="G2964" t="s">
        <v>15</v>
      </c>
      <c r="H2964" s="2">
        <v>2805.95</v>
      </c>
    </row>
    <row r="2965" spans="1:8">
      <c r="A2965" t="s">
        <v>84</v>
      </c>
      <c r="B2965" t="s">
        <v>85</v>
      </c>
      <c r="C2965" t="s">
        <v>32</v>
      </c>
      <c r="D2965" t="s">
        <v>33</v>
      </c>
      <c r="E2965">
        <v>2006</v>
      </c>
      <c r="F2965" t="s">
        <v>18</v>
      </c>
      <c r="G2965" t="s">
        <v>15</v>
      </c>
      <c r="H2965" s="2">
        <v>7159.68</v>
      </c>
    </row>
    <row r="2966" spans="1:8">
      <c r="A2966" t="s">
        <v>84</v>
      </c>
      <c r="B2966" t="s">
        <v>85</v>
      </c>
      <c r="C2966" t="s">
        <v>32</v>
      </c>
      <c r="D2966" t="s">
        <v>33</v>
      </c>
      <c r="E2966">
        <v>2006</v>
      </c>
      <c r="F2966" t="s">
        <v>16</v>
      </c>
      <c r="G2966" t="s">
        <v>13</v>
      </c>
      <c r="H2966" s="2">
        <v>608.12</v>
      </c>
    </row>
    <row r="2967" spans="1:8">
      <c r="A2967" t="s">
        <v>84</v>
      </c>
      <c r="B2967" t="s">
        <v>85</v>
      </c>
      <c r="C2967" t="s">
        <v>32</v>
      </c>
      <c r="D2967" t="s">
        <v>33</v>
      </c>
      <c r="E2967">
        <v>2007</v>
      </c>
      <c r="F2967" t="s">
        <v>22</v>
      </c>
      <c r="G2967" t="s">
        <v>13</v>
      </c>
      <c r="H2967" s="2">
        <v>19151.37</v>
      </c>
    </row>
    <row r="2968" spans="1:8">
      <c r="A2968" t="s">
        <v>84</v>
      </c>
      <c r="B2968" t="s">
        <v>85</v>
      </c>
      <c r="C2968" t="s">
        <v>32</v>
      </c>
      <c r="D2968" t="s">
        <v>33</v>
      </c>
      <c r="E2968">
        <v>2007</v>
      </c>
      <c r="F2968" t="s">
        <v>12</v>
      </c>
      <c r="G2968" t="s">
        <v>15</v>
      </c>
      <c r="H2968" s="2">
        <v>2921.45</v>
      </c>
    </row>
    <row r="2969" spans="1:8">
      <c r="A2969" t="s">
        <v>84</v>
      </c>
      <c r="B2969" t="s">
        <v>85</v>
      </c>
      <c r="C2969" t="s">
        <v>32</v>
      </c>
      <c r="D2969" t="s">
        <v>33</v>
      </c>
      <c r="E2969">
        <v>2007</v>
      </c>
      <c r="F2969" t="s">
        <v>12</v>
      </c>
      <c r="G2969" t="s">
        <v>13</v>
      </c>
      <c r="H2969" s="2">
        <v>38607.49</v>
      </c>
    </row>
    <row r="2970" spans="1:8">
      <c r="A2970" t="s">
        <v>84</v>
      </c>
      <c r="B2970" t="s">
        <v>85</v>
      </c>
      <c r="C2970" t="s">
        <v>32</v>
      </c>
      <c r="D2970" t="s">
        <v>33</v>
      </c>
      <c r="E2970">
        <v>2007</v>
      </c>
      <c r="F2970" t="s">
        <v>16</v>
      </c>
      <c r="G2970" t="s">
        <v>17</v>
      </c>
      <c r="H2970" s="2">
        <v>241.43</v>
      </c>
    </row>
    <row r="2971" spans="1:8">
      <c r="A2971" t="s">
        <v>84</v>
      </c>
      <c r="B2971" t="s">
        <v>85</v>
      </c>
      <c r="C2971" t="s">
        <v>32</v>
      </c>
      <c r="D2971" t="s">
        <v>33</v>
      </c>
      <c r="E2971">
        <v>2008</v>
      </c>
      <c r="F2971" t="s">
        <v>12</v>
      </c>
      <c r="G2971" t="s">
        <v>13</v>
      </c>
      <c r="H2971" s="2">
        <v>40603.800000000003</v>
      </c>
    </row>
    <row r="2972" spans="1:8">
      <c r="A2972" t="s">
        <v>84</v>
      </c>
      <c r="B2972" t="s">
        <v>85</v>
      </c>
      <c r="C2972" t="s">
        <v>32</v>
      </c>
      <c r="D2972" t="s">
        <v>33</v>
      </c>
      <c r="E2972">
        <v>2008</v>
      </c>
      <c r="F2972" t="s">
        <v>12</v>
      </c>
      <c r="G2972" t="s">
        <v>19</v>
      </c>
      <c r="H2972" s="2">
        <v>0</v>
      </c>
    </row>
    <row r="2973" spans="1:8">
      <c r="A2973" t="s">
        <v>84</v>
      </c>
      <c r="B2973" t="s">
        <v>85</v>
      </c>
      <c r="C2973" t="s">
        <v>32</v>
      </c>
      <c r="D2973" t="s">
        <v>33</v>
      </c>
      <c r="E2973">
        <v>2008</v>
      </c>
      <c r="F2973" t="s">
        <v>18</v>
      </c>
      <c r="G2973" t="s">
        <v>19</v>
      </c>
      <c r="H2973" s="2">
        <v>8106.38</v>
      </c>
    </row>
    <row r="2974" spans="1:8">
      <c r="A2974" t="s">
        <v>84</v>
      </c>
      <c r="B2974" t="s">
        <v>85</v>
      </c>
      <c r="C2974" t="s">
        <v>32</v>
      </c>
      <c r="D2974" t="s">
        <v>33</v>
      </c>
      <c r="E2974">
        <v>2008</v>
      </c>
      <c r="F2974" t="s">
        <v>14</v>
      </c>
      <c r="G2974" t="s">
        <v>17</v>
      </c>
      <c r="H2974" s="2">
        <v>2834.1</v>
      </c>
    </row>
    <row r="2975" spans="1:8">
      <c r="A2975" t="s">
        <v>84</v>
      </c>
      <c r="B2975" t="s">
        <v>85</v>
      </c>
      <c r="C2975" t="s">
        <v>32</v>
      </c>
      <c r="D2975" t="s">
        <v>33</v>
      </c>
      <c r="E2975">
        <v>2010</v>
      </c>
      <c r="F2975" t="s">
        <v>14</v>
      </c>
      <c r="G2975" t="s">
        <v>19</v>
      </c>
      <c r="H2975" s="2">
        <v>0</v>
      </c>
    </row>
    <row r="2976" spans="1:8">
      <c r="A2976" t="s">
        <v>84</v>
      </c>
      <c r="B2976" t="s">
        <v>85</v>
      </c>
      <c r="C2976" t="s">
        <v>32</v>
      </c>
      <c r="D2976" t="s">
        <v>33</v>
      </c>
      <c r="E2976">
        <v>2010</v>
      </c>
      <c r="F2976" t="s">
        <v>16</v>
      </c>
      <c r="G2976" t="s">
        <v>19</v>
      </c>
      <c r="H2976" s="2">
        <v>0</v>
      </c>
    </row>
    <row r="2977" spans="1:8">
      <c r="A2977" t="s">
        <v>84</v>
      </c>
      <c r="B2977" t="s">
        <v>85</v>
      </c>
      <c r="C2977" t="s">
        <v>32</v>
      </c>
      <c r="D2977" t="s">
        <v>33</v>
      </c>
      <c r="E2977">
        <v>2011</v>
      </c>
      <c r="F2977" t="s">
        <v>18</v>
      </c>
      <c r="G2977" t="s">
        <v>15</v>
      </c>
      <c r="H2977" s="2">
        <v>9822.34</v>
      </c>
    </row>
    <row r="2978" spans="1:8">
      <c r="A2978" t="s">
        <v>84</v>
      </c>
      <c r="B2978" t="s">
        <v>85</v>
      </c>
      <c r="C2978" t="s">
        <v>32</v>
      </c>
      <c r="D2978" t="s">
        <v>33</v>
      </c>
      <c r="E2978">
        <v>2011</v>
      </c>
      <c r="F2978" t="s">
        <v>20</v>
      </c>
      <c r="G2978" t="s">
        <v>19</v>
      </c>
      <c r="H2978" s="2">
        <v>0</v>
      </c>
    </row>
    <row r="2979" spans="1:8">
      <c r="A2979" t="s">
        <v>84</v>
      </c>
      <c r="B2979" t="s">
        <v>85</v>
      </c>
      <c r="C2979" t="s">
        <v>32</v>
      </c>
      <c r="D2979" t="s">
        <v>33</v>
      </c>
      <c r="E2979">
        <v>2011</v>
      </c>
      <c r="F2979" t="s">
        <v>16</v>
      </c>
      <c r="G2979" t="s">
        <v>15</v>
      </c>
      <c r="H2979" s="2">
        <v>5105.99</v>
      </c>
    </row>
    <row r="2980" spans="1:8">
      <c r="A2980" t="s">
        <v>84</v>
      </c>
      <c r="B2980" t="s">
        <v>85</v>
      </c>
      <c r="C2980" t="s">
        <v>32</v>
      </c>
      <c r="D2980" t="s">
        <v>33</v>
      </c>
      <c r="E2980">
        <v>2011</v>
      </c>
      <c r="F2980" t="s">
        <v>16</v>
      </c>
      <c r="G2980" t="s">
        <v>19</v>
      </c>
      <c r="H2980" s="2">
        <v>0</v>
      </c>
    </row>
    <row r="2981" spans="1:8">
      <c r="A2981" t="s">
        <v>84</v>
      </c>
      <c r="B2981" t="s">
        <v>85</v>
      </c>
      <c r="C2981" t="s">
        <v>32</v>
      </c>
      <c r="D2981" t="s">
        <v>33</v>
      </c>
      <c r="E2981">
        <v>2012</v>
      </c>
      <c r="F2981" t="s">
        <v>20</v>
      </c>
      <c r="G2981" t="s">
        <v>17</v>
      </c>
      <c r="H2981" s="2">
        <v>-1002.61</v>
      </c>
    </row>
    <row r="2982" spans="1:8">
      <c r="A2982" t="s">
        <v>84</v>
      </c>
      <c r="B2982" t="s">
        <v>85</v>
      </c>
      <c r="C2982" t="s">
        <v>32</v>
      </c>
      <c r="D2982" t="s">
        <v>33</v>
      </c>
      <c r="E2982">
        <v>2013</v>
      </c>
      <c r="F2982" t="s">
        <v>18</v>
      </c>
      <c r="G2982" t="s">
        <v>13</v>
      </c>
      <c r="H2982" s="2">
        <v>140723.93</v>
      </c>
    </row>
    <row r="2983" spans="1:8">
      <c r="A2983" t="s">
        <v>84</v>
      </c>
      <c r="B2983" t="s">
        <v>85</v>
      </c>
      <c r="C2983" t="s">
        <v>32</v>
      </c>
      <c r="D2983" t="s">
        <v>33</v>
      </c>
      <c r="E2983">
        <v>2013</v>
      </c>
      <c r="F2983" t="s">
        <v>14</v>
      </c>
      <c r="G2983" t="s">
        <v>13</v>
      </c>
      <c r="H2983" s="2">
        <v>133510.39000000001</v>
      </c>
    </row>
    <row r="2984" spans="1:8">
      <c r="A2984" t="s">
        <v>84</v>
      </c>
      <c r="B2984" t="s">
        <v>85</v>
      </c>
      <c r="C2984" t="s">
        <v>32</v>
      </c>
      <c r="D2984" t="s">
        <v>33</v>
      </c>
      <c r="E2984">
        <v>2013</v>
      </c>
      <c r="F2984" t="s">
        <v>16</v>
      </c>
      <c r="G2984" t="s">
        <v>19</v>
      </c>
      <c r="H2984" s="2">
        <v>0</v>
      </c>
    </row>
    <row r="2985" spans="1:8">
      <c r="A2985" t="s">
        <v>84</v>
      </c>
      <c r="B2985" t="s">
        <v>85</v>
      </c>
      <c r="C2985" t="s">
        <v>32</v>
      </c>
      <c r="D2985" t="s">
        <v>33</v>
      </c>
      <c r="E2985">
        <v>2014</v>
      </c>
      <c r="F2985" t="s">
        <v>20</v>
      </c>
      <c r="G2985" t="s">
        <v>15</v>
      </c>
      <c r="H2985" s="2">
        <v>-950.07</v>
      </c>
    </row>
    <row r="2986" spans="1:8">
      <c r="A2986" t="s">
        <v>84</v>
      </c>
      <c r="B2986" t="s">
        <v>85</v>
      </c>
      <c r="C2986" t="s">
        <v>32</v>
      </c>
      <c r="D2986" t="s">
        <v>33</v>
      </c>
      <c r="E2986">
        <v>2014</v>
      </c>
      <c r="F2986" t="s">
        <v>16</v>
      </c>
      <c r="G2986" t="s">
        <v>17</v>
      </c>
      <c r="H2986" s="2">
        <v>260.62</v>
      </c>
    </row>
    <row r="2987" spans="1:8">
      <c r="A2987" t="s">
        <v>84</v>
      </c>
      <c r="B2987" t="s">
        <v>85</v>
      </c>
      <c r="C2987" t="s">
        <v>32</v>
      </c>
      <c r="D2987" t="s">
        <v>33</v>
      </c>
      <c r="E2987">
        <v>2015</v>
      </c>
      <c r="F2987" t="s">
        <v>12</v>
      </c>
      <c r="G2987" t="s">
        <v>15</v>
      </c>
      <c r="H2987" s="2">
        <v>3233.01</v>
      </c>
    </row>
    <row r="2988" spans="1:8">
      <c r="A2988" t="s">
        <v>84</v>
      </c>
      <c r="B2988" t="s">
        <v>85</v>
      </c>
      <c r="C2988" t="s">
        <v>32</v>
      </c>
      <c r="D2988" t="s">
        <v>33</v>
      </c>
      <c r="E2988">
        <v>2015</v>
      </c>
      <c r="F2988" t="s">
        <v>18</v>
      </c>
      <c r="G2988" t="s">
        <v>17</v>
      </c>
      <c r="H2988" s="2">
        <v>8698.89</v>
      </c>
    </row>
    <row r="2989" spans="1:8">
      <c r="A2989" t="s">
        <v>84</v>
      </c>
      <c r="B2989" t="s">
        <v>85</v>
      </c>
      <c r="C2989" t="s">
        <v>32</v>
      </c>
      <c r="D2989" t="s">
        <v>33</v>
      </c>
      <c r="E2989">
        <v>2015</v>
      </c>
      <c r="F2989" t="s">
        <v>16</v>
      </c>
      <c r="G2989" t="s">
        <v>19</v>
      </c>
      <c r="H2989" s="2">
        <v>0</v>
      </c>
    </row>
    <row r="2990" spans="1:8">
      <c r="A2990" t="s">
        <v>84</v>
      </c>
      <c r="B2990" t="s">
        <v>85</v>
      </c>
      <c r="C2990" t="s">
        <v>32</v>
      </c>
      <c r="D2990" t="s">
        <v>33</v>
      </c>
      <c r="E2990">
        <v>2016</v>
      </c>
      <c r="F2990" t="s">
        <v>16</v>
      </c>
      <c r="G2990" t="s">
        <v>19</v>
      </c>
      <c r="H2990" s="2">
        <v>0</v>
      </c>
    </row>
    <row r="2991" spans="1:8">
      <c r="A2991" t="s">
        <v>84</v>
      </c>
      <c r="B2991" t="s">
        <v>85</v>
      </c>
      <c r="C2991" t="s">
        <v>32</v>
      </c>
      <c r="D2991" t="s">
        <v>33</v>
      </c>
      <c r="E2991">
        <v>2017</v>
      </c>
      <c r="F2991" t="s">
        <v>22</v>
      </c>
      <c r="G2991" t="s">
        <v>17</v>
      </c>
      <c r="H2991" s="2">
        <v>42921.88</v>
      </c>
    </row>
    <row r="2992" spans="1:8">
      <c r="A2992" t="s">
        <v>84</v>
      </c>
      <c r="B2992" t="s">
        <v>85</v>
      </c>
      <c r="C2992" t="s">
        <v>32</v>
      </c>
      <c r="D2992" t="s">
        <v>33</v>
      </c>
      <c r="E2992">
        <v>2017</v>
      </c>
      <c r="F2992" t="s">
        <v>12</v>
      </c>
      <c r="G2992" t="s">
        <v>15</v>
      </c>
      <c r="H2992" s="2">
        <v>3252.92</v>
      </c>
    </row>
    <row r="2993" spans="1:8">
      <c r="A2993" t="s">
        <v>84</v>
      </c>
      <c r="B2993" t="s">
        <v>85</v>
      </c>
      <c r="C2993" t="s">
        <v>32</v>
      </c>
      <c r="D2993" t="s">
        <v>33</v>
      </c>
      <c r="E2993">
        <v>2017</v>
      </c>
      <c r="F2993" t="s">
        <v>12</v>
      </c>
      <c r="G2993" t="s">
        <v>17</v>
      </c>
      <c r="H2993" s="2">
        <v>1329.69</v>
      </c>
    </row>
    <row r="2994" spans="1:8">
      <c r="A2994" t="s">
        <v>84</v>
      </c>
      <c r="B2994" t="s">
        <v>85</v>
      </c>
      <c r="C2994" t="s">
        <v>32</v>
      </c>
      <c r="D2994" t="s">
        <v>33</v>
      </c>
      <c r="E2994">
        <v>2017</v>
      </c>
      <c r="F2994" t="s">
        <v>18</v>
      </c>
      <c r="G2994" t="s">
        <v>19</v>
      </c>
      <c r="H2994" s="2">
        <v>8235.09</v>
      </c>
    </row>
    <row r="2995" spans="1:8">
      <c r="A2995" t="s">
        <v>84</v>
      </c>
      <c r="B2995" t="s">
        <v>85</v>
      </c>
      <c r="C2995" t="s">
        <v>32</v>
      </c>
      <c r="D2995" t="s">
        <v>33</v>
      </c>
      <c r="E2995">
        <v>2017</v>
      </c>
      <c r="F2995" t="s">
        <v>20</v>
      </c>
      <c r="G2995" t="s">
        <v>17</v>
      </c>
      <c r="H2995" s="2">
        <v>-867.91</v>
      </c>
    </row>
    <row r="2996" spans="1:8">
      <c r="A2996" t="s">
        <v>84</v>
      </c>
      <c r="B2996" t="s">
        <v>85</v>
      </c>
      <c r="C2996" t="s">
        <v>32</v>
      </c>
      <c r="D2996" t="s">
        <v>33</v>
      </c>
      <c r="E2996">
        <v>2017</v>
      </c>
      <c r="F2996" t="s">
        <v>14</v>
      </c>
      <c r="G2996" t="s">
        <v>19</v>
      </c>
      <c r="H2996" s="2">
        <v>0</v>
      </c>
    </row>
    <row r="2997" spans="1:8">
      <c r="A2997" t="s">
        <v>84</v>
      </c>
      <c r="B2997" t="s">
        <v>85</v>
      </c>
      <c r="C2997" t="s">
        <v>32</v>
      </c>
      <c r="D2997" t="s">
        <v>33</v>
      </c>
      <c r="E2997">
        <v>2017</v>
      </c>
      <c r="F2997" t="s">
        <v>14</v>
      </c>
      <c r="G2997" t="s">
        <v>17</v>
      </c>
      <c r="H2997" s="2">
        <v>3073.04</v>
      </c>
    </row>
    <row r="2998" spans="1:8">
      <c r="A2998" t="s">
        <v>84</v>
      </c>
      <c r="B2998" t="s">
        <v>85</v>
      </c>
      <c r="C2998" t="s">
        <v>32</v>
      </c>
      <c r="D2998" t="s">
        <v>33</v>
      </c>
      <c r="E2998">
        <v>2017</v>
      </c>
      <c r="F2998" t="s">
        <v>21</v>
      </c>
      <c r="G2998" t="s">
        <v>15</v>
      </c>
      <c r="H2998" s="2">
        <v>2031.57</v>
      </c>
    </row>
    <row r="2999" spans="1:8">
      <c r="A2999" t="s">
        <v>84</v>
      </c>
      <c r="B2999" t="s">
        <v>85</v>
      </c>
      <c r="C2999" t="s">
        <v>32</v>
      </c>
      <c r="D2999" t="s">
        <v>33</v>
      </c>
      <c r="E2999">
        <v>2018</v>
      </c>
      <c r="F2999" t="s">
        <v>18</v>
      </c>
      <c r="G2999" t="s">
        <v>17</v>
      </c>
      <c r="H2999" s="2">
        <v>9027.86</v>
      </c>
    </row>
    <row r="3000" spans="1:8">
      <c r="A3000" t="s">
        <v>84</v>
      </c>
      <c r="B3000" t="s">
        <v>85</v>
      </c>
      <c r="C3000" t="s">
        <v>32</v>
      </c>
      <c r="D3000" t="s">
        <v>33</v>
      </c>
      <c r="E3000">
        <v>2018</v>
      </c>
      <c r="F3000" t="s">
        <v>20</v>
      </c>
      <c r="G3000" t="s">
        <v>13</v>
      </c>
      <c r="H3000" s="2">
        <v>-90750.54</v>
      </c>
    </row>
    <row r="3001" spans="1:8">
      <c r="A3001" t="s">
        <v>84</v>
      </c>
      <c r="B3001" t="s">
        <v>85</v>
      </c>
      <c r="C3001" t="s">
        <v>32</v>
      </c>
      <c r="D3001" t="s">
        <v>33</v>
      </c>
      <c r="E3001">
        <v>2019</v>
      </c>
      <c r="F3001" t="s">
        <v>22</v>
      </c>
      <c r="G3001" t="s">
        <v>17</v>
      </c>
      <c r="H3001" s="2">
        <v>37540.32</v>
      </c>
    </row>
    <row r="3002" spans="1:8">
      <c r="A3002" t="s">
        <v>84</v>
      </c>
      <c r="B3002" t="s">
        <v>85</v>
      </c>
      <c r="C3002" t="s">
        <v>32</v>
      </c>
      <c r="D3002" t="s">
        <v>33</v>
      </c>
      <c r="E3002">
        <v>2019</v>
      </c>
      <c r="F3002" t="s">
        <v>14</v>
      </c>
      <c r="G3002" t="s">
        <v>13</v>
      </c>
      <c r="H3002" s="2">
        <v>154689.35999999999</v>
      </c>
    </row>
    <row r="3003" spans="1:8">
      <c r="A3003" t="s">
        <v>84</v>
      </c>
      <c r="B3003" t="s">
        <v>85</v>
      </c>
      <c r="C3003" t="s">
        <v>32</v>
      </c>
      <c r="D3003" t="s">
        <v>33</v>
      </c>
      <c r="E3003">
        <v>2019</v>
      </c>
      <c r="F3003" t="s">
        <v>21</v>
      </c>
      <c r="G3003" t="s">
        <v>17</v>
      </c>
      <c r="H3003" s="2">
        <v>982.11</v>
      </c>
    </row>
    <row r="3004" spans="1:8">
      <c r="A3004" t="s">
        <v>84</v>
      </c>
      <c r="B3004" t="s">
        <v>85</v>
      </c>
      <c r="C3004" t="s">
        <v>32</v>
      </c>
      <c r="D3004" t="s">
        <v>33</v>
      </c>
      <c r="E3004">
        <v>2020</v>
      </c>
      <c r="F3004" t="s">
        <v>22</v>
      </c>
      <c r="G3004" t="s">
        <v>17</v>
      </c>
      <c r="H3004" s="2">
        <v>38058.19</v>
      </c>
    </row>
    <row r="3005" spans="1:8">
      <c r="A3005" t="s">
        <v>84</v>
      </c>
      <c r="B3005" t="s">
        <v>85</v>
      </c>
      <c r="C3005" t="s">
        <v>32</v>
      </c>
      <c r="D3005" t="s">
        <v>33</v>
      </c>
      <c r="E3005">
        <v>2020</v>
      </c>
      <c r="F3005" t="s">
        <v>12</v>
      </c>
      <c r="G3005" t="s">
        <v>15</v>
      </c>
      <c r="H3005" s="2">
        <v>2979.28</v>
      </c>
    </row>
    <row r="3006" spans="1:8">
      <c r="A3006" t="s">
        <v>84</v>
      </c>
      <c r="B3006" t="s">
        <v>85</v>
      </c>
      <c r="C3006" t="s">
        <v>32</v>
      </c>
      <c r="D3006" t="s">
        <v>33</v>
      </c>
      <c r="E3006">
        <v>2021</v>
      </c>
      <c r="F3006" t="s">
        <v>22</v>
      </c>
      <c r="G3006" t="s">
        <v>13</v>
      </c>
      <c r="H3006" s="2">
        <v>22794.54</v>
      </c>
    </row>
    <row r="3007" spans="1:8">
      <c r="A3007" t="s">
        <v>84</v>
      </c>
      <c r="B3007" t="s">
        <v>85</v>
      </c>
      <c r="C3007" t="s">
        <v>32</v>
      </c>
      <c r="D3007" t="s">
        <v>33</v>
      </c>
      <c r="E3007">
        <v>2021</v>
      </c>
      <c r="F3007" t="s">
        <v>12</v>
      </c>
      <c r="G3007" t="s">
        <v>15</v>
      </c>
      <c r="H3007" s="2">
        <v>3819.48</v>
      </c>
    </row>
    <row r="3008" spans="1:8">
      <c r="A3008" t="s">
        <v>84</v>
      </c>
      <c r="B3008" t="s">
        <v>85</v>
      </c>
      <c r="C3008" t="s">
        <v>32</v>
      </c>
      <c r="D3008" t="s">
        <v>33</v>
      </c>
      <c r="E3008">
        <v>2021</v>
      </c>
      <c r="F3008" t="s">
        <v>18</v>
      </c>
      <c r="G3008" t="s">
        <v>17</v>
      </c>
      <c r="H3008" s="2">
        <v>9173.33</v>
      </c>
    </row>
    <row r="3009" spans="1:8">
      <c r="A3009" t="s">
        <v>84</v>
      </c>
      <c r="B3009" t="s">
        <v>85</v>
      </c>
      <c r="C3009" t="s">
        <v>32</v>
      </c>
      <c r="D3009" t="s">
        <v>33</v>
      </c>
      <c r="E3009">
        <v>2022</v>
      </c>
      <c r="F3009" t="s">
        <v>18</v>
      </c>
      <c r="G3009" t="s">
        <v>13</v>
      </c>
      <c r="H3009" s="2">
        <v>151795.99</v>
      </c>
    </row>
    <row r="3010" spans="1:8">
      <c r="A3010" t="s">
        <v>84</v>
      </c>
      <c r="B3010" t="s">
        <v>85</v>
      </c>
      <c r="C3010" t="s">
        <v>32</v>
      </c>
      <c r="D3010" t="s">
        <v>33</v>
      </c>
      <c r="E3010">
        <v>2023</v>
      </c>
      <c r="F3010" t="s">
        <v>18</v>
      </c>
      <c r="G3010" t="s">
        <v>17</v>
      </c>
      <c r="H3010" s="2">
        <v>8334.65</v>
      </c>
    </row>
    <row r="3011" spans="1:8">
      <c r="A3011" t="s">
        <v>84</v>
      </c>
      <c r="B3011" t="s">
        <v>85</v>
      </c>
      <c r="C3011" t="s">
        <v>32</v>
      </c>
      <c r="D3011" t="s">
        <v>33</v>
      </c>
      <c r="E3011">
        <v>2024</v>
      </c>
      <c r="F3011" t="s">
        <v>20</v>
      </c>
      <c r="G3011" t="s">
        <v>15</v>
      </c>
      <c r="H3011" s="2">
        <v>-886.34</v>
      </c>
    </row>
    <row r="3012" spans="1:8">
      <c r="A3012" t="s">
        <v>84</v>
      </c>
      <c r="B3012" t="s">
        <v>85</v>
      </c>
      <c r="C3012" t="s">
        <v>32</v>
      </c>
      <c r="D3012" t="s">
        <v>33</v>
      </c>
      <c r="E3012">
        <v>2024</v>
      </c>
      <c r="F3012" t="s">
        <v>21</v>
      </c>
      <c r="G3012" t="s">
        <v>17</v>
      </c>
      <c r="H3012" s="2">
        <v>902.79</v>
      </c>
    </row>
    <row r="3013" spans="1:8">
      <c r="A3013" t="s">
        <v>84</v>
      </c>
      <c r="B3013" t="s">
        <v>85</v>
      </c>
      <c r="C3013" t="s">
        <v>32</v>
      </c>
      <c r="D3013" t="s">
        <v>33</v>
      </c>
      <c r="E3013">
        <v>2024</v>
      </c>
      <c r="F3013" t="s">
        <v>16</v>
      </c>
      <c r="G3013" t="s">
        <v>17</v>
      </c>
      <c r="H3013" s="2">
        <v>238.72</v>
      </c>
    </row>
    <row r="3014" spans="1:8">
      <c r="A3014" t="s">
        <v>86</v>
      </c>
      <c r="B3014" t="s">
        <v>87</v>
      </c>
      <c r="C3014" t="s">
        <v>25</v>
      </c>
      <c r="D3014" t="s">
        <v>11</v>
      </c>
      <c r="E3014">
        <v>1990</v>
      </c>
      <c r="F3014" t="s">
        <v>12</v>
      </c>
      <c r="G3014" t="s">
        <v>19</v>
      </c>
      <c r="H3014" s="2">
        <v>0</v>
      </c>
    </row>
    <row r="3015" spans="1:8">
      <c r="A3015" t="s">
        <v>86</v>
      </c>
      <c r="B3015" t="s">
        <v>87</v>
      </c>
      <c r="C3015" t="s">
        <v>25</v>
      </c>
      <c r="D3015" t="s">
        <v>11</v>
      </c>
      <c r="E3015">
        <v>1990</v>
      </c>
      <c r="F3015" t="s">
        <v>18</v>
      </c>
      <c r="G3015" t="s">
        <v>19</v>
      </c>
      <c r="H3015" s="2">
        <v>1431.06</v>
      </c>
    </row>
    <row r="3016" spans="1:8">
      <c r="A3016" t="s">
        <v>86</v>
      </c>
      <c r="B3016" t="s">
        <v>87</v>
      </c>
      <c r="C3016" t="s">
        <v>25</v>
      </c>
      <c r="D3016" t="s">
        <v>11</v>
      </c>
      <c r="E3016">
        <v>1991</v>
      </c>
      <c r="F3016" t="s">
        <v>18</v>
      </c>
      <c r="G3016" t="s">
        <v>19</v>
      </c>
      <c r="H3016" s="2">
        <v>1360.62</v>
      </c>
    </row>
    <row r="3017" spans="1:8">
      <c r="A3017" t="s">
        <v>86</v>
      </c>
      <c r="B3017" t="s">
        <v>87</v>
      </c>
      <c r="C3017" t="s">
        <v>25</v>
      </c>
      <c r="D3017" t="s">
        <v>11</v>
      </c>
      <c r="E3017">
        <v>1991</v>
      </c>
      <c r="F3017" t="s">
        <v>20</v>
      </c>
      <c r="G3017" t="s">
        <v>15</v>
      </c>
      <c r="H3017" s="2">
        <v>-90.74</v>
      </c>
    </row>
    <row r="3018" spans="1:8">
      <c r="A3018" t="s">
        <v>86</v>
      </c>
      <c r="B3018" t="s">
        <v>87</v>
      </c>
      <c r="C3018" t="s">
        <v>25</v>
      </c>
      <c r="D3018" t="s">
        <v>11</v>
      </c>
      <c r="E3018">
        <v>1991</v>
      </c>
      <c r="F3018" t="s">
        <v>21</v>
      </c>
      <c r="G3018" t="s">
        <v>15</v>
      </c>
      <c r="H3018" s="2">
        <v>999.16</v>
      </c>
    </row>
    <row r="3019" spans="1:8">
      <c r="A3019" t="s">
        <v>86</v>
      </c>
      <c r="B3019" t="s">
        <v>87</v>
      </c>
      <c r="C3019" t="s">
        <v>25</v>
      </c>
      <c r="D3019" t="s">
        <v>11</v>
      </c>
      <c r="E3019">
        <v>1991</v>
      </c>
      <c r="F3019" t="s">
        <v>16</v>
      </c>
      <c r="G3019" t="s">
        <v>13</v>
      </c>
      <c r="H3019" s="2">
        <v>5875.6</v>
      </c>
    </row>
    <row r="3020" spans="1:8">
      <c r="A3020" t="s">
        <v>86</v>
      </c>
      <c r="B3020" t="s">
        <v>87</v>
      </c>
      <c r="C3020" t="s">
        <v>25</v>
      </c>
      <c r="D3020" t="s">
        <v>11</v>
      </c>
      <c r="E3020">
        <v>1991</v>
      </c>
      <c r="F3020" t="s">
        <v>16</v>
      </c>
      <c r="G3020" t="s">
        <v>17</v>
      </c>
      <c r="H3020" s="2">
        <v>1997.47</v>
      </c>
    </row>
    <row r="3021" spans="1:8">
      <c r="A3021" t="s">
        <v>86</v>
      </c>
      <c r="B3021" t="s">
        <v>87</v>
      </c>
      <c r="C3021" t="s">
        <v>25</v>
      </c>
      <c r="D3021" t="s">
        <v>11</v>
      </c>
      <c r="E3021">
        <v>1992</v>
      </c>
      <c r="F3021" t="s">
        <v>22</v>
      </c>
      <c r="G3021" t="s">
        <v>15</v>
      </c>
      <c r="H3021" s="2">
        <v>36195.620000000003</v>
      </c>
    </row>
    <row r="3022" spans="1:8">
      <c r="A3022" t="s">
        <v>86</v>
      </c>
      <c r="B3022" t="s">
        <v>87</v>
      </c>
      <c r="C3022" t="s">
        <v>25</v>
      </c>
      <c r="D3022" t="s">
        <v>11</v>
      </c>
      <c r="E3022">
        <v>1992</v>
      </c>
      <c r="F3022" t="s">
        <v>18</v>
      </c>
      <c r="G3022" t="s">
        <v>13</v>
      </c>
      <c r="H3022" s="2">
        <v>24116.52</v>
      </c>
    </row>
    <row r="3023" spans="1:8">
      <c r="A3023" t="s">
        <v>86</v>
      </c>
      <c r="B3023" t="s">
        <v>87</v>
      </c>
      <c r="C3023" t="s">
        <v>25</v>
      </c>
      <c r="D3023" t="s">
        <v>11</v>
      </c>
      <c r="E3023">
        <v>1992</v>
      </c>
      <c r="F3023" t="s">
        <v>18</v>
      </c>
      <c r="G3023" t="s">
        <v>17</v>
      </c>
      <c r="H3023" s="2">
        <v>1620.87</v>
      </c>
    </row>
    <row r="3024" spans="1:8">
      <c r="A3024" t="s">
        <v>86</v>
      </c>
      <c r="B3024" t="s">
        <v>87</v>
      </c>
      <c r="C3024" t="s">
        <v>25</v>
      </c>
      <c r="D3024" t="s">
        <v>11</v>
      </c>
      <c r="E3024">
        <v>1992</v>
      </c>
      <c r="F3024" t="s">
        <v>20</v>
      </c>
      <c r="G3024" t="s">
        <v>13</v>
      </c>
      <c r="H3024" s="2">
        <v>-9826.07</v>
      </c>
    </row>
    <row r="3025" spans="1:8">
      <c r="A3025" t="s">
        <v>86</v>
      </c>
      <c r="B3025" t="s">
        <v>87</v>
      </c>
      <c r="C3025" t="s">
        <v>25</v>
      </c>
      <c r="D3025" t="s">
        <v>11</v>
      </c>
      <c r="E3025">
        <v>1992</v>
      </c>
      <c r="F3025" t="s">
        <v>14</v>
      </c>
      <c r="G3025" t="s">
        <v>19</v>
      </c>
      <c r="H3025" s="2">
        <v>0</v>
      </c>
    </row>
    <row r="3026" spans="1:8">
      <c r="A3026" t="s">
        <v>86</v>
      </c>
      <c r="B3026" t="s">
        <v>87</v>
      </c>
      <c r="C3026" t="s">
        <v>25</v>
      </c>
      <c r="D3026" t="s">
        <v>11</v>
      </c>
      <c r="E3026">
        <v>1993</v>
      </c>
      <c r="F3026" t="s">
        <v>12</v>
      </c>
      <c r="G3026" t="s">
        <v>19</v>
      </c>
      <c r="H3026" s="2">
        <v>0</v>
      </c>
    </row>
    <row r="3027" spans="1:8">
      <c r="A3027" t="s">
        <v>86</v>
      </c>
      <c r="B3027" t="s">
        <v>87</v>
      </c>
      <c r="C3027" t="s">
        <v>25</v>
      </c>
      <c r="D3027" t="s">
        <v>11</v>
      </c>
      <c r="E3027">
        <v>1993</v>
      </c>
      <c r="F3027" t="s">
        <v>18</v>
      </c>
      <c r="G3027" t="s">
        <v>15</v>
      </c>
      <c r="H3027" s="2">
        <v>1509.19</v>
      </c>
    </row>
    <row r="3028" spans="1:8">
      <c r="A3028" t="s">
        <v>86</v>
      </c>
      <c r="B3028" t="s">
        <v>87</v>
      </c>
      <c r="C3028" t="s">
        <v>25</v>
      </c>
      <c r="D3028" t="s">
        <v>11</v>
      </c>
      <c r="E3028">
        <v>1993</v>
      </c>
      <c r="F3028" t="s">
        <v>14</v>
      </c>
      <c r="G3028" t="s">
        <v>17</v>
      </c>
      <c r="H3028" s="2">
        <v>1028.3699999999999</v>
      </c>
    </row>
    <row r="3029" spans="1:8">
      <c r="A3029" t="s">
        <v>86</v>
      </c>
      <c r="B3029" t="s">
        <v>87</v>
      </c>
      <c r="C3029" t="s">
        <v>25</v>
      </c>
      <c r="D3029" t="s">
        <v>11</v>
      </c>
      <c r="E3029">
        <v>1994</v>
      </c>
      <c r="F3029" t="s">
        <v>21</v>
      </c>
      <c r="G3029" t="s">
        <v>13</v>
      </c>
      <c r="H3029" s="2">
        <v>61328.21</v>
      </c>
    </row>
    <row r="3030" spans="1:8">
      <c r="A3030" t="s">
        <v>86</v>
      </c>
      <c r="B3030" t="s">
        <v>87</v>
      </c>
      <c r="C3030" t="s">
        <v>25</v>
      </c>
      <c r="D3030" t="s">
        <v>11</v>
      </c>
      <c r="E3030">
        <v>1994</v>
      </c>
      <c r="F3030" t="s">
        <v>16</v>
      </c>
      <c r="G3030" t="s">
        <v>15</v>
      </c>
      <c r="H3030" s="2">
        <v>36343.599999999999</v>
      </c>
    </row>
    <row r="3031" spans="1:8">
      <c r="A3031" t="s">
        <v>86</v>
      </c>
      <c r="B3031" t="s">
        <v>87</v>
      </c>
      <c r="C3031" t="s">
        <v>25</v>
      </c>
      <c r="D3031" t="s">
        <v>11</v>
      </c>
      <c r="E3031">
        <v>1995</v>
      </c>
      <c r="F3031" t="s">
        <v>22</v>
      </c>
      <c r="G3031" t="s">
        <v>15</v>
      </c>
      <c r="H3031" s="2">
        <v>37306.839999999997</v>
      </c>
    </row>
    <row r="3032" spans="1:8">
      <c r="A3032" t="s">
        <v>86</v>
      </c>
      <c r="B3032" t="s">
        <v>87</v>
      </c>
      <c r="C3032" t="s">
        <v>25</v>
      </c>
      <c r="D3032" t="s">
        <v>11</v>
      </c>
      <c r="E3032">
        <v>1995</v>
      </c>
      <c r="F3032" t="s">
        <v>14</v>
      </c>
      <c r="G3032" t="s">
        <v>17</v>
      </c>
      <c r="H3032" s="2">
        <v>1032.4000000000001</v>
      </c>
    </row>
    <row r="3033" spans="1:8">
      <c r="A3033" t="s">
        <v>86</v>
      </c>
      <c r="B3033" t="s">
        <v>87</v>
      </c>
      <c r="C3033" t="s">
        <v>25</v>
      </c>
      <c r="D3033" t="s">
        <v>11</v>
      </c>
      <c r="E3033">
        <v>1995</v>
      </c>
      <c r="F3033" t="s">
        <v>21</v>
      </c>
      <c r="G3033" t="s">
        <v>17</v>
      </c>
      <c r="H3033" s="2">
        <v>591.71</v>
      </c>
    </row>
    <row r="3034" spans="1:8">
      <c r="A3034" t="s">
        <v>86</v>
      </c>
      <c r="B3034" t="s">
        <v>87</v>
      </c>
      <c r="C3034" t="s">
        <v>25</v>
      </c>
      <c r="D3034" t="s">
        <v>11</v>
      </c>
      <c r="E3034">
        <v>1995</v>
      </c>
      <c r="F3034" t="s">
        <v>16</v>
      </c>
      <c r="G3034" t="s">
        <v>13</v>
      </c>
      <c r="H3034" s="2">
        <v>6690.36</v>
      </c>
    </row>
    <row r="3035" spans="1:8">
      <c r="A3035" t="s">
        <v>86</v>
      </c>
      <c r="B3035" t="s">
        <v>87</v>
      </c>
      <c r="C3035" t="s">
        <v>25</v>
      </c>
      <c r="D3035" t="s">
        <v>11</v>
      </c>
      <c r="E3035">
        <v>1996</v>
      </c>
      <c r="F3035" t="s">
        <v>22</v>
      </c>
      <c r="G3035" t="s">
        <v>19</v>
      </c>
      <c r="H3035" s="2">
        <v>0</v>
      </c>
    </row>
    <row r="3036" spans="1:8">
      <c r="A3036" t="s">
        <v>86</v>
      </c>
      <c r="B3036" t="s">
        <v>87</v>
      </c>
      <c r="C3036" t="s">
        <v>25</v>
      </c>
      <c r="D3036" t="s">
        <v>11</v>
      </c>
      <c r="E3036">
        <v>1996</v>
      </c>
      <c r="F3036" t="s">
        <v>18</v>
      </c>
      <c r="G3036" t="s">
        <v>17</v>
      </c>
      <c r="H3036" s="2">
        <v>1587.01</v>
      </c>
    </row>
    <row r="3037" spans="1:8">
      <c r="A3037" t="s">
        <v>86</v>
      </c>
      <c r="B3037" t="s">
        <v>87</v>
      </c>
      <c r="C3037" t="s">
        <v>25</v>
      </c>
      <c r="D3037" t="s">
        <v>11</v>
      </c>
      <c r="E3037">
        <v>1996</v>
      </c>
      <c r="F3037" t="s">
        <v>14</v>
      </c>
      <c r="G3037" t="s">
        <v>17</v>
      </c>
      <c r="H3037" s="2">
        <v>1100.75</v>
      </c>
    </row>
    <row r="3038" spans="1:8">
      <c r="A3038" t="s">
        <v>86</v>
      </c>
      <c r="B3038" t="s">
        <v>87</v>
      </c>
      <c r="C3038" t="s">
        <v>25</v>
      </c>
      <c r="D3038" t="s">
        <v>11</v>
      </c>
      <c r="E3038">
        <v>1997</v>
      </c>
      <c r="F3038" t="s">
        <v>12</v>
      </c>
      <c r="G3038" t="s">
        <v>13</v>
      </c>
      <c r="H3038" s="2">
        <v>32081.08</v>
      </c>
    </row>
    <row r="3039" spans="1:8">
      <c r="A3039" t="s">
        <v>86</v>
      </c>
      <c r="B3039" t="s">
        <v>87</v>
      </c>
      <c r="C3039" t="s">
        <v>25</v>
      </c>
      <c r="D3039" t="s">
        <v>11</v>
      </c>
      <c r="E3039">
        <v>1997</v>
      </c>
      <c r="F3039" t="s">
        <v>18</v>
      </c>
      <c r="G3039" t="s">
        <v>19</v>
      </c>
      <c r="H3039" s="2">
        <v>1547.67</v>
      </c>
    </row>
    <row r="3040" spans="1:8">
      <c r="A3040" t="s">
        <v>86</v>
      </c>
      <c r="B3040" t="s">
        <v>87</v>
      </c>
      <c r="C3040" t="s">
        <v>25</v>
      </c>
      <c r="D3040" t="s">
        <v>11</v>
      </c>
      <c r="E3040">
        <v>1997</v>
      </c>
      <c r="F3040" t="s">
        <v>21</v>
      </c>
      <c r="G3040" t="s">
        <v>15</v>
      </c>
      <c r="H3040" s="2">
        <v>1226.49</v>
      </c>
    </row>
    <row r="3041" spans="1:8">
      <c r="A3041" t="s">
        <v>86</v>
      </c>
      <c r="B3041" t="s">
        <v>87</v>
      </c>
      <c r="C3041" t="s">
        <v>25</v>
      </c>
      <c r="D3041" t="s">
        <v>11</v>
      </c>
      <c r="E3041">
        <v>1997</v>
      </c>
      <c r="F3041" t="s">
        <v>21</v>
      </c>
      <c r="G3041" t="s">
        <v>19</v>
      </c>
      <c r="H3041" s="2">
        <v>0</v>
      </c>
    </row>
    <row r="3042" spans="1:8">
      <c r="A3042" t="s">
        <v>86</v>
      </c>
      <c r="B3042" t="s">
        <v>87</v>
      </c>
      <c r="C3042" t="s">
        <v>25</v>
      </c>
      <c r="D3042" t="s">
        <v>11</v>
      </c>
      <c r="E3042">
        <v>1998</v>
      </c>
      <c r="F3042" t="s">
        <v>12</v>
      </c>
      <c r="G3042" t="s">
        <v>19</v>
      </c>
      <c r="H3042" s="2">
        <v>0</v>
      </c>
    </row>
    <row r="3043" spans="1:8">
      <c r="A3043" t="s">
        <v>86</v>
      </c>
      <c r="B3043" t="s">
        <v>87</v>
      </c>
      <c r="C3043" t="s">
        <v>25</v>
      </c>
      <c r="D3043" t="s">
        <v>11</v>
      </c>
      <c r="E3043">
        <v>1998</v>
      </c>
      <c r="F3043" t="s">
        <v>20</v>
      </c>
      <c r="G3043" t="s">
        <v>19</v>
      </c>
      <c r="H3043" s="2">
        <v>0</v>
      </c>
    </row>
    <row r="3044" spans="1:8">
      <c r="A3044" t="s">
        <v>86</v>
      </c>
      <c r="B3044" t="s">
        <v>87</v>
      </c>
      <c r="C3044" t="s">
        <v>25</v>
      </c>
      <c r="D3044" t="s">
        <v>11</v>
      </c>
      <c r="E3044">
        <v>1999</v>
      </c>
      <c r="F3044" t="s">
        <v>20</v>
      </c>
      <c r="G3044" t="s">
        <v>13</v>
      </c>
      <c r="H3044" s="2">
        <v>-10718.43</v>
      </c>
    </row>
    <row r="3045" spans="1:8">
      <c r="A3045" t="s">
        <v>86</v>
      </c>
      <c r="B3045" t="s">
        <v>87</v>
      </c>
      <c r="C3045" t="s">
        <v>25</v>
      </c>
      <c r="D3045" t="s">
        <v>11</v>
      </c>
      <c r="E3045">
        <v>2000</v>
      </c>
      <c r="F3045" t="s">
        <v>22</v>
      </c>
      <c r="G3045" t="s">
        <v>13</v>
      </c>
      <c r="H3045" s="2">
        <v>4959.13</v>
      </c>
    </row>
    <row r="3046" spans="1:8">
      <c r="A3046" t="s">
        <v>86</v>
      </c>
      <c r="B3046" t="s">
        <v>87</v>
      </c>
      <c r="C3046" t="s">
        <v>25</v>
      </c>
      <c r="D3046" t="s">
        <v>11</v>
      </c>
      <c r="E3046">
        <v>2000</v>
      </c>
      <c r="F3046" t="s">
        <v>12</v>
      </c>
      <c r="G3046" t="s">
        <v>13</v>
      </c>
      <c r="H3046" s="2">
        <v>33341.83</v>
      </c>
    </row>
    <row r="3047" spans="1:8">
      <c r="A3047" t="s">
        <v>86</v>
      </c>
      <c r="B3047" t="s">
        <v>87</v>
      </c>
      <c r="C3047" t="s">
        <v>25</v>
      </c>
      <c r="D3047" t="s">
        <v>11</v>
      </c>
      <c r="E3047">
        <v>2000</v>
      </c>
      <c r="F3047" t="s">
        <v>14</v>
      </c>
      <c r="G3047" t="s">
        <v>13</v>
      </c>
      <c r="H3047" s="2">
        <v>51058.69</v>
      </c>
    </row>
    <row r="3048" spans="1:8">
      <c r="A3048" t="s">
        <v>86</v>
      </c>
      <c r="B3048" t="s">
        <v>87</v>
      </c>
      <c r="C3048" t="s">
        <v>25</v>
      </c>
      <c r="D3048" t="s">
        <v>11</v>
      </c>
      <c r="E3048">
        <v>2001</v>
      </c>
      <c r="F3048" t="s">
        <v>14</v>
      </c>
      <c r="G3048" t="s">
        <v>17</v>
      </c>
      <c r="H3048" s="2">
        <v>1095.1300000000001</v>
      </c>
    </row>
    <row r="3049" spans="1:8">
      <c r="A3049" t="s">
        <v>86</v>
      </c>
      <c r="B3049" t="s">
        <v>87</v>
      </c>
      <c r="C3049" t="s">
        <v>25</v>
      </c>
      <c r="D3049" t="s">
        <v>11</v>
      </c>
      <c r="E3049">
        <v>2002</v>
      </c>
      <c r="F3049" t="s">
        <v>21</v>
      </c>
      <c r="G3049" t="s">
        <v>19</v>
      </c>
      <c r="H3049" s="2">
        <v>0</v>
      </c>
    </row>
    <row r="3050" spans="1:8">
      <c r="A3050" t="s">
        <v>86</v>
      </c>
      <c r="B3050" t="s">
        <v>87</v>
      </c>
      <c r="C3050" t="s">
        <v>25</v>
      </c>
      <c r="D3050" t="s">
        <v>11</v>
      </c>
      <c r="E3050">
        <v>2003</v>
      </c>
      <c r="F3050" t="s">
        <v>12</v>
      </c>
      <c r="G3050" t="s">
        <v>13</v>
      </c>
      <c r="H3050" s="2">
        <v>33419.699999999997</v>
      </c>
    </row>
    <row r="3051" spans="1:8">
      <c r="A3051" t="s">
        <v>86</v>
      </c>
      <c r="B3051" t="s">
        <v>87</v>
      </c>
      <c r="C3051" t="s">
        <v>25</v>
      </c>
      <c r="D3051" t="s">
        <v>11</v>
      </c>
      <c r="E3051">
        <v>2003</v>
      </c>
      <c r="F3051" t="s">
        <v>12</v>
      </c>
      <c r="G3051" t="s">
        <v>17</v>
      </c>
      <c r="H3051" s="2">
        <v>1151.3800000000001</v>
      </c>
    </row>
    <row r="3052" spans="1:8">
      <c r="A3052" t="s">
        <v>86</v>
      </c>
      <c r="B3052" t="s">
        <v>87</v>
      </c>
      <c r="C3052" t="s">
        <v>25</v>
      </c>
      <c r="D3052" t="s">
        <v>11</v>
      </c>
      <c r="E3052">
        <v>2003</v>
      </c>
      <c r="F3052" t="s">
        <v>18</v>
      </c>
      <c r="G3052" t="s">
        <v>19</v>
      </c>
      <c r="H3052" s="2">
        <v>1832.83</v>
      </c>
    </row>
    <row r="3053" spans="1:8">
      <c r="A3053" t="s">
        <v>86</v>
      </c>
      <c r="B3053" t="s">
        <v>87</v>
      </c>
      <c r="C3053" t="s">
        <v>25</v>
      </c>
      <c r="D3053" t="s">
        <v>11</v>
      </c>
      <c r="E3053">
        <v>2003</v>
      </c>
      <c r="F3053" t="s">
        <v>18</v>
      </c>
      <c r="G3053" t="s">
        <v>17</v>
      </c>
      <c r="H3053" s="2">
        <v>1631.1</v>
      </c>
    </row>
    <row r="3054" spans="1:8">
      <c r="A3054" t="s">
        <v>86</v>
      </c>
      <c r="B3054" t="s">
        <v>87</v>
      </c>
      <c r="C3054" t="s">
        <v>25</v>
      </c>
      <c r="D3054" t="s">
        <v>11</v>
      </c>
      <c r="E3054">
        <v>2004</v>
      </c>
      <c r="F3054" t="s">
        <v>18</v>
      </c>
      <c r="G3054" t="s">
        <v>19</v>
      </c>
      <c r="H3054" s="2">
        <v>1990.66</v>
      </c>
    </row>
    <row r="3055" spans="1:8">
      <c r="A3055" t="s">
        <v>86</v>
      </c>
      <c r="B3055" t="s">
        <v>87</v>
      </c>
      <c r="C3055" t="s">
        <v>25</v>
      </c>
      <c r="D3055" t="s">
        <v>11</v>
      </c>
      <c r="E3055">
        <v>2004</v>
      </c>
      <c r="F3055" t="s">
        <v>14</v>
      </c>
      <c r="G3055" t="s">
        <v>19</v>
      </c>
      <c r="H3055" s="2">
        <v>0</v>
      </c>
    </row>
    <row r="3056" spans="1:8">
      <c r="A3056" t="s">
        <v>86</v>
      </c>
      <c r="B3056" t="s">
        <v>87</v>
      </c>
      <c r="C3056" t="s">
        <v>25</v>
      </c>
      <c r="D3056" t="s">
        <v>11</v>
      </c>
      <c r="E3056">
        <v>2005</v>
      </c>
      <c r="F3056" t="s">
        <v>22</v>
      </c>
      <c r="G3056" t="s">
        <v>15</v>
      </c>
      <c r="H3056" s="2">
        <v>46842.53</v>
      </c>
    </row>
    <row r="3057" spans="1:8">
      <c r="A3057" t="s">
        <v>86</v>
      </c>
      <c r="B3057" t="s">
        <v>87</v>
      </c>
      <c r="C3057" t="s">
        <v>25</v>
      </c>
      <c r="D3057" t="s">
        <v>11</v>
      </c>
      <c r="E3057">
        <v>2005</v>
      </c>
      <c r="F3057" t="s">
        <v>12</v>
      </c>
      <c r="G3057" t="s">
        <v>19</v>
      </c>
      <c r="H3057" s="2">
        <v>0</v>
      </c>
    </row>
    <row r="3058" spans="1:8">
      <c r="A3058" t="s">
        <v>86</v>
      </c>
      <c r="B3058" t="s">
        <v>87</v>
      </c>
      <c r="C3058" t="s">
        <v>25</v>
      </c>
      <c r="D3058" t="s">
        <v>11</v>
      </c>
      <c r="E3058">
        <v>2005</v>
      </c>
      <c r="F3058" t="s">
        <v>20</v>
      </c>
      <c r="G3058" t="s">
        <v>15</v>
      </c>
      <c r="H3058" s="2">
        <v>-130.34</v>
      </c>
    </row>
    <row r="3059" spans="1:8">
      <c r="A3059" t="s">
        <v>86</v>
      </c>
      <c r="B3059" t="s">
        <v>87</v>
      </c>
      <c r="C3059" t="s">
        <v>25</v>
      </c>
      <c r="D3059" t="s">
        <v>11</v>
      </c>
      <c r="E3059">
        <v>2005</v>
      </c>
      <c r="F3059" t="s">
        <v>21</v>
      </c>
      <c r="G3059" t="s">
        <v>17</v>
      </c>
      <c r="H3059" s="2">
        <v>733.21</v>
      </c>
    </row>
    <row r="3060" spans="1:8">
      <c r="A3060" t="s">
        <v>86</v>
      </c>
      <c r="B3060" t="s">
        <v>87</v>
      </c>
      <c r="C3060" t="s">
        <v>25</v>
      </c>
      <c r="D3060" t="s">
        <v>11</v>
      </c>
      <c r="E3060">
        <v>2006</v>
      </c>
      <c r="F3060" t="s">
        <v>22</v>
      </c>
      <c r="G3060" t="s">
        <v>19</v>
      </c>
      <c r="H3060" s="2">
        <v>0</v>
      </c>
    </row>
    <row r="3061" spans="1:8">
      <c r="A3061" t="s">
        <v>86</v>
      </c>
      <c r="B3061" t="s">
        <v>87</v>
      </c>
      <c r="C3061" t="s">
        <v>25</v>
      </c>
      <c r="D3061" t="s">
        <v>11</v>
      </c>
      <c r="E3061">
        <v>2006</v>
      </c>
      <c r="F3061" t="s">
        <v>21</v>
      </c>
      <c r="G3061" t="s">
        <v>13</v>
      </c>
      <c r="H3061" s="2">
        <v>67372.78</v>
      </c>
    </row>
    <row r="3062" spans="1:8">
      <c r="A3062" t="s">
        <v>86</v>
      </c>
      <c r="B3062" t="s">
        <v>87</v>
      </c>
      <c r="C3062" t="s">
        <v>25</v>
      </c>
      <c r="D3062" t="s">
        <v>11</v>
      </c>
      <c r="E3062">
        <v>2007</v>
      </c>
      <c r="F3062" t="s">
        <v>22</v>
      </c>
      <c r="G3062" t="s">
        <v>15</v>
      </c>
      <c r="H3062" s="2">
        <v>41136.97</v>
      </c>
    </row>
    <row r="3063" spans="1:8">
      <c r="A3063" t="s">
        <v>86</v>
      </c>
      <c r="B3063" t="s">
        <v>87</v>
      </c>
      <c r="C3063" t="s">
        <v>25</v>
      </c>
      <c r="D3063" t="s">
        <v>11</v>
      </c>
      <c r="E3063">
        <v>2007</v>
      </c>
      <c r="F3063" t="s">
        <v>22</v>
      </c>
      <c r="G3063" t="s">
        <v>19</v>
      </c>
      <c r="H3063" s="2">
        <v>0</v>
      </c>
    </row>
    <row r="3064" spans="1:8">
      <c r="A3064" t="s">
        <v>86</v>
      </c>
      <c r="B3064" t="s">
        <v>87</v>
      </c>
      <c r="C3064" t="s">
        <v>25</v>
      </c>
      <c r="D3064" t="s">
        <v>11</v>
      </c>
      <c r="E3064">
        <v>2007</v>
      </c>
      <c r="F3064" t="s">
        <v>20</v>
      </c>
      <c r="G3064" t="s">
        <v>15</v>
      </c>
      <c r="H3064" s="2">
        <v>-113.79</v>
      </c>
    </row>
    <row r="3065" spans="1:8">
      <c r="A3065" t="s">
        <v>86</v>
      </c>
      <c r="B3065" t="s">
        <v>87</v>
      </c>
      <c r="C3065" t="s">
        <v>25</v>
      </c>
      <c r="D3065" t="s">
        <v>11</v>
      </c>
      <c r="E3065">
        <v>2007</v>
      </c>
      <c r="F3065" t="s">
        <v>20</v>
      </c>
      <c r="G3065" t="s">
        <v>19</v>
      </c>
      <c r="H3065" s="2">
        <v>0</v>
      </c>
    </row>
    <row r="3066" spans="1:8">
      <c r="A3066" t="s">
        <v>86</v>
      </c>
      <c r="B3066" t="s">
        <v>87</v>
      </c>
      <c r="C3066" t="s">
        <v>25</v>
      </c>
      <c r="D3066" t="s">
        <v>11</v>
      </c>
      <c r="E3066">
        <v>2009</v>
      </c>
      <c r="F3066" t="s">
        <v>18</v>
      </c>
      <c r="G3066" t="s">
        <v>13</v>
      </c>
      <c r="H3066" s="2">
        <v>34745.42</v>
      </c>
    </row>
    <row r="3067" spans="1:8">
      <c r="A3067" t="s">
        <v>86</v>
      </c>
      <c r="B3067" t="s">
        <v>87</v>
      </c>
      <c r="C3067" t="s">
        <v>25</v>
      </c>
      <c r="D3067" t="s">
        <v>11</v>
      </c>
      <c r="E3067">
        <v>2009</v>
      </c>
      <c r="F3067" t="s">
        <v>18</v>
      </c>
      <c r="G3067" t="s">
        <v>17</v>
      </c>
      <c r="H3067" s="2">
        <v>2048.6999999999998</v>
      </c>
    </row>
    <row r="3068" spans="1:8">
      <c r="A3068" t="s">
        <v>86</v>
      </c>
      <c r="B3068" t="s">
        <v>87</v>
      </c>
      <c r="C3068" t="s">
        <v>25</v>
      </c>
      <c r="D3068" t="s">
        <v>11</v>
      </c>
      <c r="E3068">
        <v>2009</v>
      </c>
      <c r="F3068" t="s">
        <v>21</v>
      </c>
      <c r="G3068" t="s">
        <v>19</v>
      </c>
      <c r="H3068" s="2">
        <v>0</v>
      </c>
    </row>
    <row r="3069" spans="1:8">
      <c r="A3069" t="s">
        <v>86</v>
      </c>
      <c r="B3069" t="s">
        <v>87</v>
      </c>
      <c r="C3069" t="s">
        <v>25</v>
      </c>
      <c r="D3069" t="s">
        <v>11</v>
      </c>
      <c r="E3069">
        <v>2009</v>
      </c>
      <c r="F3069" t="s">
        <v>16</v>
      </c>
      <c r="G3069" t="s">
        <v>17</v>
      </c>
      <c r="H3069" s="2">
        <v>2786.62</v>
      </c>
    </row>
    <row r="3070" spans="1:8">
      <c r="A3070" t="s">
        <v>86</v>
      </c>
      <c r="B3070" t="s">
        <v>87</v>
      </c>
      <c r="C3070" t="s">
        <v>25</v>
      </c>
      <c r="D3070" t="s">
        <v>11</v>
      </c>
      <c r="E3070">
        <v>2010</v>
      </c>
      <c r="F3070" t="s">
        <v>20</v>
      </c>
      <c r="G3070" t="s">
        <v>17</v>
      </c>
      <c r="H3070" s="2">
        <v>-139.97999999999999</v>
      </c>
    </row>
    <row r="3071" spans="1:8">
      <c r="A3071" t="s">
        <v>86</v>
      </c>
      <c r="B3071" t="s">
        <v>87</v>
      </c>
      <c r="C3071" t="s">
        <v>25</v>
      </c>
      <c r="D3071" t="s">
        <v>11</v>
      </c>
      <c r="E3071">
        <v>2010</v>
      </c>
      <c r="F3071" t="s">
        <v>14</v>
      </c>
      <c r="G3071" t="s">
        <v>19</v>
      </c>
      <c r="H3071" s="2">
        <v>0</v>
      </c>
    </row>
    <row r="3072" spans="1:8">
      <c r="A3072" t="s">
        <v>86</v>
      </c>
      <c r="B3072" t="s">
        <v>87</v>
      </c>
      <c r="C3072" t="s">
        <v>25</v>
      </c>
      <c r="D3072" t="s">
        <v>11</v>
      </c>
      <c r="E3072">
        <v>2011</v>
      </c>
      <c r="F3072" t="s">
        <v>14</v>
      </c>
      <c r="G3072" t="s">
        <v>17</v>
      </c>
      <c r="H3072" s="2">
        <v>1368.98</v>
      </c>
    </row>
    <row r="3073" spans="1:8">
      <c r="A3073" t="s">
        <v>86</v>
      </c>
      <c r="B3073" t="s">
        <v>87</v>
      </c>
      <c r="C3073" t="s">
        <v>25</v>
      </c>
      <c r="D3073" t="s">
        <v>11</v>
      </c>
      <c r="E3073">
        <v>2011</v>
      </c>
      <c r="F3073" t="s">
        <v>21</v>
      </c>
      <c r="G3073" t="s">
        <v>19</v>
      </c>
      <c r="H3073" s="2">
        <v>0</v>
      </c>
    </row>
    <row r="3074" spans="1:8">
      <c r="A3074" t="s">
        <v>86</v>
      </c>
      <c r="B3074" t="s">
        <v>87</v>
      </c>
      <c r="C3074" t="s">
        <v>25</v>
      </c>
      <c r="D3074" t="s">
        <v>11</v>
      </c>
      <c r="E3074">
        <v>2011</v>
      </c>
      <c r="F3074" t="s">
        <v>21</v>
      </c>
      <c r="G3074" t="s">
        <v>17</v>
      </c>
      <c r="H3074" s="2">
        <v>801.32</v>
      </c>
    </row>
    <row r="3075" spans="1:8">
      <c r="A3075" t="s">
        <v>86</v>
      </c>
      <c r="B3075" t="s">
        <v>87</v>
      </c>
      <c r="C3075" t="s">
        <v>25</v>
      </c>
      <c r="D3075" t="s">
        <v>11</v>
      </c>
      <c r="E3075">
        <v>2011</v>
      </c>
      <c r="F3075" t="s">
        <v>16</v>
      </c>
      <c r="G3075" t="s">
        <v>17</v>
      </c>
      <c r="H3075" s="2">
        <v>2872.38</v>
      </c>
    </row>
    <row r="3076" spans="1:8">
      <c r="A3076" t="s">
        <v>86</v>
      </c>
      <c r="B3076" t="s">
        <v>87</v>
      </c>
      <c r="C3076" t="s">
        <v>25</v>
      </c>
      <c r="D3076" t="s">
        <v>11</v>
      </c>
      <c r="E3076">
        <v>2012</v>
      </c>
      <c r="F3076" t="s">
        <v>20</v>
      </c>
      <c r="G3076" t="s">
        <v>15</v>
      </c>
      <c r="H3076" s="2">
        <v>-125.04</v>
      </c>
    </row>
    <row r="3077" spans="1:8">
      <c r="A3077" t="s">
        <v>86</v>
      </c>
      <c r="B3077" t="s">
        <v>87</v>
      </c>
      <c r="C3077" t="s">
        <v>25</v>
      </c>
      <c r="D3077" t="s">
        <v>11</v>
      </c>
      <c r="E3077">
        <v>2012</v>
      </c>
      <c r="F3077" t="s">
        <v>21</v>
      </c>
      <c r="G3077" t="s">
        <v>15</v>
      </c>
      <c r="H3077" s="2">
        <v>1482.68</v>
      </c>
    </row>
    <row r="3078" spans="1:8">
      <c r="A3078" t="s">
        <v>86</v>
      </c>
      <c r="B3078" t="s">
        <v>87</v>
      </c>
      <c r="C3078" t="s">
        <v>25</v>
      </c>
      <c r="D3078" t="s">
        <v>11</v>
      </c>
      <c r="E3078">
        <v>2012</v>
      </c>
      <c r="F3078" t="s">
        <v>21</v>
      </c>
      <c r="G3078" t="s">
        <v>19</v>
      </c>
      <c r="H3078" s="2">
        <v>0</v>
      </c>
    </row>
    <row r="3079" spans="1:8">
      <c r="A3079" t="s">
        <v>86</v>
      </c>
      <c r="B3079" t="s">
        <v>87</v>
      </c>
      <c r="C3079" t="s">
        <v>25</v>
      </c>
      <c r="D3079" t="s">
        <v>11</v>
      </c>
      <c r="E3079">
        <v>2013</v>
      </c>
      <c r="F3079" t="s">
        <v>22</v>
      </c>
      <c r="G3079" t="s">
        <v>15</v>
      </c>
      <c r="H3079" s="2">
        <v>51005.1</v>
      </c>
    </row>
    <row r="3080" spans="1:8">
      <c r="A3080" t="s">
        <v>86</v>
      </c>
      <c r="B3080" t="s">
        <v>87</v>
      </c>
      <c r="C3080" t="s">
        <v>25</v>
      </c>
      <c r="D3080" t="s">
        <v>11</v>
      </c>
      <c r="E3080">
        <v>2013</v>
      </c>
      <c r="F3080" t="s">
        <v>22</v>
      </c>
      <c r="G3080" t="s">
        <v>13</v>
      </c>
      <c r="H3080" s="2">
        <v>7398.97</v>
      </c>
    </row>
    <row r="3081" spans="1:8">
      <c r="A3081" t="s">
        <v>86</v>
      </c>
      <c r="B3081" t="s">
        <v>87</v>
      </c>
      <c r="C3081" t="s">
        <v>25</v>
      </c>
      <c r="D3081" t="s">
        <v>11</v>
      </c>
      <c r="E3081">
        <v>2013</v>
      </c>
      <c r="F3081" t="s">
        <v>20</v>
      </c>
      <c r="G3081" t="s">
        <v>17</v>
      </c>
      <c r="H3081" s="2">
        <v>-143.41</v>
      </c>
    </row>
    <row r="3082" spans="1:8">
      <c r="A3082" t="s">
        <v>86</v>
      </c>
      <c r="B3082" t="s">
        <v>87</v>
      </c>
      <c r="C3082" t="s">
        <v>25</v>
      </c>
      <c r="D3082" t="s">
        <v>11</v>
      </c>
      <c r="E3082">
        <v>2013</v>
      </c>
      <c r="F3082" t="s">
        <v>14</v>
      </c>
      <c r="G3082" t="s">
        <v>17</v>
      </c>
      <c r="H3082" s="2">
        <v>1582.57</v>
      </c>
    </row>
    <row r="3083" spans="1:8">
      <c r="A3083" t="s">
        <v>86</v>
      </c>
      <c r="B3083" t="s">
        <v>87</v>
      </c>
      <c r="C3083" t="s">
        <v>25</v>
      </c>
      <c r="D3083" t="s">
        <v>11</v>
      </c>
      <c r="E3083">
        <v>2013</v>
      </c>
      <c r="F3083" t="s">
        <v>21</v>
      </c>
      <c r="G3083" t="s">
        <v>17</v>
      </c>
      <c r="H3083" s="2">
        <v>802.76</v>
      </c>
    </row>
    <row r="3084" spans="1:8">
      <c r="A3084" t="s">
        <v>86</v>
      </c>
      <c r="B3084" t="s">
        <v>87</v>
      </c>
      <c r="C3084" t="s">
        <v>25</v>
      </c>
      <c r="D3084" t="s">
        <v>11</v>
      </c>
      <c r="E3084">
        <v>2014</v>
      </c>
      <c r="F3084" t="s">
        <v>22</v>
      </c>
      <c r="G3084" t="s">
        <v>13</v>
      </c>
      <c r="H3084" s="2">
        <v>6380.34</v>
      </c>
    </row>
    <row r="3085" spans="1:8">
      <c r="A3085" t="s">
        <v>86</v>
      </c>
      <c r="B3085" t="s">
        <v>87</v>
      </c>
      <c r="C3085" t="s">
        <v>25</v>
      </c>
      <c r="D3085" t="s">
        <v>11</v>
      </c>
      <c r="E3085">
        <v>2014</v>
      </c>
      <c r="F3085" t="s">
        <v>12</v>
      </c>
      <c r="G3085" t="s">
        <v>15</v>
      </c>
      <c r="H3085" s="2">
        <v>3131.44</v>
      </c>
    </row>
    <row r="3086" spans="1:8">
      <c r="A3086" t="s">
        <v>86</v>
      </c>
      <c r="B3086" t="s">
        <v>87</v>
      </c>
      <c r="C3086" t="s">
        <v>25</v>
      </c>
      <c r="D3086" t="s">
        <v>11</v>
      </c>
      <c r="E3086">
        <v>2014</v>
      </c>
      <c r="F3086" t="s">
        <v>21</v>
      </c>
      <c r="G3086" t="s">
        <v>13</v>
      </c>
      <c r="H3086" s="2">
        <v>76594.64</v>
      </c>
    </row>
    <row r="3087" spans="1:8">
      <c r="A3087" t="s">
        <v>86</v>
      </c>
      <c r="B3087" t="s">
        <v>87</v>
      </c>
      <c r="C3087" t="s">
        <v>25</v>
      </c>
      <c r="D3087" t="s">
        <v>11</v>
      </c>
      <c r="E3087">
        <v>2014</v>
      </c>
      <c r="F3087" t="s">
        <v>21</v>
      </c>
      <c r="G3087" t="s">
        <v>17</v>
      </c>
      <c r="H3087" s="2">
        <v>803.26</v>
      </c>
    </row>
    <row r="3088" spans="1:8">
      <c r="A3088" t="s">
        <v>86</v>
      </c>
      <c r="B3088" t="s">
        <v>87</v>
      </c>
      <c r="C3088" t="s">
        <v>25</v>
      </c>
      <c r="D3088" t="s">
        <v>11</v>
      </c>
      <c r="E3088">
        <v>2014</v>
      </c>
      <c r="F3088" t="s">
        <v>16</v>
      </c>
      <c r="G3088" t="s">
        <v>15</v>
      </c>
      <c r="H3088" s="2">
        <v>47077.63</v>
      </c>
    </row>
    <row r="3089" spans="1:8">
      <c r="A3089" t="s">
        <v>86</v>
      </c>
      <c r="B3089" t="s">
        <v>87</v>
      </c>
      <c r="C3089" t="s">
        <v>25</v>
      </c>
      <c r="D3089" t="s">
        <v>11</v>
      </c>
      <c r="E3089">
        <v>2016</v>
      </c>
      <c r="F3089" t="s">
        <v>14</v>
      </c>
      <c r="G3089" t="s">
        <v>17</v>
      </c>
      <c r="H3089" s="2">
        <v>1488.79</v>
      </c>
    </row>
    <row r="3090" spans="1:8">
      <c r="A3090" t="s">
        <v>86</v>
      </c>
      <c r="B3090" t="s">
        <v>87</v>
      </c>
      <c r="C3090" t="s">
        <v>25</v>
      </c>
      <c r="D3090" t="s">
        <v>11</v>
      </c>
      <c r="E3090">
        <v>2016</v>
      </c>
      <c r="F3090" t="s">
        <v>21</v>
      </c>
      <c r="G3090" t="s">
        <v>19</v>
      </c>
      <c r="H3090" s="2">
        <v>0</v>
      </c>
    </row>
    <row r="3091" spans="1:8">
      <c r="A3091" t="s">
        <v>86</v>
      </c>
      <c r="B3091" t="s">
        <v>87</v>
      </c>
      <c r="C3091" t="s">
        <v>25</v>
      </c>
      <c r="D3091" t="s">
        <v>11</v>
      </c>
      <c r="E3091">
        <v>2016</v>
      </c>
      <c r="F3091" t="s">
        <v>16</v>
      </c>
      <c r="G3091" t="s">
        <v>15</v>
      </c>
      <c r="H3091" s="2">
        <v>39950.82</v>
      </c>
    </row>
    <row r="3092" spans="1:8">
      <c r="A3092" t="s">
        <v>86</v>
      </c>
      <c r="B3092" t="s">
        <v>87</v>
      </c>
      <c r="C3092" t="s">
        <v>25</v>
      </c>
      <c r="D3092" t="s">
        <v>11</v>
      </c>
      <c r="E3092">
        <v>2016</v>
      </c>
      <c r="F3092" t="s">
        <v>16</v>
      </c>
      <c r="G3092" t="s">
        <v>17</v>
      </c>
      <c r="H3092" s="2">
        <v>2758.36</v>
      </c>
    </row>
    <row r="3093" spans="1:8">
      <c r="A3093" t="s">
        <v>86</v>
      </c>
      <c r="B3093" t="s">
        <v>87</v>
      </c>
      <c r="C3093" t="s">
        <v>25</v>
      </c>
      <c r="D3093" t="s">
        <v>11</v>
      </c>
      <c r="E3093">
        <v>2017</v>
      </c>
      <c r="F3093" t="s">
        <v>12</v>
      </c>
      <c r="G3093" t="s">
        <v>17</v>
      </c>
      <c r="H3093" s="2">
        <v>1402.57</v>
      </c>
    </row>
    <row r="3094" spans="1:8">
      <c r="A3094" t="s">
        <v>86</v>
      </c>
      <c r="B3094" t="s">
        <v>87</v>
      </c>
      <c r="C3094" t="s">
        <v>25</v>
      </c>
      <c r="D3094" t="s">
        <v>11</v>
      </c>
      <c r="E3094">
        <v>2017</v>
      </c>
      <c r="F3094" t="s">
        <v>14</v>
      </c>
      <c r="G3094" t="s">
        <v>15</v>
      </c>
      <c r="H3094" s="2">
        <v>2037.58</v>
      </c>
    </row>
    <row r="3095" spans="1:8">
      <c r="A3095" t="s">
        <v>86</v>
      </c>
      <c r="B3095" t="s">
        <v>87</v>
      </c>
      <c r="C3095" t="s">
        <v>25</v>
      </c>
      <c r="D3095" t="s">
        <v>11</v>
      </c>
      <c r="E3095">
        <v>2017</v>
      </c>
      <c r="F3095" t="s">
        <v>16</v>
      </c>
      <c r="G3095" t="s">
        <v>13</v>
      </c>
      <c r="H3095" s="2">
        <v>8776.86</v>
      </c>
    </row>
    <row r="3096" spans="1:8">
      <c r="A3096" t="s">
        <v>86</v>
      </c>
      <c r="B3096" t="s">
        <v>87</v>
      </c>
      <c r="C3096" t="s">
        <v>25</v>
      </c>
      <c r="D3096" t="s">
        <v>11</v>
      </c>
      <c r="E3096">
        <v>2017</v>
      </c>
      <c r="F3096" t="s">
        <v>16</v>
      </c>
      <c r="G3096" t="s">
        <v>17</v>
      </c>
      <c r="H3096" s="2">
        <v>2944.8</v>
      </c>
    </row>
    <row r="3097" spans="1:8">
      <c r="A3097" t="s">
        <v>86</v>
      </c>
      <c r="B3097" t="s">
        <v>87</v>
      </c>
      <c r="C3097" t="s">
        <v>25</v>
      </c>
      <c r="D3097" t="s">
        <v>11</v>
      </c>
      <c r="E3097">
        <v>2018</v>
      </c>
      <c r="F3097" t="s">
        <v>18</v>
      </c>
      <c r="G3097" t="s">
        <v>13</v>
      </c>
      <c r="H3097" s="2">
        <v>39816.480000000003</v>
      </c>
    </row>
    <row r="3098" spans="1:8">
      <c r="A3098" t="s">
        <v>86</v>
      </c>
      <c r="B3098" t="s">
        <v>87</v>
      </c>
      <c r="C3098" t="s">
        <v>25</v>
      </c>
      <c r="D3098" t="s">
        <v>11</v>
      </c>
      <c r="E3098">
        <v>2018</v>
      </c>
      <c r="F3098" t="s">
        <v>20</v>
      </c>
      <c r="G3098" t="s">
        <v>17</v>
      </c>
      <c r="H3098" s="2">
        <v>-148.56</v>
      </c>
    </row>
    <row r="3099" spans="1:8">
      <c r="A3099" t="s">
        <v>86</v>
      </c>
      <c r="B3099" t="s">
        <v>87</v>
      </c>
      <c r="C3099" t="s">
        <v>25</v>
      </c>
      <c r="D3099" t="s">
        <v>11</v>
      </c>
      <c r="E3099">
        <v>2019</v>
      </c>
      <c r="F3099" t="s">
        <v>14</v>
      </c>
      <c r="G3099" t="s">
        <v>13</v>
      </c>
      <c r="H3099" s="2">
        <v>69792.23</v>
      </c>
    </row>
    <row r="3100" spans="1:8">
      <c r="A3100" t="s">
        <v>86</v>
      </c>
      <c r="B3100" t="s">
        <v>87</v>
      </c>
      <c r="C3100" t="s">
        <v>25</v>
      </c>
      <c r="D3100" t="s">
        <v>11</v>
      </c>
      <c r="E3100">
        <v>2019</v>
      </c>
      <c r="F3100" t="s">
        <v>21</v>
      </c>
      <c r="G3100" t="s">
        <v>17</v>
      </c>
      <c r="H3100" s="2">
        <v>825.39</v>
      </c>
    </row>
    <row r="3101" spans="1:8">
      <c r="A3101" t="s">
        <v>86</v>
      </c>
      <c r="B3101" t="s">
        <v>87</v>
      </c>
      <c r="C3101" t="s">
        <v>25</v>
      </c>
      <c r="D3101" t="s">
        <v>11</v>
      </c>
      <c r="E3101">
        <v>2020</v>
      </c>
      <c r="F3101" t="s">
        <v>14</v>
      </c>
      <c r="G3101" t="s">
        <v>19</v>
      </c>
      <c r="H3101" s="2">
        <v>0</v>
      </c>
    </row>
    <row r="3102" spans="1:8">
      <c r="A3102" t="s">
        <v>86</v>
      </c>
      <c r="B3102" t="s">
        <v>87</v>
      </c>
      <c r="C3102" t="s">
        <v>25</v>
      </c>
      <c r="D3102" t="s">
        <v>11</v>
      </c>
      <c r="E3102">
        <v>2020</v>
      </c>
      <c r="F3102" t="s">
        <v>21</v>
      </c>
      <c r="G3102" t="s">
        <v>15</v>
      </c>
      <c r="H3102" s="2">
        <v>1818.08</v>
      </c>
    </row>
    <row r="3103" spans="1:8">
      <c r="A3103" t="s">
        <v>86</v>
      </c>
      <c r="B3103" t="s">
        <v>87</v>
      </c>
      <c r="C3103" t="s">
        <v>25</v>
      </c>
      <c r="D3103" t="s">
        <v>11</v>
      </c>
      <c r="E3103">
        <v>2020</v>
      </c>
      <c r="F3103" t="s">
        <v>16</v>
      </c>
      <c r="G3103" t="s">
        <v>13</v>
      </c>
      <c r="H3103" s="2">
        <v>10583.78</v>
      </c>
    </row>
    <row r="3104" spans="1:8">
      <c r="A3104" t="s">
        <v>86</v>
      </c>
      <c r="B3104" t="s">
        <v>87</v>
      </c>
      <c r="C3104" t="s">
        <v>25</v>
      </c>
      <c r="D3104" t="s">
        <v>11</v>
      </c>
      <c r="E3104">
        <v>2021</v>
      </c>
      <c r="F3104" t="s">
        <v>22</v>
      </c>
      <c r="G3104" t="s">
        <v>15</v>
      </c>
      <c r="H3104" s="2">
        <v>43856.87</v>
      </c>
    </row>
    <row r="3105" spans="1:8">
      <c r="A3105" t="s">
        <v>86</v>
      </c>
      <c r="B3105" t="s">
        <v>87</v>
      </c>
      <c r="C3105" t="s">
        <v>25</v>
      </c>
      <c r="D3105" t="s">
        <v>11</v>
      </c>
      <c r="E3105">
        <v>2021</v>
      </c>
      <c r="F3105" t="s">
        <v>18</v>
      </c>
      <c r="G3105" t="s">
        <v>19</v>
      </c>
      <c r="H3105" s="2">
        <v>2018.78</v>
      </c>
    </row>
    <row r="3106" spans="1:8">
      <c r="A3106" t="s">
        <v>86</v>
      </c>
      <c r="B3106" t="s">
        <v>87</v>
      </c>
      <c r="C3106" t="s">
        <v>25</v>
      </c>
      <c r="D3106" t="s">
        <v>11</v>
      </c>
      <c r="E3106">
        <v>2021</v>
      </c>
      <c r="F3106" t="s">
        <v>20</v>
      </c>
      <c r="G3106" t="s">
        <v>13</v>
      </c>
      <c r="H3106" s="2">
        <v>-13484.19</v>
      </c>
    </row>
    <row r="3107" spans="1:8">
      <c r="A3107" t="s">
        <v>86</v>
      </c>
      <c r="B3107" t="s">
        <v>87</v>
      </c>
      <c r="C3107" t="s">
        <v>25</v>
      </c>
      <c r="D3107" t="s">
        <v>11</v>
      </c>
      <c r="E3107">
        <v>2021</v>
      </c>
      <c r="F3107" t="s">
        <v>20</v>
      </c>
      <c r="G3107" t="s">
        <v>19</v>
      </c>
      <c r="H3107" s="2">
        <v>0</v>
      </c>
    </row>
    <row r="3108" spans="1:8">
      <c r="A3108" t="s">
        <v>86</v>
      </c>
      <c r="B3108" t="s">
        <v>87</v>
      </c>
      <c r="C3108" t="s">
        <v>25</v>
      </c>
      <c r="D3108" t="s">
        <v>11</v>
      </c>
      <c r="E3108">
        <v>2021</v>
      </c>
      <c r="F3108" t="s">
        <v>16</v>
      </c>
      <c r="G3108" t="s">
        <v>19</v>
      </c>
      <c r="H3108" s="2">
        <v>0</v>
      </c>
    </row>
    <row r="3109" spans="1:8">
      <c r="A3109" t="s">
        <v>86</v>
      </c>
      <c r="B3109" t="s">
        <v>87</v>
      </c>
      <c r="C3109" t="s">
        <v>25</v>
      </c>
      <c r="D3109" t="s">
        <v>11</v>
      </c>
      <c r="E3109">
        <v>2022</v>
      </c>
      <c r="F3109" t="s">
        <v>12</v>
      </c>
      <c r="G3109" t="s">
        <v>13</v>
      </c>
      <c r="H3109" s="2">
        <v>47784.3</v>
      </c>
    </row>
    <row r="3110" spans="1:8">
      <c r="A3110" t="s">
        <v>86</v>
      </c>
      <c r="B3110" t="s">
        <v>87</v>
      </c>
      <c r="C3110" t="s">
        <v>25</v>
      </c>
      <c r="D3110" t="s">
        <v>11</v>
      </c>
      <c r="E3110">
        <v>2022</v>
      </c>
      <c r="F3110" t="s">
        <v>12</v>
      </c>
      <c r="G3110" t="s">
        <v>17</v>
      </c>
      <c r="H3110" s="2">
        <v>1594.77</v>
      </c>
    </row>
    <row r="3111" spans="1:8">
      <c r="A3111" t="s">
        <v>86</v>
      </c>
      <c r="B3111" t="s">
        <v>87</v>
      </c>
      <c r="C3111" t="s">
        <v>25</v>
      </c>
      <c r="D3111" t="s">
        <v>11</v>
      </c>
      <c r="E3111">
        <v>2022</v>
      </c>
      <c r="F3111" t="s">
        <v>16</v>
      </c>
      <c r="G3111" t="s">
        <v>17</v>
      </c>
      <c r="H3111" s="2">
        <v>3354.63</v>
      </c>
    </row>
    <row r="3112" spans="1:8">
      <c r="A3112" t="s">
        <v>86</v>
      </c>
      <c r="B3112" t="s">
        <v>87</v>
      </c>
      <c r="C3112" t="s">
        <v>25</v>
      </c>
      <c r="D3112" t="s">
        <v>11</v>
      </c>
      <c r="E3112">
        <v>2023</v>
      </c>
      <c r="F3112" t="s">
        <v>22</v>
      </c>
      <c r="G3112" t="s">
        <v>19</v>
      </c>
      <c r="H3112" s="2">
        <v>0</v>
      </c>
    </row>
    <row r="3113" spans="1:8">
      <c r="A3113" t="s">
        <v>86</v>
      </c>
      <c r="B3113" t="s">
        <v>87</v>
      </c>
      <c r="C3113" t="s">
        <v>25</v>
      </c>
      <c r="D3113" t="s">
        <v>11</v>
      </c>
      <c r="E3113">
        <v>2023</v>
      </c>
      <c r="F3113" t="s">
        <v>21</v>
      </c>
      <c r="G3113" t="s">
        <v>19</v>
      </c>
      <c r="H3113" s="2">
        <v>0</v>
      </c>
    </row>
    <row r="3114" spans="1:8">
      <c r="A3114" t="s">
        <v>86</v>
      </c>
      <c r="B3114" t="s">
        <v>87</v>
      </c>
      <c r="C3114" t="s">
        <v>25</v>
      </c>
      <c r="D3114" t="s">
        <v>11</v>
      </c>
      <c r="E3114">
        <v>2023</v>
      </c>
      <c r="F3114" t="s">
        <v>21</v>
      </c>
      <c r="G3114" t="s">
        <v>17</v>
      </c>
      <c r="H3114" s="2">
        <v>947.76</v>
      </c>
    </row>
    <row r="3115" spans="1:8">
      <c r="A3115" t="s">
        <v>86</v>
      </c>
      <c r="B3115" t="s">
        <v>87</v>
      </c>
      <c r="C3115" t="s">
        <v>25</v>
      </c>
      <c r="D3115" t="s">
        <v>11</v>
      </c>
      <c r="E3115">
        <v>2023</v>
      </c>
      <c r="F3115" t="s">
        <v>16</v>
      </c>
      <c r="G3115" t="s">
        <v>19</v>
      </c>
      <c r="H3115" s="2">
        <v>0</v>
      </c>
    </row>
    <row r="3116" spans="1:8">
      <c r="A3116" t="s">
        <v>86</v>
      </c>
      <c r="B3116" t="s">
        <v>87</v>
      </c>
      <c r="C3116" t="s">
        <v>25</v>
      </c>
      <c r="D3116" t="s">
        <v>11</v>
      </c>
      <c r="E3116">
        <v>2024</v>
      </c>
      <c r="F3116" t="s">
        <v>22</v>
      </c>
      <c r="G3116" t="s">
        <v>17</v>
      </c>
      <c r="H3116" s="2">
        <v>14095.34</v>
      </c>
    </row>
    <row r="3117" spans="1:8">
      <c r="A3117" t="s">
        <v>86</v>
      </c>
      <c r="B3117" t="s">
        <v>87</v>
      </c>
      <c r="C3117" t="s">
        <v>25</v>
      </c>
      <c r="D3117" t="s">
        <v>11</v>
      </c>
      <c r="E3117">
        <v>2024</v>
      </c>
      <c r="F3117" t="s">
        <v>20</v>
      </c>
      <c r="G3117" t="s">
        <v>13</v>
      </c>
      <c r="H3117" s="2">
        <v>-14312.89</v>
      </c>
    </row>
    <row r="3118" spans="1:8">
      <c r="A3118" t="s">
        <v>86</v>
      </c>
      <c r="B3118" t="s">
        <v>87</v>
      </c>
      <c r="C3118" t="s">
        <v>25</v>
      </c>
      <c r="D3118" t="s">
        <v>11</v>
      </c>
      <c r="E3118">
        <v>2024</v>
      </c>
      <c r="F3118" t="s">
        <v>14</v>
      </c>
      <c r="G3118" t="s">
        <v>17</v>
      </c>
      <c r="H3118" s="2">
        <v>1496.48</v>
      </c>
    </row>
    <row r="3119" spans="1:8">
      <c r="A3119" t="s">
        <v>88</v>
      </c>
      <c r="B3119" t="s">
        <v>89</v>
      </c>
      <c r="C3119" t="s">
        <v>32</v>
      </c>
      <c r="D3119" t="s">
        <v>33</v>
      </c>
      <c r="E3119">
        <v>1990</v>
      </c>
      <c r="F3119" t="s">
        <v>12</v>
      </c>
      <c r="G3119" t="s">
        <v>15</v>
      </c>
      <c r="H3119" s="2">
        <v>192.72</v>
      </c>
    </row>
    <row r="3120" spans="1:8">
      <c r="A3120" t="s">
        <v>88</v>
      </c>
      <c r="B3120" t="s">
        <v>89</v>
      </c>
      <c r="C3120" t="s">
        <v>32</v>
      </c>
      <c r="D3120" t="s">
        <v>33</v>
      </c>
      <c r="E3120">
        <v>1990</v>
      </c>
      <c r="F3120" t="s">
        <v>12</v>
      </c>
      <c r="G3120" t="s">
        <v>17</v>
      </c>
      <c r="H3120" s="2">
        <v>89.9</v>
      </c>
    </row>
    <row r="3121" spans="1:8">
      <c r="A3121" t="s">
        <v>88</v>
      </c>
      <c r="B3121" t="s">
        <v>89</v>
      </c>
      <c r="C3121" t="s">
        <v>32</v>
      </c>
      <c r="D3121" t="s">
        <v>33</v>
      </c>
      <c r="E3121">
        <v>1991</v>
      </c>
      <c r="F3121" t="s">
        <v>22</v>
      </c>
      <c r="G3121" t="s">
        <v>13</v>
      </c>
      <c r="H3121" s="2">
        <v>861.09</v>
      </c>
    </row>
    <row r="3122" spans="1:8">
      <c r="A3122" t="s">
        <v>88</v>
      </c>
      <c r="B3122" t="s">
        <v>89</v>
      </c>
      <c r="C3122" t="s">
        <v>32</v>
      </c>
      <c r="D3122" t="s">
        <v>33</v>
      </c>
      <c r="E3122">
        <v>1991</v>
      </c>
      <c r="F3122" t="s">
        <v>22</v>
      </c>
      <c r="G3122" t="s">
        <v>19</v>
      </c>
      <c r="H3122" s="2">
        <v>0</v>
      </c>
    </row>
    <row r="3123" spans="1:8">
      <c r="A3123" t="s">
        <v>88</v>
      </c>
      <c r="B3123" t="s">
        <v>89</v>
      </c>
      <c r="C3123" t="s">
        <v>32</v>
      </c>
      <c r="D3123" t="s">
        <v>33</v>
      </c>
      <c r="E3123">
        <v>1993</v>
      </c>
      <c r="F3123" t="s">
        <v>18</v>
      </c>
      <c r="G3123" t="s">
        <v>15</v>
      </c>
      <c r="H3123" s="2">
        <v>85.58</v>
      </c>
    </row>
    <row r="3124" spans="1:8">
      <c r="A3124" t="s">
        <v>88</v>
      </c>
      <c r="B3124" t="s">
        <v>89</v>
      </c>
      <c r="C3124" t="s">
        <v>32</v>
      </c>
      <c r="D3124" t="s">
        <v>33</v>
      </c>
      <c r="E3124">
        <v>1993</v>
      </c>
      <c r="F3124" t="s">
        <v>18</v>
      </c>
      <c r="G3124" t="s">
        <v>13</v>
      </c>
      <c r="H3124" s="2">
        <v>1371.47</v>
      </c>
    </row>
    <row r="3125" spans="1:8">
      <c r="A3125" t="s">
        <v>88</v>
      </c>
      <c r="B3125" t="s">
        <v>89</v>
      </c>
      <c r="C3125" t="s">
        <v>32</v>
      </c>
      <c r="D3125" t="s">
        <v>33</v>
      </c>
      <c r="E3125">
        <v>1993</v>
      </c>
      <c r="F3125" t="s">
        <v>18</v>
      </c>
      <c r="G3125" t="s">
        <v>19</v>
      </c>
      <c r="H3125" s="2">
        <v>89.72</v>
      </c>
    </row>
    <row r="3126" spans="1:8">
      <c r="A3126" t="s">
        <v>88</v>
      </c>
      <c r="B3126" t="s">
        <v>89</v>
      </c>
      <c r="C3126" t="s">
        <v>32</v>
      </c>
      <c r="D3126" t="s">
        <v>33</v>
      </c>
      <c r="E3126">
        <v>1994</v>
      </c>
      <c r="F3126" t="s">
        <v>22</v>
      </c>
      <c r="G3126" t="s">
        <v>17</v>
      </c>
      <c r="H3126" s="2">
        <v>1782.68</v>
      </c>
    </row>
    <row r="3127" spans="1:8">
      <c r="A3127" t="s">
        <v>88</v>
      </c>
      <c r="B3127" t="s">
        <v>89</v>
      </c>
      <c r="C3127" t="s">
        <v>32</v>
      </c>
      <c r="D3127" t="s">
        <v>33</v>
      </c>
      <c r="E3127">
        <v>1994</v>
      </c>
      <c r="F3127" t="s">
        <v>18</v>
      </c>
      <c r="G3127" t="s">
        <v>17</v>
      </c>
      <c r="H3127" s="2">
        <v>84.43</v>
      </c>
    </row>
    <row r="3128" spans="1:8">
      <c r="A3128" t="s">
        <v>88</v>
      </c>
      <c r="B3128" t="s">
        <v>89</v>
      </c>
      <c r="C3128" t="s">
        <v>32</v>
      </c>
      <c r="D3128" t="s">
        <v>33</v>
      </c>
      <c r="E3128">
        <v>1994</v>
      </c>
      <c r="F3128" t="s">
        <v>21</v>
      </c>
      <c r="G3128" t="s">
        <v>13</v>
      </c>
      <c r="H3128" s="2">
        <v>6169.06</v>
      </c>
    </row>
    <row r="3129" spans="1:8">
      <c r="A3129" t="s">
        <v>88</v>
      </c>
      <c r="B3129" t="s">
        <v>89</v>
      </c>
      <c r="C3129" t="s">
        <v>32</v>
      </c>
      <c r="D3129" t="s">
        <v>33</v>
      </c>
      <c r="E3129">
        <v>1995</v>
      </c>
      <c r="F3129" t="s">
        <v>22</v>
      </c>
      <c r="G3129" t="s">
        <v>13</v>
      </c>
      <c r="H3129" s="2">
        <v>882.97</v>
      </c>
    </row>
    <row r="3130" spans="1:8">
      <c r="A3130" t="s">
        <v>88</v>
      </c>
      <c r="B3130" t="s">
        <v>89</v>
      </c>
      <c r="C3130" t="s">
        <v>32</v>
      </c>
      <c r="D3130" t="s">
        <v>33</v>
      </c>
      <c r="E3130">
        <v>1995</v>
      </c>
      <c r="F3130" t="s">
        <v>22</v>
      </c>
      <c r="G3130" t="s">
        <v>19</v>
      </c>
      <c r="H3130" s="2">
        <v>0</v>
      </c>
    </row>
    <row r="3131" spans="1:8">
      <c r="A3131" t="s">
        <v>88</v>
      </c>
      <c r="B3131" t="s">
        <v>89</v>
      </c>
      <c r="C3131" t="s">
        <v>32</v>
      </c>
      <c r="D3131" t="s">
        <v>33</v>
      </c>
      <c r="E3131">
        <v>1995</v>
      </c>
      <c r="F3131" t="s">
        <v>12</v>
      </c>
      <c r="G3131" t="s">
        <v>19</v>
      </c>
      <c r="H3131" s="2">
        <v>0</v>
      </c>
    </row>
    <row r="3132" spans="1:8">
      <c r="A3132" t="s">
        <v>88</v>
      </c>
      <c r="B3132" t="s">
        <v>89</v>
      </c>
      <c r="C3132" t="s">
        <v>32</v>
      </c>
      <c r="D3132" t="s">
        <v>33</v>
      </c>
      <c r="E3132">
        <v>1995</v>
      </c>
      <c r="F3132" t="s">
        <v>14</v>
      </c>
      <c r="G3132" t="s">
        <v>13</v>
      </c>
      <c r="H3132" s="2">
        <v>5873.66</v>
      </c>
    </row>
    <row r="3133" spans="1:8">
      <c r="A3133" t="s">
        <v>88</v>
      </c>
      <c r="B3133" t="s">
        <v>89</v>
      </c>
      <c r="C3133" t="s">
        <v>32</v>
      </c>
      <c r="D3133" t="s">
        <v>33</v>
      </c>
      <c r="E3133">
        <v>1995</v>
      </c>
      <c r="F3133" t="s">
        <v>21</v>
      </c>
      <c r="G3133" t="s">
        <v>17</v>
      </c>
      <c r="H3133" s="2">
        <v>62.97</v>
      </c>
    </row>
    <row r="3134" spans="1:8">
      <c r="A3134" t="s">
        <v>88</v>
      </c>
      <c r="B3134" t="s">
        <v>89</v>
      </c>
      <c r="C3134" t="s">
        <v>32</v>
      </c>
      <c r="D3134" t="s">
        <v>33</v>
      </c>
      <c r="E3134">
        <v>1996</v>
      </c>
      <c r="F3134" t="s">
        <v>12</v>
      </c>
      <c r="G3134" t="s">
        <v>17</v>
      </c>
      <c r="H3134" s="2">
        <v>93.2</v>
      </c>
    </row>
    <row r="3135" spans="1:8">
      <c r="A3135" t="s">
        <v>88</v>
      </c>
      <c r="B3135" t="s">
        <v>89</v>
      </c>
      <c r="C3135" t="s">
        <v>32</v>
      </c>
      <c r="D3135" t="s">
        <v>33</v>
      </c>
      <c r="E3135">
        <v>1996</v>
      </c>
      <c r="F3135" t="s">
        <v>20</v>
      </c>
      <c r="G3135" t="s">
        <v>15</v>
      </c>
      <c r="H3135" s="2">
        <v>-47.45</v>
      </c>
    </row>
    <row r="3136" spans="1:8">
      <c r="A3136" t="s">
        <v>88</v>
      </c>
      <c r="B3136" t="s">
        <v>89</v>
      </c>
      <c r="C3136" t="s">
        <v>32</v>
      </c>
      <c r="D3136" t="s">
        <v>33</v>
      </c>
      <c r="E3136">
        <v>1996</v>
      </c>
      <c r="F3136" t="s">
        <v>14</v>
      </c>
      <c r="G3136" t="s">
        <v>15</v>
      </c>
      <c r="H3136" s="2">
        <v>207.63</v>
      </c>
    </row>
    <row r="3137" spans="1:8">
      <c r="A3137" t="s">
        <v>88</v>
      </c>
      <c r="B3137" t="s">
        <v>89</v>
      </c>
      <c r="C3137" t="s">
        <v>32</v>
      </c>
      <c r="D3137" t="s">
        <v>33</v>
      </c>
      <c r="E3137">
        <v>1996</v>
      </c>
      <c r="F3137" t="s">
        <v>16</v>
      </c>
      <c r="G3137" t="s">
        <v>15</v>
      </c>
      <c r="H3137" s="2">
        <v>9225.8700000000008</v>
      </c>
    </row>
    <row r="3138" spans="1:8">
      <c r="A3138" t="s">
        <v>88</v>
      </c>
      <c r="B3138" t="s">
        <v>89</v>
      </c>
      <c r="C3138" t="s">
        <v>32</v>
      </c>
      <c r="D3138" t="s">
        <v>33</v>
      </c>
      <c r="E3138">
        <v>1996</v>
      </c>
      <c r="F3138" t="s">
        <v>16</v>
      </c>
      <c r="G3138" t="s">
        <v>13</v>
      </c>
      <c r="H3138" s="2">
        <v>1600.54</v>
      </c>
    </row>
    <row r="3139" spans="1:8">
      <c r="A3139" t="s">
        <v>88</v>
      </c>
      <c r="B3139" t="s">
        <v>89</v>
      </c>
      <c r="C3139" t="s">
        <v>32</v>
      </c>
      <c r="D3139" t="s">
        <v>33</v>
      </c>
      <c r="E3139">
        <v>1997</v>
      </c>
      <c r="F3139" t="s">
        <v>18</v>
      </c>
      <c r="G3139" t="s">
        <v>19</v>
      </c>
      <c r="H3139" s="2">
        <v>93.09</v>
      </c>
    </row>
    <row r="3140" spans="1:8">
      <c r="A3140" t="s">
        <v>88</v>
      </c>
      <c r="B3140" t="s">
        <v>89</v>
      </c>
      <c r="C3140" t="s">
        <v>32</v>
      </c>
      <c r="D3140" t="s">
        <v>33</v>
      </c>
      <c r="E3140">
        <v>1997</v>
      </c>
      <c r="F3140" t="s">
        <v>14</v>
      </c>
      <c r="G3140" t="s">
        <v>15</v>
      </c>
      <c r="H3140" s="2">
        <v>200.23</v>
      </c>
    </row>
    <row r="3141" spans="1:8">
      <c r="A3141" t="s">
        <v>88</v>
      </c>
      <c r="B3141" t="s">
        <v>89</v>
      </c>
      <c r="C3141" t="s">
        <v>32</v>
      </c>
      <c r="D3141" t="s">
        <v>33</v>
      </c>
      <c r="E3141">
        <v>1998</v>
      </c>
      <c r="F3141" t="s">
        <v>18</v>
      </c>
      <c r="G3141" t="s">
        <v>15</v>
      </c>
      <c r="H3141" s="2">
        <v>92.81</v>
      </c>
    </row>
    <row r="3142" spans="1:8">
      <c r="A3142" t="s">
        <v>88</v>
      </c>
      <c r="B3142" t="s">
        <v>89</v>
      </c>
      <c r="C3142" t="s">
        <v>32</v>
      </c>
      <c r="D3142" t="s">
        <v>33</v>
      </c>
      <c r="E3142">
        <v>1998</v>
      </c>
      <c r="F3142" t="s">
        <v>14</v>
      </c>
      <c r="G3142" t="s">
        <v>15</v>
      </c>
      <c r="H3142" s="2">
        <v>215.76</v>
      </c>
    </row>
    <row r="3143" spans="1:8">
      <c r="A3143" t="s">
        <v>88</v>
      </c>
      <c r="B3143" t="s">
        <v>89</v>
      </c>
      <c r="C3143" t="s">
        <v>32</v>
      </c>
      <c r="D3143" t="s">
        <v>33</v>
      </c>
      <c r="E3143">
        <v>1998</v>
      </c>
      <c r="F3143" t="s">
        <v>14</v>
      </c>
      <c r="G3143" t="s">
        <v>13</v>
      </c>
      <c r="H3143" s="2">
        <v>6559.67</v>
      </c>
    </row>
    <row r="3144" spans="1:8">
      <c r="A3144" t="s">
        <v>88</v>
      </c>
      <c r="B3144" t="s">
        <v>89</v>
      </c>
      <c r="C3144" t="s">
        <v>32</v>
      </c>
      <c r="D3144" t="s">
        <v>33</v>
      </c>
      <c r="E3144">
        <v>1998</v>
      </c>
      <c r="F3144" t="s">
        <v>14</v>
      </c>
      <c r="G3144" t="s">
        <v>19</v>
      </c>
      <c r="H3144" s="2">
        <v>0</v>
      </c>
    </row>
    <row r="3145" spans="1:8">
      <c r="A3145" t="s">
        <v>88</v>
      </c>
      <c r="B3145" t="s">
        <v>89</v>
      </c>
      <c r="C3145" t="s">
        <v>32</v>
      </c>
      <c r="D3145" t="s">
        <v>33</v>
      </c>
      <c r="E3145">
        <v>1998</v>
      </c>
      <c r="F3145" t="s">
        <v>16</v>
      </c>
      <c r="G3145" t="s">
        <v>17</v>
      </c>
      <c r="H3145" s="2">
        <v>709.88</v>
      </c>
    </row>
    <row r="3146" spans="1:8">
      <c r="A3146" t="s">
        <v>88</v>
      </c>
      <c r="B3146" t="s">
        <v>89</v>
      </c>
      <c r="C3146" t="s">
        <v>32</v>
      </c>
      <c r="D3146" t="s">
        <v>33</v>
      </c>
      <c r="E3146">
        <v>1999</v>
      </c>
      <c r="F3146" t="s">
        <v>22</v>
      </c>
      <c r="G3146" t="s">
        <v>17</v>
      </c>
      <c r="H3146" s="2">
        <v>1930.93</v>
      </c>
    </row>
    <row r="3147" spans="1:8">
      <c r="A3147" t="s">
        <v>88</v>
      </c>
      <c r="B3147" t="s">
        <v>89</v>
      </c>
      <c r="C3147" t="s">
        <v>32</v>
      </c>
      <c r="D3147" t="s">
        <v>33</v>
      </c>
      <c r="E3147">
        <v>1999</v>
      </c>
      <c r="F3147" t="s">
        <v>12</v>
      </c>
      <c r="G3147" t="s">
        <v>17</v>
      </c>
      <c r="H3147" s="2">
        <v>120.83</v>
      </c>
    </row>
    <row r="3148" spans="1:8">
      <c r="A3148" t="s">
        <v>88</v>
      </c>
      <c r="B3148" t="s">
        <v>89</v>
      </c>
      <c r="C3148" t="s">
        <v>32</v>
      </c>
      <c r="D3148" t="s">
        <v>33</v>
      </c>
      <c r="E3148">
        <v>1999</v>
      </c>
      <c r="F3148" t="s">
        <v>18</v>
      </c>
      <c r="G3148" t="s">
        <v>13</v>
      </c>
      <c r="H3148" s="2">
        <v>1487.29</v>
      </c>
    </row>
    <row r="3149" spans="1:8">
      <c r="A3149" t="s">
        <v>88</v>
      </c>
      <c r="B3149" t="s">
        <v>89</v>
      </c>
      <c r="C3149" t="s">
        <v>32</v>
      </c>
      <c r="D3149" t="s">
        <v>33</v>
      </c>
      <c r="E3149">
        <v>1999</v>
      </c>
      <c r="F3149" t="s">
        <v>21</v>
      </c>
      <c r="G3149" t="s">
        <v>19</v>
      </c>
      <c r="H3149" s="2">
        <v>0</v>
      </c>
    </row>
    <row r="3150" spans="1:8">
      <c r="A3150" t="s">
        <v>88</v>
      </c>
      <c r="B3150" t="s">
        <v>89</v>
      </c>
      <c r="C3150" t="s">
        <v>32</v>
      </c>
      <c r="D3150" t="s">
        <v>33</v>
      </c>
      <c r="E3150">
        <v>2000</v>
      </c>
      <c r="F3150" t="s">
        <v>20</v>
      </c>
      <c r="G3150" t="s">
        <v>15</v>
      </c>
      <c r="H3150" s="2">
        <v>-62.65</v>
      </c>
    </row>
    <row r="3151" spans="1:8">
      <c r="A3151" t="s">
        <v>88</v>
      </c>
      <c r="B3151" t="s">
        <v>89</v>
      </c>
      <c r="C3151" t="s">
        <v>32</v>
      </c>
      <c r="D3151" t="s">
        <v>33</v>
      </c>
      <c r="E3151">
        <v>2000</v>
      </c>
      <c r="F3151" t="s">
        <v>20</v>
      </c>
      <c r="G3151" t="s">
        <v>13</v>
      </c>
      <c r="H3151" s="2">
        <v>-5822.23</v>
      </c>
    </row>
    <row r="3152" spans="1:8">
      <c r="A3152" t="s">
        <v>88</v>
      </c>
      <c r="B3152" t="s">
        <v>89</v>
      </c>
      <c r="C3152" t="s">
        <v>32</v>
      </c>
      <c r="D3152" t="s">
        <v>33</v>
      </c>
      <c r="E3152">
        <v>2000</v>
      </c>
      <c r="F3152" t="s">
        <v>14</v>
      </c>
      <c r="G3152" t="s">
        <v>17</v>
      </c>
      <c r="H3152" s="2">
        <v>145.46</v>
      </c>
    </row>
    <row r="3153" spans="1:8">
      <c r="A3153" t="s">
        <v>88</v>
      </c>
      <c r="B3153" t="s">
        <v>89</v>
      </c>
      <c r="C3153" t="s">
        <v>32</v>
      </c>
      <c r="D3153" t="s">
        <v>33</v>
      </c>
      <c r="E3153">
        <v>2001</v>
      </c>
      <c r="F3153" t="s">
        <v>20</v>
      </c>
      <c r="G3153" t="s">
        <v>19</v>
      </c>
      <c r="H3153" s="2">
        <v>0</v>
      </c>
    </row>
    <row r="3154" spans="1:8">
      <c r="A3154" t="s">
        <v>88</v>
      </c>
      <c r="B3154" t="s">
        <v>89</v>
      </c>
      <c r="C3154" t="s">
        <v>32</v>
      </c>
      <c r="D3154" t="s">
        <v>33</v>
      </c>
      <c r="E3154">
        <v>2001</v>
      </c>
      <c r="F3154" t="s">
        <v>21</v>
      </c>
      <c r="G3154" t="s">
        <v>15</v>
      </c>
      <c r="H3154" s="2">
        <v>140.38999999999999</v>
      </c>
    </row>
    <row r="3155" spans="1:8">
      <c r="A3155" t="s">
        <v>88</v>
      </c>
      <c r="B3155" t="s">
        <v>89</v>
      </c>
      <c r="C3155" t="s">
        <v>32</v>
      </c>
      <c r="D3155" t="s">
        <v>33</v>
      </c>
      <c r="E3155">
        <v>2001</v>
      </c>
      <c r="F3155" t="s">
        <v>16</v>
      </c>
      <c r="G3155" t="s">
        <v>13</v>
      </c>
      <c r="H3155" s="2">
        <v>2123.4499999999998</v>
      </c>
    </row>
    <row r="3156" spans="1:8">
      <c r="A3156" t="s">
        <v>88</v>
      </c>
      <c r="B3156" t="s">
        <v>89</v>
      </c>
      <c r="C3156" t="s">
        <v>32</v>
      </c>
      <c r="D3156" t="s">
        <v>33</v>
      </c>
      <c r="E3156">
        <v>2002</v>
      </c>
      <c r="F3156" t="s">
        <v>20</v>
      </c>
      <c r="G3156" t="s">
        <v>17</v>
      </c>
      <c r="H3156" s="2">
        <v>-62.79</v>
      </c>
    </row>
    <row r="3157" spans="1:8">
      <c r="A3157" t="s">
        <v>88</v>
      </c>
      <c r="B3157" t="s">
        <v>89</v>
      </c>
      <c r="C3157" t="s">
        <v>32</v>
      </c>
      <c r="D3157" t="s">
        <v>33</v>
      </c>
      <c r="E3157">
        <v>2002</v>
      </c>
      <c r="F3157" t="s">
        <v>14</v>
      </c>
      <c r="G3157" t="s">
        <v>15</v>
      </c>
      <c r="H3157" s="2">
        <v>253.11</v>
      </c>
    </row>
    <row r="3158" spans="1:8">
      <c r="A3158" t="s">
        <v>88</v>
      </c>
      <c r="B3158" t="s">
        <v>89</v>
      </c>
      <c r="C3158" t="s">
        <v>32</v>
      </c>
      <c r="D3158" t="s">
        <v>33</v>
      </c>
      <c r="E3158">
        <v>2002</v>
      </c>
      <c r="F3158" t="s">
        <v>21</v>
      </c>
      <c r="G3158" t="s">
        <v>15</v>
      </c>
      <c r="H3158" s="2">
        <v>167.48</v>
      </c>
    </row>
    <row r="3159" spans="1:8">
      <c r="A3159" t="s">
        <v>88</v>
      </c>
      <c r="B3159" t="s">
        <v>89</v>
      </c>
      <c r="C3159" t="s">
        <v>32</v>
      </c>
      <c r="D3159" t="s">
        <v>33</v>
      </c>
      <c r="E3159">
        <v>2003</v>
      </c>
      <c r="F3159" t="s">
        <v>18</v>
      </c>
      <c r="G3159" t="s">
        <v>15</v>
      </c>
      <c r="H3159" s="2">
        <v>112.38</v>
      </c>
    </row>
    <row r="3160" spans="1:8">
      <c r="A3160" t="s">
        <v>88</v>
      </c>
      <c r="B3160" t="s">
        <v>89</v>
      </c>
      <c r="C3160" t="s">
        <v>32</v>
      </c>
      <c r="D3160" t="s">
        <v>33</v>
      </c>
      <c r="E3160">
        <v>2004</v>
      </c>
      <c r="F3160" t="s">
        <v>12</v>
      </c>
      <c r="G3160" t="s">
        <v>15</v>
      </c>
      <c r="H3160" s="2">
        <v>302.98</v>
      </c>
    </row>
    <row r="3161" spans="1:8">
      <c r="A3161" t="s">
        <v>88</v>
      </c>
      <c r="B3161" t="s">
        <v>89</v>
      </c>
      <c r="C3161" t="s">
        <v>32</v>
      </c>
      <c r="D3161" t="s">
        <v>33</v>
      </c>
      <c r="E3161">
        <v>2004</v>
      </c>
      <c r="F3161" t="s">
        <v>18</v>
      </c>
      <c r="G3161" t="s">
        <v>13</v>
      </c>
      <c r="H3161" s="2">
        <v>1797.24</v>
      </c>
    </row>
    <row r="3162" spans="1:8">
      <c r="A3162" t="s">
        <v>88</v>
      </c>
      <c r="B3162" t="s">
        <v>89</v>
      </c>
      <c r="C3162" t="s">
        <v>32</v>
      </c>
      <c r="D3162" t="s">
        <v>33</v>
      </c>
      <c r="E3162">
        <v>2004</v>
      </c>
      <c r="F3162" t="s">
        <v>21</v>
      </c>
      <c r="G3162" t="s">
        <v>15</v>
      </c>
      <c r="H3162" s="2">
        <v>156.6</v>
      </c>
    </row>
    <row r="3163" spans="1:8">
      <c r="A3163" t="s">
        <v>88</v>
      </c>
      <c r="B3163" t="s">
        <v>89</v>
      </c>
      <c r="C3163" t="s">
        <v>32</v>
      </c>
      <c r="D3163" t="s">
        <v>33</v>
      </c>
      <c r="E3163">
        <v>2004</v>
      </c>
      <c r="F3163" t="s">
        <v>21</v>
      </c>
      <c r="G3163" t="s">
        <v>13</v>
      </c>
      <c r="H3163" s="2">
        <v>7184.97</v>
      </c>
    </row>
    <row r="3164" spans="1:8">
      <c r="A3164" t="s">
        <v>88</v>
      </c>
      <c r="B3164" t="s">
        <v>89</v>
      </c>
      <c r="C3164" t="s">
        <v>32</v>
      </c>
      <c r="D3164" t="s">
        <v>33</v>
      </c>
      <c r="E3164">
        <v>2004</v>
      </c>
      <c r="F3164" t="s">
        <v>21</v>
      </c>
      <c r="G3164" t="s">
        <v>19</v>
      </c>
      <c r="H3164" s="2">
        <v>0</v>
      </c>
    </row>
    <row r="3165" spans="1:8">
      <c r="A3165" t="s">
        <v>88</v>
      </c>
      <c r="B3165" t="s">
        <v>89</v>
      </c>
      <c r="C3165" t="s">
        <v>32</v>
      </c>
      <c r="D3165" t="s">
        <v>33</v>
      </c>
      <c r="E3165">
        <v>2005</v>
      </c>
      <c r="F3165" t="s">
        <v>18</v>
      </c>
      <c r="G3165" t="s">
        <v>17</v>
      </c>
      <c r="H3165" s="2">
        <v>123.62</v>
      </c>
    </row>
    <row r="3166" spans="1:8">
      <c r="A3166" t="s">
        <v>88</v>
      </c>
      <c r="B3166" t="s">
        <v>89</v>
      </c>
      <c r="C3166" t="s">
        <v>32</v>
      </c>
      <c r="D3166" t="s">
        <v>33</v>
      </c>
      <c r="E3166">
        <v>2005</v>
      </c>
      <c r="F3166" t="s">
        <v>20</v>
      </c>
      <c r="G3166" t="s">
        <v>13</v>
      </c>
      <c r="H3166" s="2">
        <v>-6737.89</v>
      </c>
    </row>
    <row r="3167" spans="1:8">
      <c r="A3167" t="s">
        <v>88</v>
      </c>
      <c r="B3167" t="s">
        <v>89</v>
      </c>
      <c r="C3167" t="s">
        <v>32</v>
      </c>
      <c r="D3167" t="s">
        <v>33</v>
      </c>
      <c r="E3167">
        <v>2005</v>
      </c>
      <c r="F3167" t="s">
        <v>14</v>
      </c>
      <c r="G3167" t="s">
        <v>15</v>
      </c>
      <c r="H3167" s="2">
        <v>266.33</v>
      </c>
    </row>
    <row r="3168" spans="1:8">
      <c r="A3168" t="s">
        <v>88</v>
      </c>
      <c r="B3168" t="s">
        <v>89</v>
      </c>
      <c r="C3168" t="s">
        <v>32</v>
      </c>
      <c r="D3168" t="s">
        <v>33</v>
      </c>
      <c r="E3168">
        <v>2006</v>
      </c>
      <c r="F3168" t="s">
        <v>20</v>
      </c>
      <c r="G3168" t="s">
        <v>13</v>
      </c>
      <c r="H3168" s="2">
        <v>-7454.41</v>
      </c>
    </row>
    <row r="3169" spans="1:8">
      <c r="A3169" t="s">
        <v>88</v>
      </c>
      <c r="B3169" t="s">
        <v>89</v>
      </c>
      <c r="C3169" t="s">
        <v>32</v>
      </c>
      <c r="D3169" t="s">
        <v>33</v>
      </c>
      <c r="E3169">
        <v>2006</v>
      </c>
      <c r="F3169" t="s">
        <v>14</v>
      </c>
      <c r="G3169" t="s">
        <v>15</v>
      </c>
      <c r="H3169" s="2">
        <v>278.36</v>
      </c>
    </row>
    <row r="3170" spans="1:8">
      <c r="A3170" t="s">
        <v>88</v>
      </c>
      <c r="B3170" t="s">
        <v>89</v>
      </c>
      <c r="C3170" t="s">
        <v>32</v>
      </c>
      <c r="D3170" t="s">
        <v>33</v>
      </c>
      <c r="E3170">
        <v>2006</v>
      </c>
      <c r="F3170" t="s">
        <v>21</v>
      </c>
      <c r="G3170" t="s">
        <v>19</v>
      </c>
      <c r="H3170" s="2">
        <v>0</v>
      </c>
    </row>
    <row r="3171" spans="1:8">
      <c r="A3171" t="s">
        <v>88</v>
      </c>
      <c r="B3171" t="s">
        <v>89</v>
      </c>
      <c r="C3171" t="s">
        <v>32</v>
      </c>
      <c r="D3171" t="s">
        <v>33</v>
      </c>
      <c r="E3171">
        <v>2007</v>
      </c>
      <c r="F3171" t="s">
        <v>18</v>
      </c>
      <c r="G3171" t="s">
        <v>17</v>
      </c>
      <c r="H3171" s="2">
        <v>125.03</v>
      </c>
    </row>
    <row r="3172" spans="1:8">
      <c r="A3172" t="s">
        <v>88</v>
      </c>
      <c r="B3172" t="s">
        <v>89</v>
      </c>
      <c r="C3172" t="s">
        <v>32</v>
      </c>
      <c r="D3172" t="s">
        <v>33</v>
      </c>
      <c r="E3172">
        <v>2008</v>
      </c>
      <c r="F3172" t="s">
        <v>22</v>
      </c>
      <c r="G3172" t="s">
        <v>15</v>
      </c>
      <c r="H3172" s="2">
        <v>9334.01</v>
      </c>
    </row>
    <row r="3173" spans="1:8">
      <c r="A3173" t="s">
        <v>88</v>
      </c>
      <c r="B3173" t="s">
        <v>89</v>
      </c>
      <c r="C3173" t="s">
        <v>32</v>
      </c>
      <c r="D3173" t="s">
        <v>33</v>
      </c>
      <c r="E3173">
        <v>2009</v>
      </c>
      <c r="F3173" t="s">
        <v>20</v>
      </c>
      <c r="G3173" t="s">
        <v>17</v>
      </c>
      <c r="H3173" s="2">
        <v>-68.37</v>
      </c>
    </row>
    <row r="3174" spans="1:8">
      <c r="A3174" t="s">
        <v>88</v>
      </c>
      <c r="B3174" t="s">
        <v>89</v>
      </c>
      <c r="C3174" t="s">
        <v>32</v>
      </c>
      <c r="D3174" t="s">
        <v>33</v>
      </c>
      <c r="E3174">
        <v>2009</v>
      </c>
      <c r="F3174" t="s">
        <v>14</v>
      </c>
      <c r="G3174" t="s">
        <v>17</v>
      </c>
      <c r="H3174" s="2">
        <v>169.24</v>
      </c>
    </row>
    <row r="3175" spans="1:8">
      <c r="A3175" t="s">
        <v>88</v>
      </c>
      <c r="B3175" t="s">
        <v>89</v>
      </c>
      <c r="C3175" t="s">
        <v>32</v>
      </c>
      <c r="D3175" t="s">
        <v>33</v>
      </c>
      <c r="E3175">
        <v>2010</v>
      </c>
      <c r="F3175" t="s">
        <v>21</v>
      </c>
      <c r="G3175" t="s">
        <v>15</v>
      </c>
      <c r="H3175" s="2">
        <v>213.89</v>
      </c>
    </row>
    <row r="3176" spans="1:8">
      <c r="A3176" t="s">
        <v>88</v>
      </c>
      <c r="B3176" t="s">
        <v>89</v>
      </c>
      <c r="C3176" t="s">
        <v>32</v>
      </c>
      <c r="D3176" t="s">
        <v>33</v>
      </c>
      <c r="E3176">
        <v>2011</v>
      </c>
      <c r="F3176" t="s">
        <v>22</v>
      </c>
      <c r="G3176" t="s">
        <v>15</v>
      </c>
      <c r="H3176" s="2">
        <v>8200.7800000000007</v>
      </c>
    </row>
    <row r="3177" spans="1:8">
      <c r="A3177" t="s">
        <v>88</v>
      </c>
      <c r="B3177" t="s">
        <v>89</v>
      </c>
      <c r="C3177" t="s">
        <v>32</v>
      </c>
      <c r="D3177" t="s">
        <v>33</v>
      </c>
      <c r="E3177">
        <v>2011</v>
      </c>
      <c r="F3177" t="s">
        <v>12</v>
      </c>
      <c r="G3177" t="s">
        <v>15</v>
      </c>
      <c r="H3177" s="2">
        <v>372.88</v>
      </c>
    </row>
    <row r="3178" spans="1:8">
      <c r="A3178" t="s">
        <v>88</v>
      </c>
      <c r="B3178" t="s">
        <v>89</v>
      </c>
      <c r="C3178" t="s">
        <v>32</v>
      </c>
      <c r="D3178" t="s">
        <v>33</v>
      </c>
      <c r="E3178">
        <v>2011</v>
      </c>
      <c r="F3178" t="s">
        <v>12</v>
      </c>
      <c r="G3178" t="s">
        <v>17</v>
      </c>
      <c r="H3178" s="2">
        <v>154.51</v>
      </c>
    </row>
    <row r="3179" spans="1:8">
      <c r="A3179" t="s">
        <v>88</v>
      </c>
      <c r="B3179" t="s">
        <v>89</v>
      </c>
      <c r="C3179" t="s">
        <v>32</v>
      </c>
      <c r="D3179" t="s">
        <v>33</v>
      </c>
      <c r="E3179">
        <v>2011</v>
      </c>
      <c r="F3179" t="s">
        <v>20</v>
      </c>
      <c r="G3179" t="s">
        <v>19</v>
      </c>
      <c r="H3179" s="2">
        <v>0</v>
      </c>
    </row>
    <row r="3180" spans="1:8">
      <c r="A3180" t="s">
        <v>88</v>
      </c>
      <c r="B3180" t="s">
        <v>89</v>
      </c>
      <c r="C3180" t="s">
        <v>32</v>
      </c>
      <c r="D3180" t="s">
        <v>33</v>
      </c>
      <c r="E3180">
        <v>2011</v>
      </c>
      <c r="F3180" t="s">
        <v>16</v>
      </c>
      <c r="G3180" t="s">
        <v>19</v>
      </c>
      <c r="H3180" s="2">
        <v>0</v>
      </c>
    </row>
    <row r="3181" spans="1:8">
      <c r="A3181" t="s">
        <v>88</v>
      </c>
      <c r="B3181" t="s">
        <v>89</v>
      </c>
      <c r="C3181" t="s">
        <v>32</v>
      </c>
      <c r="D3181" t="s">
        <v>33</v>
      </c>
      <c r="E3181">
        <v>2012</v>
      </c>
      <c r="F3181" t="s">
        <v>20</v>
      </c>
      <c r="G3181" t="s">
        <v>15</v>
      </c>
      <c r="H3181" s="2">
        <v>-86.17</v>
      </c>
    </row>
    <row r="3182" spans="1:8">
      <c r="A3182" t="s">
        <v>88</v>
      </c>
      <c r="B3182" t="s">
        <v>89</v>
      </c>
      <c r="C3182" t="s">
        <v>32</v>
      </c>
      <c r="D3182" t="s">
        <v>33</v>
      </c>
      <c r="E3182">
        <v>2012</v>
      </c>
      <c r="F3182" t="s">
        <v>20</v>
      </c>
      <c r="G3182" t="s">
        <v>13</v>
      </c>
      <c r="H3182" s="2">
        <v>-7646.96</v>
      </c>
    </row>
    <row r="3183" spans="1:8">
      <c r="A3183" t="s">
        <v>88</v>
      </c>
      <c r="B3183" t="s">
        <v>89</v>
      </c>
      <c r="C3183" t="s">
        <v>32</v>
      </c>
      <c r="D3183" t="s">
        <v>33</v>
      </c>
      <c r="E3183">
        <v>2012</v>
      </c>
      <c r="F3183" t="s">
        <v>14</v>
      </c>
      <c r="G3183" t="s">
        <v>13</v>
      </c>
      <c r="H3183" s="2">
        <v>9831.42</v>
      </c>
    </row>
    <row r="3184" spans="1:8">
      <c r="A3184" t="s">
        <v>88</v>
      </c>
      <c r="B3184" t="s">
        <v>89</v>
      </c>
      <c r="C3184" t="s">
        <v>32</v>
      </c>
      <c r="D3184" t="s">
        <v>33</v>
      </c>
      <c r="E3184">
        <v>2012</v>
      </c>
      <c r="F3184" t="s">
        <v>14</v>
      </c>
      <c r="G3184" t="s">
        <v>19</v>
      </c>
      <c r="H3184" s="2">
        <v>0</v>
      </c>
    </row>
    <row r="3185" spans="1:8">
      <c r="A3185" t="s">
        <v>88</v>
      </c>
      <c r="B3185" t="s">
        <v>89</v>
      </c>
      <c r="C3185" t="s">
        <v>32</v>
      </c>
      <c r="D3185" t="s">
        <v>33</v>
      </c>
      <c r="E3185">
        <v>2013</v>
      </c>
      <c r="F3185" t="s">
        <v>22</v>
      </c>
      <c r="G3185" t="s">
        <v>17</v>
      </c>
      <c r="H3185" s="2">
        <v>2944.84</v>
      </c>
    </row>
    <row r="3186" spans="1:8">
      <c r="A3186" t="s">
        <v>88</v>
      </c>
      <c r="B3186" t="s">
        <v>89</v>
      </c>
      <c r="C3186" t="s">
        <v>32</v>
      </c>
      <c r="D3186" t="s">
        <v>33</v>
      </c>
      <c r="E3186">
        <v>2013</v>
      </c>
      <c r="F3186" t="s">
        <v>21</v>
      </c>
      <c r="G3186" t="s">
        <v>15</v>
      </c>
      <c r="H3186" s="2">
        <v>202.42</v>
      </c>
    </row>
    <row r="3187" spans="1:8">
      <c r="A3187" t="s">
        <v>88</v>
      </c>
      <c r="B3187" t="s">
        <v>89</v>
      </c>
      <c r="C3187" t="s">
        <v>32</v>
      </c>
      <c r="D3187" t="s">
        <v>33</v>
      </c>
      <c r="E3187">
        <v>2013</v>
      </c>
      <c r="F3187" t="s">
        <v>16</v>
      </c>
      <c r="G3187" t="s">
        <v>13</v>
      </c>
      <c r="H3187" s="2">
        <v>2746.45</v>
      </c>
    </row>
    <row r="3188" spans="1:8">
      <c r="A3188" t="s">
        <v>88</v>
      </c>
      <c r="B3188" t="s">
        <v>89</v>
      </c>
      <c r="C3188" t="s">
        <v>32</v>
      </c>
      <c r="D3188" t="s">
        <v>33</v>
      </c>
      <c r="E3188">
        <v>2014</v>
      </c>
      <c r="F3188" t="s">
        <v>20</v>
      </c>
      <c r="G3188" t="s">
        <v>15</v>
      </c>
      <c r="H3188" s="2">
        <v>-71.430000000000007</v>
      </c>
    </row>
    <row r="3189" spans="1:8">
      <c r="A3189" t="s">
        <v>88</v>
      </c>
      <c r="B3189" t="s">
        <v>89</v>
      </c>
      <c r="C3189" t="s">
        <v>32</v>
      </c>
      <c r="D3189" t="s">
        <v>33</v>
      </c>
      <c r="E3189">
        <v>2014</v>
      </c>
      <c r="F3189" t="s">
        <v>16</v>
      </c>
      <c r="G3189" t="s">
        <v>13</v>
      </c>
      <c r="H3189" s="2">
        <v>2691.36</v>
      </c>
    </row>
    <row r="3190" spans="1:8">
      <c r="A3190" t="s">
        <v>88</v>
      </c>
      <c r="B3190" t="s">
        <v>89</v>
      </c>
      <c r="C3190" t="s">
        <v>32</v>
      </c>
      <c r="D3190" t="s">
        <v>33</v>
      </c>
      <c r="E3190">
        <v>2014</v>
      </c>
      <c r="F3190" t="s">
        <v>16</v>
      </c>
      <c r="G3190" t="s">
        <v>17</v>
      </c>
      <c r="H3190" s="2">
        <v>972.86</v>
      </c>
    </row>
    <row r="3191" spans="1:8">
      <c r="A3191" t="s">
        <v>88</v>
      </c>
      <c r="B3191" t="s">
        <v>89</v>
      </c>
      <c r="C3191" t="s">
        <v>32</v>
      </c>
      <c r="D3191" t="s">
        <v>33</v>
      </c>
      <c r="E3191">
        <v>2015</v>
      </c>
      <c r="F3191" t="s">
        <v>18</v>
      </c>
      <c r="G3191" t="s">
        <v>19</v>
      </c>
      <c r="H3191" s="2">
        <v>161.32</v>
      </c>
    </row>
    <row r="3192" spans="1:8">
      <c r="A3192" t="s">
        <v>88</v>
      </c>
      <c r="B3192" t="s">
        <v>89</v>
      </c>
      <c r="C3192" t="s">
        <v>32</v>
      </c>
      <c r="D3192" t="s">
        <v>33</v>
      </c>
      <c r="E3192">
        <v>2015</v>
      </c>
      <c r="F3192" t="s">
        <v>21</v>
      </c>
      <c r="G3192" t="s">
        <v>19</v>
      </c>
      <c r="H3192" s="2">
        <v>0</v>
      </c>
    </row>
    <row r="3193" spans="1:8">
      <c r="A3193" t="s">
        <v>88</v>
      </c>
      <c r="B3193" t="s">
        <v>89</v>
      </c>
      <c r="C3193" t="s">
        <v>32</v>
      </c>
      <c r="D3193" t="s">
        <v>33</v>
      </c>
      <c r="E3193">
        <v>2015</v>
      </c>
      <c r="F3193" t="s">
        <v>21</v>
      </c>
      <c r="G3193" t="s">
        <v>17</v>
      </c>
      <c r="H3193" s="2">
        <v>106.72</v>
      </c>
    </row>
    <row r="3194" spans="1:8">
      <c r="A3194" t="s">
        <v>88</v>
      </c>
      <c r="B3194" t="s">
        <v>89</v>
      </c>
      <c r="C3194" t="s">
        <v>32</v>
      </c>
      <c r="D3194" t="s">
        <v>33</v>
      </c>
      <c r="E3194">
        <v>2015</v>
      </c>
      <c r="F3194" t="s">
        <v>16</v>
      </c>
      <c r="G3194" t="s">
        <v>13</v>
      </c>
      <c r="H3194" s="2">
        <v>3055.23</v>
      </c>
    </row>
    <row r="3195" spans="1:8">
      <c r="A3195" t="s">
        <v>88</v>
      </c>
      <c r="B3195" t="s">
        <v>89</v>
      </c>
      <c r="C3195" t="s">
        <v>32</v>
      </c>
      <c r="D3195" t="s">
        <v>33</v>
      </c>
      <c r="E3195">
        <v>2016</v>
      </c>
      <c r="F3195" t="s">
        <v>22</v>
      </c>
      <c r="G3195" t="s">
        <v>13</v>
      </c>
      <c r="H3195" s="2">
        <v>1677.26</v>
      </c>
    </row>
    <row r="3196" spans="1:8">
      <c r="A3196" t="s">
        <v>88</v>
      </c>
      <c r="B3196" t="s">
        <v>89</v>
      </c>
      <c r="C3196" t="s">
        <v>32</v>
      </c>
      <c r="D3196" t="s">
        <v>33</v>
      </c>
      <c r="E3196">
        <v>2016</v>
      </c>
      <c r="F3196" t="s">
        <v>18</v>
      </c>
      <c r="G3196" t="s">
        <v>19</v>
      </c>
      <c r="H3196" s="2">
        <v>161.47</v>
      </c>
    </row>
    <row r="3197" spans="1:8">
      <c r="A3197" t="s">
        <v>88</v>
      </c>
      <c r="B3197" t="s">
        <v>89</v>
      </c>
      <c r="C3197" t="s">
        <v>32</v>
      </c>
      <c r="D3197" t="s">
        <v>33</v>
      </c>
      <c r="E3197">
        <v>2016</v>
      </c>
      <c r="F3197" t="s">
        <v>16</v>
      </c>
      <c r="G3197" t="s">
        <v>15</v>
      </c>
      <c r="H3197" s="2">
        <v>18246.689999999999</v>
      </c>
    </row>
    <row r="3198" spans="1:8">
      <c r="A3198" t="s">
        <v>88</v>
      </c>
      <c r="B3198" t="s">
        <v>89</v>
      </c>
      <c r="C3198" t="s">
        <v>32</v>
      </c>
      <c r="D3198" t="s">
        <v>33</v>
      </c>
      <c r="E3198">
        <v>2017</v>
      </c>
      <c r="F3198" t="s">
        <v>22</v>
      </c>
      <c r="G3198" t="s">
        <v>19</v>
      </c>
      <c r="H3198" s="2">
        <v>0</v>
      </c>
    </row>
    <row r="3199" spans="1:8">
      <c r="A3199" t="s">
        <v>88</v>
      </c>
      <c r="B3199" t="s">
        <v>89</v>
      </c>
      <c r="C3199" t="s">
        <v>32</v>
      </c>
      <c r="D3199" t="s">
        <v>33</v>
      </c>
      <c r="E3199">
        <v>2017</v>
      </c>
      <c r="F3199" t="s">
        <v>14</v>
      </c>
      <c r="G3199" t="s">
        <v>19</v>
      </c>
      <c r="H3199" s="2">
        <v>0</v>
      </c>
    </row>
    <row r="3200" spans="1:8">
      <c r="A3200" t="s">
        <v>88</v>
      </c>
      <c r="B3200" t="s">
        <v>89</v>
      </c>
      <c r="C3200" t="s">
        <v>32</v>
      </c>
      <c r="D3200" t="s">
        <v>33</v>
      </c>
      <c r="E3200">
        <v>2017</v>
      </c>
      <c r="F3200" t="s">
        <v>21</v>
      </c>
      <c r="G3200" t="s">
        <v>19</v>
      </c>
      <c r="H3200" s="2">
        <v>0</v>
      </c>
    </row>
    <row r="3201" spans="1:8">
      <c r="A3201" t="s">
        <v>88</v>
      </c>
      <c r="B3201" t="s">
        <v>89</v>
      </c>
      <c r="C3201" t="s">
        <v>32</v>
      </c>
      <c r="D3201" t="s">
        <v>33</v>
      </c>
      <c r="E3201">
        <v>2018</v>
      </c>
      <c r="F3201" t="s">
        <v>22</v>
      </c>
      <c r="G3201" t="s">
        <v>15</v>
      </c>
      <c r="H3201" s="2">
        <v>10869.16</v>
      </c>
    </row>
    <row r="3202" spans="1:8">
      <c r="A3202" t="s">
        <v>88</v>
      </c>
      <c r="B3202" t="s">
        <v>89</v>
      </c>
      <c r="C3202" t="s">
        <v>32</v>
      </c>
      <c r="D3202" t="s">
        <v>33</v>
      </c>
      <c r="E3202">
        <v>2018</v>
      </c>
      <c r="F3202" t="s">
        <v>22</v>
      </c>
      <c r="G3202" t="s">
        <v>17</v>
      </c>
      <c r="H3202" s="2">
        <v>3199.48</v>
      </c>
    </row>
    <row r="3203" spans="1:8">
      <c r="A3203" t="s">
        <v>88</v>
      </c>
      <c r="B3203" t="s">
        <v>89</v>
      </c>
      <c r="C3203" t="s">
        <v>32</v>
      </c>
      <c r="D3203" t="s">
        <v>33</v>
      </c>
      <c r="E3203">
        <v>2018</v>
      </c>
      <c r="F3203" t="s">
        <v>14</v>
      </c>
      <c r="G3203" t="s">
        <v>13</v>
      </c>
      <c r="H3203" s="2">
        <v>10103.11</v>
      </c>
    </row>
    <row r="3204" spans="1:8">
      <c r="A3204" t="s">
        <v>88</v>
      </c>
      <c r="B3204" t="s">
        <v>89</v>
      </c>
      <c r="C3204" t="s">
        <v>32</v>
      </c>
      <c r="D3204" t="s">
        <v>33</v>
      </c>
      <c r="E3204">
        <v>2019</v>
      </c>
      <c r="F3204" t="s">
        <v>22</v>
      </c>
      <c r="G3204" t="s">
        <v>15</v>
      </c>
      <c r="H3204" s="2">
        <v>12555.95</v>
      </c>
    </row>
    <row r="3205" spans="1:8">
      <c r="A3205" t="s">
        <v>88</v>
      </c>
      <c r="B3205" t="s">
        <v>89</v>
      </c>
      <c r="C3205" t="s">
        <v>32</v>
      </c>
      <c r="D3205" t="s">
        <v>33</v>
      </c>
      <c r="E3205">
        <v>2019</v>
      </c>
      <c r="F3205" t="s">
        <v>22</v>
      </c>
      <c r="G3205" t="s">
        <v>19</v>
      </c>
      <c r="H3205" s="2">
        <v>0</v>
      </c>
    </row>
    <row r="3206" spans="1:8">
      <c r="A3206" t="s">
        <v>88</v>
      </c>
      <c r="B3206" t="s">
        <v>89</v>
      </c>
      <c r="C3206" t="s">
        <v>32</v>
      </c>
      <c r="D3206" t="s">
        <v>33</v>
      </c>
      <c r="E3206">
        <v>2019</v>
      </c>
      <c r="F3206" t="s">
        <v>18</v>
      </c>
      <c r="G3206" t="s">
        <v>17</v>
      </c>
      <c r="H3206" s="2">
        <v>162.83000000000001</v>
      </c>
    </row>
    <row r="3207" spans="1:8">
      <c r="A3207" t="s">
        <v>88</v>
      </c>
      <c r="B3207" t="s">
        <v>89</v>
      </c>
      <c r="C3207" t="s">
        <v>32</v>
      </c>
      <c r="D3207" t="s">
        <v>33</v>
      </c>
      <c r="E3207">
        <v>2019</v>
      </c>
      <c r="F3207" t="s">
        <v>20</v>
      </c>
      <c r="G3207" t="s">
        <v>13</v>
      </c>
      <c r="H3207" s="2">
        <v>-8982.52</v>
      </c>
    </row>
    <row r="3208" spans="1:8">
      <c r="A3208" t="s">
        <v>88</v>
      </c>
      <c r="B3208" t="s">
        <v>89</v>
      </c>
      <c r="C3208" t="s">
        <v>32</v>
      </c>
      <c r="D3208" t="s">
        <v>33</v>
      </c>
      <c r="E3208">
        <v>2019</v>
      </c>
      <c r="F3208" t="s">
        <v>14</v>
      </c>
      <c r="G3208" t="s">
        <v>15</v>
      </c>
      <c r="H3208" s="2">
        <v>365.72</v>
      </c>
    </row>
    <row r="3209" spans="1:8">
      <c r="A3209" t="s">
        <v>88</v>
      </c>
      <c r="B3209" t="s">
        <v>89</v>
      </c>
      <c r="C3209" t="s">
        <v>32</v>
      </c>
      <c r="D3209" t="s">
        <v>33</v>
      </c>
      <c r="E3209">
        <v>2019</v>
      </c>
      <c r="F3209" t="s">
        <v>14</v>
      </c>
      <c r="G3209" t="s">
        <v>13</v>
      </c>
      <c r="H3209" s="2">
        <v>11199.66</v>
      </c>
    </row>
    <row r="3210" spans="1:8">
      <c r="A3210" t="s">
        <v>88</v>
      </c>
      <c r="B3210" t="s">
        <v>89</v>
      </c>
      <c r="C3210" t="s">
        <v>32</v>
      </c>
      <c r="D3210" t="s">
        <v>33</v>
      </c>
      <c r="E3210">
        <v>2020</v>
      </c>
      <c r="F3210" t="s">
        <v>22</v>
      </c>
      <c r="G3210" t="s">
        <v>19</v>
      </c>
      <c r="H3210" s="2">
        <v>0</v>
      </c>
    </row>
    <row r="3211" spans="1:8">
      <c r="A3211" t="s">
        <v>88</v>
      </c>
      <c r="B3211" t="s">
        <v>89</v>
      </c>
      <c r="C3211" t="s">
        <v>32</v>
      </c>
      <c r="D3211" t="s">
        <v>33</v>
      </c>
      <c r="E3211">
        <v>2020</v>
      </c>
      <c r="F3211" t="s">
        <v>22</v>
      </c>
      <c r="G3211" t="s">
        <v>17</v>
      </c>
      <c r="H3211" s="2">
        <v>3374.22</v>
      </c>
    </row>
    <row r="3212" spans="1:8">
      <c r="A3212" t="s">
        <v>88</v>
      </c>
      <c r="B3212" t="s">
        <v>89</v>
      </c>
      <c r="C3212" t="s">
        <v>32</v>
      </c>
      <c r="D3212" t="s">
        <v>33</v>
      </c>
      <c r="E3212">
        <v>2020</v>
      </c>
      <c r="F3212" t="s">
        <v>20</v>
      </c>
      <c r="G3212" t="s">
        <v>15</v>
      </c>
      <c r="H3212" s="2">
        <v>-97.79</v>
      </c>
    </row>
    <row r="3213" spans="1:8">
      <c r="A3213" t="s">
        <v>88</v>
      </c>
      <c r="B3213" t="s">
        <v>89</v>
      </c>
      <c r="C3213" t="s">
        <v>32</v>
      </c>
      <c r="D3213" t="s">
        <v>33</v>
      </c>
      <c r="E3213">
        <v>2020</v>
      </c>
      <c r="F3213" t="s">
        <v>14</v>
      </c>
      <c r="G3213" t="s">
        <v>15</v>
      </c>
      <c r="H3213" s="2">
        <v>419.24</v>
      </c>
    </row>
    <row r="3214" spans="1:8">
      <c r="A3214" t="s">
        <v>88</v>
      </c>
      <c r="B3214" t="s">
        <v>89</v>
      </c>
      <c r="C3214" t="s">
        <v>32</v>
      </c>
      <c r="D3214" t="s">
        <v>33</v>
      </c>
      <c r="E3214">
        <v>2020</v>
      </c>
      <c r="F3214" t="s">
        <v>21</v>
      </c>
      <c r="G3214" t="s">
        <v>15</v>
      </c>
      <c r="H3214" s="2">
        <v>237.47</v>
      </c>
    </row>
    <row r="3215" spans="1:8">
      <c r="A3215" t="s">
        <v>88</v>
      </c>
      <c r="B3215" t="s">
        <v>89</v>
      </c>
      <c r="C3215" t="s">
        <v>32</v>
      </c>
      <c r="D3215" t="s">
        <v>33</v>
      </c>
      <c r="E3215">
        <v>2020</v>
      </c>
      <c r="F3215" t="s">
        <v>21</v>
      </c>
      <c r="G3215" t="s">
        <v>13</v>
      </c>
      <c r="H3215" s="2">
        <v>11648.98</v>
      </c>
    </row>
    <row r="3216" spans="1:8">
      <c r="A3216" t="s">
        <v>88</v>
      </c>
      <c r="B3216" t="s">
        <v>89</v>
      </c>
      <c r="C3216" t="s">
        <v>32</v>
      </c>
      <c r="D3216" t="s">
        <v>33</v>
      </c>
      <c r="E3216">
        <v>2021</v>
      </c>
      <c r="F3216" t="s">
        <v>22</v>
      </c>
      <c r="G3216" t="s">
        <v>17</v>
      </c>
      <c r="H3216" s="2">
        <v>3363.09</v>
      </c>
    </row>
    <row r="3217" spans="1:8">
      <c r="A3217" t="s">
        <v>88</v>
      </c>
      <c r="B3217" t="s">
        <v>89</v>
      </c>
      <c r="C3217" t="s">
        <v>32</v>
      </c>
      <c r="D3217" t="s">
        <v>33</v>
      </c>
      <c r="E3217">
        <v>2021</v>
      </c>
      <c r="F3217" t="s">
        <v>12</v>
      </c>
      <c r="G3217" t="s">
        <v>19</v>
      </c>
      <c r="H3217" s="2">
        <v>0</v>
      </c>
    </row>
    <row r="3218" spans="1:8">
      <c r="A3218" t="s">
        <v>88</v>
      </c>
      <c r="B3218" t="s">
        <v>89</v>
      </c>
      <c r="C3218" t="s">
        <v>32</v>
      </c>
      <c r="D3218" t="s">
        <v>33</v>
      </c>
      <c r="E3218">
        <v>2022</v>
      </c>
      <c r="F3218" t="s">
        <v>22</v>
      </c>
      <c r="G3218" t="s">
        <v>15</v>
      </c>
      <c r="H3218" s="2">
        <v>11548.93</v>
      </c>
    </row>
    <row r="3219" spans="1:8">
      <c r="A3219" t="s">
        <v>88</v>
      </c>
      <c r="B3219" t="s">
        <v>89</v>
      </c>
      <c r="C3219" t="s">
        <v>32</v>
      </c>
      <c r="D3219" t="s">
        <v>33</v>
      </c>
      <c r="E3219">
        <v>2022</v>
      </c>
      <c r="F3219" t="s">
        <v>20</v>
      </c>
      <c r="G3219" t="s">
        <v>13</v>
      </c>
      <c r="H3219" s="2">
        <v>-9110.6</v>
      </c>
    </row>
    <row r="3220" spans="1:8">
      <c r="A3220" t="s">
        <v>88</v>
      </c>
      <c r="B3220" t="s">
        <v>89</v>
      </c>
      <c r="C3220" t="s">
        <v>32</v>
      </c>
      <c r="D3220" t="s">
        <v>33</v>
      </c>
      <c r="E3220">
        <v>2022</v>
      </c>
      <c r="F3220" t="s">
        <v>20</v>
      </c>
      <c r="G3220" t="s">
        <v>19</v>
      </c>
      <c r="H3220" s="2">
        <v>0</v>
      </c>
    </row>
    <row r="3221" spans="1:8">
      <c r="A3221" t="s">
        <v>88</v>
      </c>
      <c r="B3221" t="s">
        <v>89</v>
      </c>
      <c r="C3221" t="s">
        <v>32</v>
      </c>
      <c r="D3221" t="s">
        <v>33</v>
      </c>
      <c r="E3221">
        <v>2022</v>
      </c>
      <c r="F3221" t="s">
        <v>16</v>
      </c>
      <c r="G3221" t="s">
        <v>15</v>
      </c>
      <c r="H3221" s="2">
        <v>18233.71</v>
      </c>
    </row>
    <row r="3222" spans="1:8">
      <c r="A3222" t="s">
        <v>88</v>
      </c>
      <c r="B3222" t="s">
        <v>89</v>
      </c>
      <c r="C3222" t="s">
        <v>32</v>
      </c>
      <c r="D3222" t="s">
        <v>33</v>
      </c>
      <c r="E3222">
        <v>2023</v>
      </c>
      <c r="F3222" t="s">
        <v>12</v>
      </c>
      <c r="G3222" t="s">
        <v>15</v>
      </c>
      <c r="H3222" s="2">
        <v>468.01</v>
      </c>
    </row>
    <row r="3223" spans="1:8">
      <c r="A3223" t="s">
        <v>88</v>
      </c>
      <c r="B3223" t="s">
        <v>89</v>
      </c>
      <c r="C3223" t="s">
        <v>32</v>
      </c>
      <c r="D3223" t="s">
        <v>33</v>
      </c>
      <c r="E3223">
        <v>2023</v>
      </c>
      <c r="F3223" t="s">
        <v>20</v>
      </c>
      <c r="G3223" t="s">
        <v>15</v>
      </c>
      <c r="H3223" s="2">
        <v>-103.89</v>
      </c>
    </row>
    <row r="3224" spans="1:8">
      <c r="A3224" t="s">
        <v>88</v>
      </c>
      <c r="B3224" t="s">
        <v>89</v>
      </c>
      <c r="C3224" t="s">
        <v>32</v>
      </c>
      <c r="D3224" t="s">
        <v>33</v>
      </c>
      <c r="E3224">
        <v>2023</v>
      </c>
      <c r="F3224" t="s">
        <v>20</v>
      </c>
      <c r="G3224" t="s">
        <v>13</v>
      </c>
      <c r="H3224" s="2">
        <v>-9370.48</v>
      </c>
    </row>
    <row r="3225" spans="1:8">
      <c r="A3225" t="s">
        <v>88</v>
      </c>
      <c r="B3225" t="s">
        <v>89</v>
      </c>
      <c r="C3225" t="s">
        <v>32</v>
      </c>
      <c r="D3225" t="s">
        <v>33</v>
      </c>
      <c r="E3225">
        <v>2023</v>
      </c>
      <c r="F3225" t="s">
        <v>14</v>
      </c>
      <c r="G3225" t="s">
        <v>17</v>
      </c>
      <c r="H3225" s="2">
        <v>259.27</v>
      </c>
    </row>
    <row r="3226" spans="1:8">
      <c r="A3226" t="s">
        <v>88</v>
      </c>
      <c r="B3226" t="s">
        <v>89</v>
      </c>
      <c r="C3226" t="s">
        <v>32</v>
      </c>
      <c r="D3226" t="s">
        <v>33</v>
      </c>
      <c r="E3226">
        <v>2024</v>
      </c>
      <c r="F3226" t="s">
        <v>22</v>
      </c>
      <c r="G3226" t="s">
        <v>15</v>
      </c>
      <c r="H3226" s="2">
        <v>12466.8</v>
      </c>
    </row>
    <row r="3227" spans="1:8">
      <c r="A3227" t="s">
        <v>88</v>
      </c>
      <c r="B3227" t="s">
        <v>89</v>
      </c>
      <c r="C3227" t="s">
        <v>32</v>
      </c>
      <c r="D3227" t="s">
        <v>33</v>
      </c>
      <c r="E3227">
        <v>2024</v>
      </c>
      <c r="F3227" t="s">
        <v>14</v>
      </c>
      <c r="G3227" t="s">
        <v>19</v>
      </c>
      <c r="H3227" s="2">
        <v>0</v>
      </c>
    </row>
    <row r="3228" spans="1:8">
      <c r="A3228" t="s">
        <v>90</v>
      </c>
      <c r="B3228" t="s">
        <v>91</v>
      </c>
      <c r="C3228" t="s">
        <v>51</v>
      </c>
      <c r="D3228" t="s">
        <v>29</v>
      </c>
      <c r="E3228">
        <v>1990</v>
      </c>
      <c r="F3228" t="s">
        <v>12</v>
      </c>
      <c r="G3228" t="s">
        <v>17</v>
      </c>
      <c r="H3228" s="2">
        <v>1076.76</v>
      </c>
    </row>
    <row r="3229" spans="1:8">
      <c r="A3229" t="s">
        <v>90</v>
      </c>
      <c r="B3229" t="s">
        <v>91</v>
      </c>
      <c r="C3229" t="s">
        <v>51</v>
      </c>
      <c r="D3229" t="s">
        <v>29</v>
      </c>
      <c r="E3229">
        <v>1990</v>
      </c>
      <c r="F3229" t="s">
        <v>21</v>
      </c>
      <c r="G3229" t="s">
        <v>19</v>
      </c>
      <c r="H3229" s="2">
        <v>0</v>
      </c>
    </row>
    <row r="3230" spans="1:8">
      <c r="A3230" t="s">
        <v>90</v>
      </c>
      <c r="B3230" t="s">
        <v>91</v>
      </c>
      <c r="C3230" t="s">
        <v>51</v>
      </c>
      <c r="D3230" t="s">
        <v>29</v>
      </c>
      <c r="E3230">
        <v>1990</v>
      </c>
      <c r="F3230" t="s">
        <v>16</v>
      </c>
      <c r="G3230" t="s">
        <v>15</v>
      </c>
      <c r="H3230" s="2">
        <v>30520.3</v>
      </c>
    </row>
    <row r="3231" spans="1:8">
      <c r="A3231" t="s">
        <v>90</v>
      </c>
      <c r="B3231" t="s">
        <v>91</v>
      </c>
      <c r="C3231" t="s">
        <v>51</v>
      </c>
      <c r="D3231" t="s">
        <v>29</v>
      </c>
      <c r="E3231">
        <v>1990</v>
      </c>
      <c r="F3231" t="s">
        <v>16</v>
      </c>
      <c r="G3231" t="s">
        <v>13</v>
      </c>
      <c r="H3231" s="2">
        <v>5458.13</v>
      </c>
    </row>
    <row r="3232" spans="1:8">
      <c r="A3232" t="s">
        <v>90</v>
      </c>
      <c r="B3232" t="s">
        <v>91</v>
      </c>
      <c r="C3232" t="s">
        <v>51</v>
      </c>
      <c r="D3232" t="s">
        <v>29</v>
      </c>
      <c r="E3232">
        <v>1990</v>
      </c>
      <c r="F3232" t="s">
        <v>16</v>
      </c>
      <c r="G3232" t="s">
        <v>19</v>
      </c>
      <c r="H3232" s="2">
        <v>0</v>
      </c>
    </row>
    <row r="3233" spans="1:8">
      <c r="A3233" t="s">
        <v>90</v>
      </c>
      <c r="B3233" t="s">
        <v>91</v>
      </c>
      <c r="C3233" t="s">
        <v>51</v>
      </c>
      <c r="D3233" t="s">
        <v>29</v>
      </c>
      <c r="E3233">
        <v>1991</v>
      </c>
      <c r="F3233" t="s">
        <v>22</v>
      </c>
      <c r="G3233" t="s">
        <v>13</v>
      </c>
      <c r="H3233" s="2">
        <v>14861.24</v>
      </c>
    </row>
    <row r="3234" spans="1:8">
      <c r="A3234" t="s">
        <v>90</v>
      </c>
      <c r="B3234" t="s">
        <v>91</v>
      </c>
      <c r="C3234" t="s">
        <v>51</v>
      </c>
      <c r="D3234" t="s">
        <v>29</v>
      </c>
      <c r="E3234">
        <v>1991</v>
      </c>
      <c r="F3234" t="s">
        <v>14</v>
      </c>
      <c r="G3234" t="s">
        <v>17</v>
      </c>
      <c r="H3234" s="2">
        <v>370.73</v>
      </c>
    </row>
    <row r="3235" spans="1:8">
      <c r="A3235" t="s">
        <v>90</v>
      </c>
      <c r="B3235" t="s">
        <v>91</v>
      </c>
      <c r="C3235" t="s">
        <v>51</v>
      </c>
      <c r="D3235" t="s">
        <v>29</v>
      </c>
      <c r="E3235">
        <v>1992</v>
      </c>
      <c r="F3235" t="s">
        <v>22</v>
      </c>
      <c r="G3235" t="s">
        <v>15</v>
      </c>
      <c r="H3235" s="2">
        <v>111905.55</v>
      </c>
    </row>
    <row r="3236" spans="1:8">
      <c r="A3236" t="s">
        <v>90</v>
      </c>
      <c r="B3236" t="s">
        <v>91</v>
      </c>
      <c r="C3236" t="s">
        <v>51</v>
      </c>
      <c r="D3236" t="s">
        <v>29</v>
      </c>
      <c r="E3236">
        <v>1992</v>
      </c>
      <c r="F3236" t="s">
        <v>14</v>
      </c>
      <c r="G3236" t="s">
        <v>15</v>
      </c>
      <c r="H3236" s="2">
        <v>586.36</v>
      </c>
    </row>
    <row r="3237" spans="1:8">
      <c r="A3237" t="s">
        <v>90</v>
      </c>
      <c r="B3237" t="s">
        <v>91</v>
      </c>
      <c r="C3237" t="s">
        <v>51</v>
      </c>
      <c r="D3237" t="s">
        <v>29</v>
      </c>
      <c r="E3237">
        <v>1992</v>
      </c>
      <c r="F3237" t="s">
        <v>16</v>
      </c>
      <c r="G3237" t="s">
        <v>19</v>
      </c>
      <c r="H3237" s="2">
        <v>0</v>
      </c>
    </row>
    <row r="3238" spans="1:8">
      <c r="A3238" t="s">
        <v>90</v>
      </c>
      <c r="B3238" t="s">
        <v>91</v>
      </c>
      <c r="C3238" t="s">
        <v>51</v>
      </c>
      <c r="D3238" t="s">
        <v>29</v>
      </c>
      <c r="E3238">
        <v>1993</v>
      </c>
      <c r="F3238" t="s">
        <v>22</v>
      </c>
      <c r="G3238" t="s">
        <v>15</v>
      </c>
      <c r="H3238" s="2">
        <v>84546.13</v>
      </c>
    </row>
    <row r="3239" spans="1:8">
      <c r="A3239" t="s">
        <v>90</v>
      </c>
      <c r="B3239" t="s">
        <v>91</v>
      </c>
      <c r="C3239" t="s">
        <v>51</v>
      </c>
      <c r="D3239" t="s">
        <v>29</v>
      </c>
      <c r="E3239">
        <v>1993</v>
      </c>
      <c r="F3239" t="s">
        <v>22</v>
      </c>
      <c r="G3239" t="s">
        <v>13</v>
      </c>
      <c r="H3239" s="2">
        <v>11921.75</v>
      </c>
    </row>
    <row r="3240" spans="1:8">
      <c r="A3240" t="s">
        <v>90</v>
      </c>
      <c r="B3240" t="s">
        <v>91</v>
      </c>
      <c r="C3240" t="s">
        <v>51</v>
      </c>
      <c r="D3240" t="s">
        <v>29</v>
      </c>
      <c r="E3240">
        <v>1994</v>
      </c>
      <c r="F3240" t="s">
        <v>16</v>
      </c>
      <c r="G3240" t="s">
        <v>13</v>
      </c>
      <c r="H3240" s="2">
        <v>5294.12</v>
      </c>
    </row>
    <row r="3241" spans="1:8">
      <c r="A3241" t="s">
        <v>90</v>
      </c>
      <c r="B3241" t="s">
        <v>91</v>
      </c>
      <c r="C3241" t="s">
        <v>51</v>
      </c>
      <c r="D3241" t="s">
        <v>29</v>
      </c>
      <c r="E3241">
        <v>1995</v>
      </c>
      <c r="F3241" t="s">
        <v>22</v>
      </c>
      <c r="G3241" t="s">
        <v>15</v>
      </c>
      <c r="H3241" s="2">
        <v>119048.15</v>
      </c>
    </row>
    <row r="3242" spans="1:8">
      <c r="A3242" t="s">
        <v>90</v>
      </c>
      <c r="B3242" t="s">
        <v>91</v>
      </c>
      <c r="C3242" t="s">
        <v>51</v>
      </c>
      <c r="D3242" t="s">
        <v>29</v>
      </c>
      <c r="E3242">
        <v>1995</v>
      </c>
      <c r="F3242" t="s">
        <v>12</v>
      </c>
      <c r="G3242" t="s">
        <v>15</v>
      </c>
      <c r="H3242" s="2">
        <v>2939.04</v>
      </c>
    </row>
    <row r="3243" spans="1:8">
      <c r="A3243" t="s">
        <v>90</v>
      </c>
      <c r="B3243" t="s">
        <v>91</v>
      </c>
      <c r="C3243" t="s">
        <v>51</v>
      </c>
      <c r="D3243" t="s">
        <v>29</v>
      </c>
      <c r="E3243">
        <v>1995</v>
      </c>
      <c r="F3243" t="s">
        <v>12</v>
      </c>
      <c r="G3243" t="s">
        <v>17</v>
      </c>
      <c r="H3243" s="2">
        <v>1221.2</v>
      </c>
    </row>
    <row r="3244" spans="1:8">
      <c r="A3244" t="s">
        <v>90</v>
      </c>
      <c r="B3244" t="s">
        <v>91</v>
      </c>
      <c r="C3244" t="s">
        <v>51</v>
      </c>
      <c r="D3244" t="s">
        <v>29</v>
      </c>
      <c r="E3244">
        <v>1995</v>
      </c>
      <c r="F3244" t="s">
        <v>20</v>
      </c>
      <c r="G3244" t="s">
        <v>17</v>
      </c>
      <c r="H3244" s="2">
        <v>-625.85</v>
      </c>
    </row>
    <row r="3245" spans="1:8">
      <c r="A3245" t="s">
        <v>90</v>
      </c>
      <c r="B3245" t="s">
        <v>91</v>
      </c>
      <c r="C3245" t="s">
        <v>51</v>
      </c>
      <c r="D3245" t="s">
        <v>29</v>
      </c>
      <c r="E3245">
        <v>1995</v>
      </c>
      <c r="F3245" t="s">
        <v>21</v>
      </c>
      <c r="G3245" t="s">
        <v>13</v>
      </c>
      <c r="H3245" s="2">
        <v>146073.10999999999</v>
      </c>
    </row>
    <row r="3246" spans="1:8">
      <c r="A3246" t="s">
        <v>90</v>
      </c>
      <c r="B3246" t="s">
        <v>91</v>
      </c>
      <c r="C3246" t="s">
        <v>51</v>
      </c>
      <c r="D3246" t="s">
        <v>29</v>
      </c>
      <c r="E3246">
        <v>1995</v>
      </c>
      <c r="F3246" t="s">
        <v>21</v>
      </c>
      <c r="G3246" t="s">
        <v>17</v>
      </c>
      <c r="H3246" s="2">
        <v>1455.23</v>
      </c>
    </row>
    <row r="3247" spans="1:8">
      <c r="A3247" t="s">
        <v>90</v>
      </c>
      <c r="B3247" t="s">
        <v>91</v>
      </c>
      <c r="C3247" t="s">
        <v>51</v>
      </c>
      <c r="D3247" t="s">
        <v>29</v>
      </c>
      <c r="E3247">
        <v>1996</v>
      </c>
      <c r="F3247" t="s">
        <v>18</v>
      </c>
      <c r="G3247" t="s">
        <v>15</v>
      </c>
      <c r="H3247" s="2">
        <v>2177.67</v>
      </c>
    </row>
    <row r="3248" spans="1:8">
      <c r="A3248" t="s">
        <v>90</v>
      </c>
      <c r="B3248" t="s">
        <v>91</v>
      </c>
      <c r="C3248" t="s">
        <v>51</v>
      </c>
      <c r="D3248" t="s">
        <v>29</v>
      </c>
      <c r="E3248">
        <v>1997</v>
      </c>
      <c r="F3248" t="s">
        <v>12</v>
      </c>
      <c r="G3248" t="s">
        <v>19</v>
      </c>
      <c r="H3248" s="2">
        <v>0</v>
      </c>
    </row>
    <row r="3249" spans="1:8">
      <c r="A3249" t="s">
        <v>90</v>
      </c>
      <c r="B3249" t="s">
        <v>91</v>
      </c>
      <c r="C3249" t="s">
        <v>51</v>
      </c>
      <c r="D3249" t="s">
        <v>29</v>
      </c>
      <c r="E3249">
        <v>1997</v>
      </c>
      <c r="F3249" t="s">
        <v>14</v>
      </c>
      <c r="G3249" t="s">
        <v>13</v>
      </c>
      <c r="H3249" s="2">
        <v>19035.330000000002</v>
      </c>
    </row>
    <row r="3250" spans="1:8">
      <c r="A3250" t="s">
        <v>90</v>
      </c>
      <c r="B3250" t="s">
        <v>91</v>
      </c>
      <c r="C3250" t="s">
        <v>51</v>
      </c>
      <c r="D3250" t="s">
        <v>29</v>
      </c>
      <c r="E3250">
        <v>1997</v>
      </c>
      <c r="F3250" t="s">
        <v>16</v>
      </c>
      <c r="G3250" t="s">
        <v>19</v>
      </c>
      <c r="H3250" s="2">
        <v>0</v>
      </c>
    </row>
    <row r="3251" spans="1:8">
      <c r="A3251" t="s">
        <v>90</v>
      </c>
      <c r="B3251" t="s">
        <v>91</v>
      </c>
      <c r="C3251" t="s">
        <v>51</v>
      </c>
      <c r="D3251" t="s">
        <v>29</v>
      </c>
      <c r="E3251">
        <v>1998</v>
      </c>
      <c r="F3251" t="s">
        <v>21</v>
      </c>
      <c r="G3251" t="s">
        <v>15</v>
      </c>
      <c r="H3251" s="2">
        <v>2855.77</v>
      </c>
    </row>
    <row r="3252" spans="1:8">
      <c r="A3252" t="s">
        <v>90</v>
      </c>
      <c r="B3252" t="s">
        <v>91</v>
      </c>
      <c r="C3252" t="s">
        <v>51</v>
      </c>
      <c r="D3252" t="s">
        <v>29</v>
      </c>
      <c r="E3252">
        <v>1998</v>
      </c>
      <c r="F3252" t="s">
        <v>16</v>
      </c>
      <c r="G3252" t="s">
        <v>13</v>
      </c>
      <c r="H3252" s="2">
        <v>5377.43</v>
      </c>
    </row>
    <row r="3253" spans="1:8">
      <c r="A3253" t="s">
        <v>90</v>
      </c>
      <c r="B3253" t="s">
        <v>91</v>
      </c>
      <c r="C3253" t="s">
        <v>51</v>
      </c>
      <c r="D3253" t="s">
        <v>29</v>
      </c>
      <c r="E3253">
        <v>1999</v>
      </c>
      <c r="F3253" t="s">
        <v>12</v>
      </c>
      <c r="G3253" t="s">
        <v>17</v>
      </c>
      <c r="H3253" s="2">
        <v>1181.1199999999999</v>
      </c>
    </row>
    <row r="3254" spans="1:8">
      <c r="A3254" t="s">
        <v>90</v>
      </c>
      <c r="B3254" t="s">
        <v>91</v>
      </c>
      <c r="C3254" t="s">
        <v>51</v>
      </c>
      <c r="D3254" t="s">
        <v>29</v>
      </c>
      <c r="E3254">
        <v>1999</v>
      </c>
      <c r="F3254" t="s">
        <v>20</v>
      </c>
      <c r="G3254" t="s">
        <v>19</v>
      </c>
      <c r="H3254" s="2">
        <v>0</v>
      </c>
    </row>
    <row r="3255" spans="1:8">
      <c r="A3255" t="s">
        <v>90</v>
      </c>
      <c r="B3255" t="s">
        <v>91</v>
      </c>
      <c r="C3255" t="s">
        <v>51</v>
      </c>
      <c r="D3255" t="s">
        <v>29</v>
      </c>
      <c r="E3255">
        <v>1999</v>
      </c>
      <c r="F3255" t="s">
        <v>14</v>
      </c>
      <c r="G3255" t="s">
        <v>13</v>
      </c>
      <c r="H3255" s="2">
        <v>16582.97</v>
      </c>
    </row>
    <row r="3256" spans="1:8">
      <c r="A3256" t="s">
        <v>90</v>
      </c>
      <c r="B3256" t="s">
        <v>91</v>
      </c>
      <c r="C3256" t="s">
        <v>51</v>
      </c>
      <c r="D3256" t="s">
        <v>29</v>
      </c>
      <c r="E3256">
        <v>1999</v>
      </c>
      <c r="F3256" t="s">
        <v>21</v>
      </c>
      <c r="G3256" t="s">
        <v>13</v>
      </c>
      <c r="H3256" s="2">
        <v>126432.24</v>
      </c>
    </row>
    <row r="3257" spans="1:8">
      <c r="A3257" t="s">
        <v>90</v>
      </c>
      <c r="B3257" t="s">
        <v>91</v>
      </c>
      <c r="C3257" t="s">
        <v>51</v>
      </c>
      <c r="D3257" t="s">
        <v>29</v>
      </c>
      <c r="E3257">
        <v>2000</v>
      </c>
      <c r="F3257" t="s">
        <v>12</v>
      </c>
      <c r="G3257" t="s">
        <v>15</v>
      </c>
      <c r="H3257" s="2">
        <v>2803.29</v>
      </c>
    </row>
    <row r="3258" spans="1:8">
      <c r="A3258" t="s">
        <v>90</v>
      </c>
      <c r="B3258" t="s">
        <v>91</v>
      </c>
      <c r="C3258" t="s">
        <v>51</v>
      </c>
      <c r="D3258" t="s">
        <v>29</v>
      </c>
      <c r="E3258">
        <v>2000</v>
      </c>
      <c r="F3258" t="s">
        <v>12</v>
      </c>
      <c r="G3258" t="s">
        <v>19</v>
      </c>
      <c r="H3258" s="2">
        <v>0</v>
      </c>
    </row>
    <row r="3259" spans="1:8">
      <c r="A3259" t="s">
        <v>90</v>
      </c>
      <c r="B3259" t="s">
        <v>91</v>
      </c>
      <c r="C3259" t="s">
        <v>51</v>
      </c>
      <c r="D3259" t="s">
        <v>29</v>
      </c>
      <c r="E3259">
        <v>2000</v>
      </c>
      <c r="F3259" t="s">
        <v>20</v>
      </c>
      <c r="G3259" t="s">
        <v>15</v>
      </c>
      <c r="H3259" s="2">
        <v>-588.69000000000005</v>
      </c>
    </row>
    <row r="3260" spans="1:8">
      <c r="A3260" t="s">
        <v>90</v>
      </c>
      <c r="B3260" t="s">
        <v>91</v>
      </c>
      <c r="C3260" t="s">
        <v>51</v>
      </c>
      <c r="D3260" t="s">
        <v>29</v>
      </c>
      <c r="E3260">
        <v>2000</v>
      </c>
      <c r="F3260" t="s">
        <v>21</v>
      </c>
      <c r="G3260" t="s">
        <v>15</v>
      </c>
      <c r="H3260" s="2">
        <v>2815.6</v>
      </c>
    </row>
    <row r="3261" spans="1:8">
      <c r="A3261" t="s">
        <v>90</v>
      </c>
      <c r="B3261" t="s">
        <v>91</v>
      </c>
      <c r="C3261" t="s">
        <v>51</v>
      </c>
      <c r="D3261" t="s">
        <v>29</v>
      </c>
      <c r="E3261">
        <v>2001</v>
      </c>
      <c r="F3261" t="s">
        <v>20</v>
      </c>
      <c r="G3261" t="s">
        <v>15</v>
      </c>
      <c r="H3261" s="2">
        <v>-563.28</v>
      </c>
    </row>
    <row r="3262" spans="1:8">
      <c r="A3262" t="s">
        <v>90</v>
      </c>
      <c r="B3262" t="s">
        <v>91</v>
      </c>
      <c r="C3262" t="s">
        <v>51</v>
      </c>
      <c r="D3262" t="s">
        <v>29</v>
      </c>
      <c r="E3262">
        <v>2001</v>
      </c>
      <c r="F3262" t="s">
        <v>16</v>
      </c>
      <c r="G3262" t="s">
        <v>13</v>
      </c>
      <c r="H3262" s="2">
        <v>5146.2299999999996</v>
      </c>
    </row>
    <row r="3263" spans="1:8">
      <c r="A3263" t="s">
        <v>90</v>
      </c>
      <c r="B3263" t="s">
        <v>91</v>
      </c>
      <c r="C3263" t="s">
        <v>51</v>
      </c>
      <c r="D3263" t="s">
        <v>29</v>
      </c>
      <c r="E3263">
        <v>2002</v>
      </c>
      <c r="F3263" t="s">
        <v>22</v>
      </c>
      <c r="G3263" t="s">
        <v>19</v>
      </c>
      <c r="H3263" s="2">
        <v>0</v>
      </c>
    </row>
    <row r="3264" spans="1:8">
      <c r="A3264" t="s">
        <v>90</v>
      </c>
      <c r="B3264" t="s">
        <v>91</v>
      </c>
      <c r="C3264" t="s">
        <v>51</v>
      </c>
      <c r="D3264" t="s">
        <v>29</v>
      </c>
      <c r="E3264">
        <v>2002</v>
      </c>
      <c r="F3264" t="s">
        <v>21</v>
      </c>
      <c r="G3264" t="s">
        <v>19</v>
      </c>
      <c r="H3264" s="2">
        <v>0</v>
      </c>
    </row>
    <row r="3265" spans="1:8">
      <c r="A3265" t="s">
        <v>90</v>
      </c>
      <c r="B3265" t="s">
        <v>91</v>
      </c>
      <c r="C3265" t="s">
        <v>51</v>
      </c>
      <c r="D3265" t="s">
        <v>29</v>
      </c>
      <c r="E3265">
        <v>2003</v>
      </c>
      <c r="F3265" t="s">
        <v>12</v>
      </c>
      <c r="G3265" t="s">
        <v>15</v>
      </c>
      <c r="H3265" s="2">
        <v>2940.85</v>
      </c>
    </row>
    <row r="3266" spans="1:8">
      <c r="A3266" t="s">
        <v>90</v>
      </c>
      <c r="B3266" t="s">
        <v>91</v>
      </c>
      <c r="C3266" t="s">
        <v>51</v>
      </c>
      <c r="D3266" t="s">
        <v>29</v>
      </c>
      <c r="E3266">
        <v>2003</v>
      </c>
      <c r="F3266" t="s">
        <v>20</v>
      </c>
      <c r="G3266" t="s">
        <v>15</v>
      </c>
      <c r="H3266" s="2">
        <v>-561.01</v>
      </c>
    </row>
    <row r="3267" spans="1:8">
      <c r="A3267" t="s">
        <v>90</v>
      </c>
      <c r="B3267" t="s">
        <v>91</v>
      </c>
      <c r="C3267" t="s">
        <v>51</v>
      </c>
      <c r="D3267" t="s">
        <v>29</v>
      </c>
      <c r="E3267">
        <v>2004</v>
      </c>
      <c r="F3267" t="s">
        <v>22</v>
      </c>
      <c r="G3267" t="s">
        <v>13</v>
      </c>
      <c r="H3267" s="2">
        <v>15434.97</v>
      </c>
    </row>
    <row r="3268" spans="1:8">
      <c r="A3268" t="s">
        <v>90</v>
      </c>
      <c r="B3268" t="s">
        <v>91</v>
      </c>
      <c r="C3268" t="s">
        <v>51</v>
      </c>
      <c r="D3268" t="s">
        <v>29</v>
      </c>
      <c r="E3268">
        <v>2004</v>
      </c>
      <c r="F3268" t="s">
        <v>16</v>
      </c>
      <c r="G3268" t="s">
        <v>19</v>
      </c>
      <c r="H3268" s="2">
        <v>0</v>
      </c>
    </row>
    <row r="3269" spans="1:8">
      <c r="A3269" t="s">
        <v>90</v>
      </c>
      <c r="B3269" t="s">
        <v>91</v>
      </c>
      <c r="C3269" t="s">
        <v>51</v>
      </c>
      <c r="D3269" t="s">
        <v>29</v>
      </c>
      <c r="E3269">
        <v>2005</v>
      </c>
      <c r="F3269" t="s">
        <v>12</v>
      </c>
      <c r="G3269" t="s">
        <v>15</v>
      </c>
      <c r="H3269" s="2">
        <v>3074.3</v>
      </c>
    </row>
    <row r="3270" spans="1:8">
      <c r="A3270" t="s">
        <v>90</v>
      </c>
      <c r="B3270" t="s">
        <v>91</v>
      </c>
      <c r="C3270" t="s">
        <v>51</v>
      </c>
      <c r="D3270" t="s">
        <v>29</v>
      </c>
      <c r="E3270">
        <v>2005</v>
      </c>
      <c r="F3270" t="s">
        <v>12</v>
      </c>
      <c r="G3270" t="s">
        <v>13</v>
      </c>
      <c r="H3270" s="2">
        <v>39647.800000000003</v>
      </c>
    </row>
    <row r="3271" spans="1:8">
      <c r="A3271" t="s">
        <v>90</v>
      </c>
      <c r="B3271" t="s">
        <v>91</v>
      </c>
      <c r="C3271" t="s">
        <v>51</v>
      </c>
      <c r="D3271" t="s">
        <v>29</v>
      </c>
      <c r="E3271">
        <v>2005</v>
      </c>
      <c r="F3271" t="s">
        <v>18</v>
      </c>
      <c r="G3271" t="s">
        <v>15</v>
      </c>
      <c r="H3271" s="2">
        <v>2300.9299999999998</v>
      </c>
    </row>
    <row r="3272" spans="1:8">
      <c r="A3272" t="s">
        <v>90</v>
      </c>
      <c r="B3272" t="s">
        <v>91</v>
      </c>
      <c r="C3272" t="s">
        <v>51</v>
      </c>
      <c r="D3272" t="s">
        <v>29</v>
      </c>
      <c r="E3272">
        <v>2005</v>
      </c>
      <c r="F3272" t="s">
        <v>16</v>
      </c>
      <c r="G3272" t="s">
        <v>15</v>
      </c>
      <c r="H3272" s="2">
        <v>30938.38</v>
      </c>
    </row>
    <row r="3273" spans="1:8">
      <c r="A3273" t="s">
        <v>90</v>
      </c>
      <c r="B3273" t="s">
        <v>91</v>
      </c>
      <c r="C3273" t="s">
        <v>51</v>
      </c>
      <c r="D3273" t="s">
        <v>29</v>
      </c>
      <c r="E3273">
        <v>2006</v>
      </c>
      <c r="F3273" t="s">
        <v>12</v>
      </c>
      <c r="G3273" t="s">
        <v>13</v>
      </c>
      <c r="H3273" s="2">
        <v>35210.54</v>
      </c>
    </row>
    <row r="3274" spans="1:8">
      <c r="A3274" t="s">
        <v>90</v>
      </c>
      <c r="B3274" t="s">
        <v>91</v>
      </c>
      <c r="C3274" t="s">
        <v>51</v>
      </c>
      <c r="D3274" t="s">
        <v>29</v>
      </c>
      <c r="E3274">
        <v>2006</v>
      </c>
      <c r="F3274" t="s">
        <v>20</v>
      </c>
      <c r="G3274" t="s">
        <v>19</v>
      </c>
      <c r="H3274" s="2">
        <v>0</v>
      </c>
    </row>
    <row r="3275" spans="1:8">
      <c r="A3275" t="s">
        <v>90</v>
      </c>
      <c r="B3275" t="s">
        <v>91</v>
      </c>
      <c r="C3275" t="s">
        <v>51</v>
      </c>
      <c r="D3275" t="s">
        <v>29</v>
      </c>
      <c r="E3275">
        <v>2006</v>
      </c>
      <c r="F3275" t="s">
        <v>21</v>
      </c>
      <c r="G3275" t="s">
        <v>17</v>
      </c>
      <c r="H3275" s="2">
        <v>1499.28</v>
      </c>
    </row>
    <row r="3276" spans="1:8">
      <c r="A3276" t="s">
        <v>90</v>
      </c>
      <c r="B3276" t="s">
        <v>91</v>
      </c>
      <c r="C3276" t="s">
        <v>51</v>
      </c>
      <c r="D3276" t="s">
        <v>29</v>
      </c>
      <c r="E3276">
        <v>2007</v>
      </c>
      <c r="F3276" t="s">
        <v>20</v>
      </c>
      <c r="G3276" t="s">
        <v>13</v>
      </c>
      <c r="H3276" s="2">
        <v>-54791.56</v>
      </c>
    </row>
    <row r="3277" spans="1:8">
      <c r="A3277" t="s">
        <v>90</v>
      </c>
      <c r="B3277" t="s">
        <v>91</v>
      </c>
      <c r="C3277" t="s">
        <v>51</v>
      </c>
      <c r="D3277" t="s">
        <v>29</v>
      </c>
      <c r="E3277">
        <v>2007</v>
      </c>
      <c r="F3277" t="s">
        <v>16</v>
      </c>
      <c r="G3277" t="s">
        <v>13</v>
      </c>
      <c r="H3277" s="2">
        <v>5415.94</v>
      </c>
    </row>
    <row r="3278" spans="1:8">
      <c r="A3278" t="s">
        <v>90</v>
      </c>
      <c r="B3278" t="s">
        <v>91</v>
      </c>
      <c r="C3278" t="s">
        <v>51</v>
      </c>
      <c r="D3278" t="s">
        <v>29</v>
      </c>
      <c r="E3278">
        <v>2008</v>
      </c>
      <c r="F3278" t="s">
        <v>12</v>
      </c>
      <c r="G3278" t="s">
        <v>15</v>
      </c>
      <c r="H3278" s="2">
        <v>3046.27</v>
      </c>
    </row>
    <row r="3279" spans="1:8">
      <c r="A3279" t="s">
        <v>90</v>
      </c>
      <c r="B3279" t="s">
        <v>91</v>
      </c>
      <c r="C3279" t="s">
        <v>51</v>
      </c>
      <c r="D3279" t="s">
        <v>29</v>
      </c>
      <c r="E3279">
        <v>2008</v>
      </c>
      <c r="F3279" t="s">
        <v>20</v>
      </c>
      <c r="G3279" t="s">
        <v>19</v>
      </c>
      <c r="H3279" s="2">
        <v>0</v>
      </c>
    </row>
    <row r="3280" spans="1:8">
      <c r="A3280" t="s">
        <v>90</v>
      </c>
      <c r="B3280" t="s">
        <v>91</v>
      </c>
      <c r="C3280" t="s">
        <v>51</v>
      </c>
      <c r="D3280" t="s">
        <v>29</v>
      </c>
      <c r="E3280">
        <v>2008</v>
      </c>
      <c r="F3280" t="s">
        <v>20</v>
      </c>
      <c r="G3280" t="s">
        <v>17</v>
      </c>
      <c r="H3280" s="2">
        <v>-631.1</v>
      </c>
    </row>
    <row r="3281" spans="1:8">
      <c r="A3281" t="s">
        <v>90</v>
      </c>
      <c r="B3281" t="s">
        <v>91</v>
      </c>
      <c r="C3281" t="s">
        <v>51</v>
      </c>
      <c r="D3281" t="s">
        <v>29</v>
      </c>
      <c r="E3281">
        <v>2009</v>
      </c>
      <c r="F3281" t="s">
        <v>22</v>
      </c>
      <c r="G3281" t="s">
        <v>17</v>
      </c>
      <c r="H3281" s="2">
        <v>30110.22</v>
      </c>
    </row>
    <row r="3282" spans="1:8">
      <c r="A3282" t="s">
        <v>90</v>
      </c>
      <c r="B3282" t="s">
        <v>91</v>
      </c>
      <c r="C3282" t="s">
        <v>51</v>
      </c>
      <c r="D3282" t="s">
        <v>29</v>
      </c>
      <c r="E3282">
        <v>2009</v>
      </c>
      <c r="F3282" t="s">
        <v>20</v>
      </c>
      <c r="G3282" t="s">
        <v>13</v>
      </c>
      <c r="H3282" s="2">
        <v>-55988.7</v>
      </c>
    </row>
    <row r="3283" spans="1:8">
      <c r="A3283" t="s">
        <v>90</v>
      </c>
      <c r="B3283" t="s">
        <v>91</v>
      </c>
      <c r="C3283" t="s">
        <v>51</v>
      </c>
      <c r="D3283" t="s">
        <v>29</v>
      </c>
      <c r="E3283">
        <v>2009</v>
      </c>
      <c r="F3283" t="s">
        <v>20</v>
      </c>
      <c r="G3283" t="s">
        <v>17</v>
      </c>
      <c r="H3283" s="2">
        <v>-562.05999999999995</v>
      </c>
    </row>
    <row r="3284" spans="1:8">
      <c r="A3284" t="s">
        <v>90</v>
      </c>
      <c r="B3284" t="s">
        <v>91</v>
      </c>
      <c r="C3284" t="s">
        <v>51</v>
      </c>
      <c r="D3284" t="s">
        <v>29</v>
      </c>
      <c r="E3284">
        <v>2010</v>
      </c>
      <c r="F3284" t="s">
        <v>22</v>
      </c>
      <c r="G3284" t="s">
        <v>13</v>
      </c>
      <c r="H3284" s="2">
        <v>13734.52</v>
      </c>
    </row>
    <row r="3285" spans="1:8">
      <c r="A3285" t="s">
        <v>90</v>
      </c>
      <c r="B3285" t="s">
        <v>91</v>
      </c>
      <c r="C3285" t="s">
        <v>51</v>
      </c>
      <c r="D3285" t="s">
        <v>29</v>
      </c>
      <c r="E3285">
        <v>2010</v>
      </c>
      <c r="F3285" t="s">
        <v>22</v>
      </c>
      <c r="G3285" t="s">
        <v>17</v>
      </c>
      <c r="H3285" s="2">
        <v>29230.639999999999</v>
      </c>
    </row>
    <row r="3286" spans="1:8">
      <c r="A3286" t="s">
        <v>90</v>
      </c>
      <c r="B3286" t="s">
        <v>91</v>
      </c>
      <c r="C3286" t="s">
        <v>51</v>
      </c>
      <c r="D3286" t="s">
        <v>29</v>
      </c>
      <c r="E3286">
        <v>2010</v>
      </c>
      <c r="F3286" t="s">
        <v>20</v>
      </c>
      <c r="G3286" t="s">
        <v>19</v>
      </c>
      <c r="H3286" s="2">
        <v>0</v>
      </c>
    </row>
    <row r="3287" spans="1:8">
      <c r="A3287" t="s">
        <v>90</v>
      </c>
      <c r="B3287" t="s">
        <v>91</v>
      </c>
      <c r="C3287" t="s">
        <v>51</v>
      </c>
      <c r="D3287" t="s">
        <v>29</v>
      </c>
      <c r="E3287">
        <v>2010</v>
      </c>
      <c r="F3287" t="s">
        <v>16</v>
      </c>
      <c r="G3287" t="s">
        <v>15</v>
      </c>
      <c r="H3287" s="2">
        <v>29539.67</v>
      </c>
    </row>
    <row r="3288" spans="1:8">
      <c r="A3288" t="s">
        <v>90</v>
      </c>
      <c r="B3288" t="s">
        <v>91</v>
      </c>
      <c r="C3288" t="s">
        <v>51</v>
      </c>
      <c r="D3288" t="s">
        <v>29</v>
      </c>
      <c r="E3288">
        <v>2011</v>
      </c>
      <c r="F3288" t="s">
        <v>18</v>
      </c>
      <c r="G3288" t="s">
        <v>17</v>
      </c>
      <c r="H3288" s="2">
        <v>2138.4899999999998</v>
      </c>
    </row>
    <row r="3289" spans="1:8">
      <c r="A3289" t="s">
        <v>90</v>
      </c>
      <c r="B3289" t="s">
        <v>91</v>
      </c>
      <c r="C3289" t="s">
        <v>51</v>
      </c>
      <c r="D3289" t="s">
        <v>29</v>
      </c>
      <c r="E3289">
        <v>2011</v>
      </c>
      <c r="F3289" t="s">
        <v>14</v>
      </c>
      <c r="G3289" t="s">
        <v>17</v>
      </c>
      <c r="H3289" s="2">
        <v>412.76</v>
      </c>
    </row>
    <row r="3290" spans="1:8">
      <c r="A3290" t="s">
        <v>90</v>
      </c>
      <c r="B3290" t="s">
        <v>91</v>
      </c>
      <c r="C3290" t="s">
        <v>51</v>
      </c>
      <c r="D3290" t="s">
        <v>29</v>
      </c>
      <c r="E3290">
        <v>2011</v>
      </c>
      <c r="F3290" t="s">
        <v>16</v>
      </c>
      <c r="G3290" t="s">
        <v>19</v>
      </c>
      <c r="H3290" s="2">
        <v>0</v>
      </c>
    </row>
    <row r="3291" spans="1:8">
      <c r="A3291" t="s">
        <v>90</v>
      </c>
      <c r="B3291" t="s">
        <v>91</v>
      </c>
      <c r="C3291" t="s">
        <v>51</v>
      </c>
      <c r="D3291" t="s">
        <v>29</v>
      </c>
      <c r="E3291">
        <v>2012</v>
      </c>
      <c r="F3291" t="s">
        <v>18</v>
      </c>
      <c r="G3291" t="s">
        <v>13</v>
      </c>
      <c r="H3291" s="2">
        <v>40540.06</v>
      </c>
    </row>
    <row r="3292" spans="1:8">
      <c r="A3292" t="s">
        <v>90</v>
      </c>
      <c r="B3292" t="s">
        <v>91</v>
      </c>
      <c r="C3292" t="s">
        <v>51</v>
      </c>
      <c r="D3292" t="s">
        <v>29</v>
      </c>
      <c r="E3292">
        <v>2012</v>
      </c>
      <c r="F3292" t="s">
        <v>20</v>
      </c>
      <c r="G3292" t="s">
        <v>15</v>
      </c>
      <c r="H3292" s="2">
        <v>-601.36</v>
      </c>
    </row>
    <row r="3293" spans="1:8">
      <c r="A3293" t="s">
        <v>90</v>
      </c>
      <c r="B3293" t="s">
        <v>91</v>
      </c>
      <c r="C3293" t="s">
        <v>51</v>
      </c>
      <c r="D3293" t="s">
        <v>29</v>
      </c>
      <c r="E3293">
        <v>2012</v>
      </c>
      <c r="F3293" t="s">
        <v>14</v>
      </c>
      <c r="G3293" t="s">
        <v>19</v>
      </c>
      <c r="H3293" s="2">
        <v>0</v>
      </c>
    </row>
    <row r="3294" spans="1:8">
      <c r="A3294" t="s">
        <v>90</v>
      </c>
      <c r="B3294" t="s">
        <v>91</v>
      </c>
      <c r="C3294" t="s">
        <v>51</v>
      </c>
      <c r="D3294" t="s">
        <v>29</v>
      </c>
      <c r="E3294">
        <v>2013</v>
      </c>
      <c r="F3294" t="s">
        <v>20</v>
      </c>
      <c r="G3294" t="s">
        <v>13</v>
      </c>
      <c r="H3294" s="2">
        <v>-54252.94</v>
      </c>
    </row>
    <row r="3295" spans="1:8">
      <c r="A3295" t="s">
        <v>90</v>
      </c>
      <c r="B3295" t="s">
        <v>91</v>
      </c>
      <c r="C3295" t="s">
        <v>51</v>
      </c>
      <c r="D3295" t="s">
        <v>29</v>
      </c>
      <c r="E3295">
        <v>2013</v>
      </c>
      <c r="F3295" t="s">
        <v>20</v>
      </c>
      <c r="G3295" t="s">
        <v>19</v>
      </c>
      <c r="H3295" s="2">
        <v>0</v>
      </c>
    </row>
    <row r="3296" spans="1:8">
      <c r="A3296" t="s">
        <v>90</v>
      </c>
      <c r="B3296" t="s">
        <v>91</v>
      </c>
      <c r="C3296" t="s">
        <v>51</v>
      </c>
      <c r="D3296" t="s">
        <v>29</v>
      </c>
      <c r="E3296">
        <v>2013</v>
      </c>
      <c r="F3296" t="s">
        <v>16</v>
      </c>
      <c r="G3296" t="s">
        <v>19</v>
      </c>
      <c r="H3296" s="2">
        <v>0</v>
      </c>
    </row>
    <row r="3297" spans="1:8">
      <c r="A3297" t="s">
        <v>90</v>
      </c>
      <c r="B3297" t="s">
        <v>91</v>
      </c>
      <c r="C3297" t="s">
        <v>51</v>
      </c>
      <c r="D3297" t="s">
        <v>29</v>
      </c>
      <c r="E3297">
        <v>2013</v>
      </c>
      <c r="F3297" t="s">
        <v>16</v>
      </c>
      <c r="G3297" t="s">
        <v>17</v>
      </c>
      <c r="H3297" s="2">
        <v>1895.58</v>
      </c>
    </row>
    <row r="3298" spans="1:8">
      <c r="A3298" t="s">
        <v>90</v>
      </c>
      <c r="B3298" t="s">
        <v>91</v>
      </c>
      <c r="C3298" t="s">
        <v>51</v>
      </c>
      <c r="D3298" t="s">
        <v>29</v>
      </c>
      <c r="E3298">
        <v>2014</v>
      </c>
      <c r="F3298" t="s">
        <v>21</v>
      </c>
      <c r="G3298" t="s">
        <v>19</v>
      </c>
      <c r="H3298" s="2">
        <v>0</v>
      </c>
    </row>
    <row r="3299" spans="1:8">
      <c r="A3299" t="s">
        <v>90</v>
      </c>
      <c r="B3299" t="s">
        <v>91</v>
      </c>
      <c r="C3299" t="s">
        <v>51</v>
      </c>
      <c r="D3299" t="s">
        <v>29</v>
      </c>
      <c r="E3299">
        <v>2015</v>
      </c>
      <c r="F3299" t="s">
        <v>22</v>
      </c>
      <c r="G3299" t="s">
        <v>17</v>
      </c>
      <c r="H3299" s="2">
        <v>28908.14</v>
      </c>
    </row>
    <row r="3300" spans="1:8">
      <c r="A3300" t="s">
        <v>90</v>
      </c>
      <c r="B3300" t="s">
        <v>91</v>
      </c>
      <c r="C3300" t="s">
        <v>51</v>
      </c>
      <c r="D3300" t="s">
        <v>29</v>
      </c>
      <c r="E3300">
        <v>2015</v>
      </c>
      <c r="F3300" t="s">
        <v>12</v>
      </c>
      <c r="G3300" t="s">
        <v>19</v>
      </c>
      <c r="H3300" s="2">
        <v>0</v>
      </c>
    </row>
    <row r="3301" spans="1:8">
      <c r="A3301" t="s">
        <v>90</v>
      </c>
      <c r="B3301" t="s">
        <v>91</v>
      </c>
      <c r="C3301" t="s">
        <v>51</v>
      </c>
      <c r="D3301" t="s">
        <v>29</v>
      </c>
      <c r="E3301">
        <v>2015</v>
      </c>
      <c r="F3301" t="s">
        <v>20</v>
      </c>
      <c r="G3301" t="s">
        <v>13</v>
      </c>
      <c r="H3301" s="2">
        <v>-49611.98</v>
      </c>
    </row>
    <row r="3302" spans="1:8">
      <c r="A3302" t="s">
        <v>90</v>
      </c>
      <c r="B3302" t="s">
        <v>91</v>
      </c>
      <c r="C3302" t="s">
        <v>51</v>
      </c>
      <c r="D3302" t="s">
        <v>29</v>
      </c>
      <c r="E3302">
        <v>2015</v>
      </c>
      <c r="F3302" t="s">
        <v>21</v>
      </c>
      <c r="G3302" t="s">
        <v>15</v>
      </c>
      <c r="H3302" s="2">
        <v>2574.9499999999998</v>
      </c>
    </row>
    <row r="3303" spans="1:8">
      <c r="A3303" t="s">
        <v>90</v>
      </c>
      <c r="B3303" t="s">
        <v>91</v>
      </c>
      <c r="C3303" t="s">
        <v>51</v>
      </c>
      <c r="D3303" t="s">
        <v>29</v>
      </c>
      <c r="E3303">
        <v>2016</v>
      </c>
      <c r="F3303" t="s">
        <v>14</v>
      </c>
      <c r="G3303" t="s">
        <v>15</v>
      </c>
      <c r="H3303" s="2">
        <v>515.55999999999995</v>
      </c>
    </row>
    <row r="3304" spans="1:8">
      <c r="A3304" t="s">
        <v>90</v>
      </c>
      <c r="B3304" t="s">
        <v>91</v>
      </c>
      <c r="C3304" t="s">
        <v>51</v>
      </c>
      <c r="D3304" t="s">
        <v>29</v>
      </c>
      <c r="E3304">
        <v>2016</v>
      </c>
      <c r="F3304" t="s">
        <v>14</v>
      </c>
      <c r="G3304" t="s">
        <v>13</v>
      </c>
      <c r="H3304" s="2">
        <v>15996.37</v>
      </c>
    </row>
    <row r="3305" spans="1:8">
      <c r="A3305" t="s">
        <v>90</v>
      </c>
      <c r="B3305" t="s">
        <v>91</v>
      </c>
      <c r="C3305" t="s">
        <v>51</v>
      </c>
      <c r="D3305" t="s">
        <v>29</v>
      </c>
      <c r="E3305">
        <v>2017</v>
      </c>
      <c r="F3305" t="s">
        <v>22</v>
      </c>
      <c r="G3305" t="s">
        <v>15</v>
      </c>
      <c r="H3305" s="2">
        <v>111125.09</v>
      </c>
    </row>
    <row r="3306" spans="1:8">
      <c r="A3306" t="s">
        <v>90</v>
      </c>
      <c r="B3306" t="s">
        <v>91</v>
      </c>
      <c r="C3306" t="s">
        <v>51</v>
      </c>
      <c r="D3306" t="s">
        <v>29</v>
      </c>
      <c r="E3306">
        <v>2017</v>
      </c>
      <c r="F3306" t="s">
        <v>12</v>
      </c>
      <c r="G3306" t="s">
        <v>17</v>
      </c>
      <c r="H3306" s="2">
        <v>1196.26</v>
      </c>
    </row>
    <row r="3307" spans="1:8">
      <c r="A3307" t="s">
        <v>90</v>
      </c>
      <c r="B3307" t="s">
        <v>91</v>
      </c>
      <c r="C3307" t="s">
        <v>51</v>
      </c>
      <c r="D3307" t="s">
        <v>29</v>
      </c>
      <c r="E3307">
        <v>2017</v>
      </c>
      <c r="F3307" t="s">
        <v>16</v>
      </c>
      <c r="G3307" t="s">
        <v>15</v>
      </c>
      <c r="H3307" s="2">
        <v>26301.08</v>
      </c>
    </row>
    <row r="3308" spans="1:8">
      <c r="A3308" t="s">
        <v>90</v>
      </c>
      <c r="B3308" t="s">
        <v>91</v>
      </c>
      <c r="C3308" t="s">
        <v>51</v>
      </c>
      <c r="D3308" t="s">
        <v>29</v>
      </c>
      <c r="E3308">
        <v>2017</v>
      </c>
      <c r="F3308" t="s">
        <v>16</v>
      </c>
      <c r="G3308" t="s">
        <v>17</v>
      </c>
      <c r="H3308" s="2">
        <v>1698.38</v>
      </c>
    </row>
    <row r="3309" spans="1:8">
      <c r="A3309" t="s">
        <v>90</v>
      </c>
      <c r="B3309" t="s">
        <v>91</v>
      </c>
      <c r="C3309" t="s">
        <v>51</v>
      </c>
      <c r="D3309" t="s">
        <v>29</v>
      </c>
      <c r="E3309">
        <v>2018</v>
      </c>
      <c r="F3309" t="s">
        <v>14</v>
      </c>
      <c r="G3309" t="s">
        <v>17</v>
      </c>
      <c r="H3309" s="2">
        <v>411.61</v>
      </c>
    </row>
    <row r="3310" spans="1:8">
      <c r="A3310" t="s">
        <v>90</v>
      </c>
      <c r="B3310" t="s">
        <v>91</v>
      </c>
      <c r="C3310" t="s">
        <v>51</v>
      </c>
      <c r="D3310" t="s">
        <v>29</v>
      </c>
      <c r="E3310">
        <v>2019</v>
      </c>
      <c r="F3310" t="s">
        <v>18</v>
      </c>
      <c r="G3310" t="s">
        <v>15</v>
      </c>
      <c r="H3310" s="2">
        <v>1965.68</v>
      </c>
    </row>
    <row r="3311" spans="1:8">
      <c r="A3311" t="s">
        <v>90</v>
      </c>
      <c r="B3311" t="s">
        <v>91</v>
      </c>
      <c r="C3311" t="s">
        <v>51</v>
      </c>
      <c r="D3311" t="s">
        <v>29</v>
      </c>
      <c r="E3311">
        <v>2019</v>
      </c>
      <c r="F3311" t="s">
        <v>14</v>
      </c>
      <c r="G3311" t="s">
        <v>15</v>
      </c>
      <c r="H3311" s="2">
        <v>577.27</v>
      </c>
    </row>
    <row r="3312" spans="1:8">
      <c r="A3312" t="s">
        <v>90</v>
      </c>
      <c r="B3312" t="s">
        <v>91</v>
      </c>
      <c r="C3312" t="s">
        <v>51</v>
      </c>
      <c r="D3312" t="s">
        <v>29</v>
      </c>
      <c r="E3312">
        <v>2019</v>
      </c>
      <c r="F3312" t="s">
        <v>14</v>
      </c>
      <c r="G3312" t="s">
        <v>13</v>
      </c>
      <c r="H3312" s="2">
        <v>19404.88</v>
      </c>
    </row>
    <row r="3313" spans="1:8">
      <c r="A3313" t="s">
        <v>90</v>
      </c>
      <c r="B3313" t="s">
        <v>91</v>
      </c>
      <c r="C3313" t="s">
        <v>51</v>
      </c>
      <c r="D3313" t="s">
        <v>29</v>
      </c>
      <c r="E3313">
        <v>2019</v>
      </c>
      <c r="F3313" t="s">
        <v>16</v>
      </c>
      <c r="G3313" t="s">
        <v>13</v>
      </c>
      <c r="H3313" s="2">
        <v>4877.08</v>
      </c>
    </row>
    <row r="3314" spans="1:8">
      <c r="A3314" t="s">
        <v>90</v>
      </c>
      <c r="B3314" t="s">
        <v>91</v>
      </c>
      <c r="C3314" t="s">
        <v>51</v>
      </c>
      <c r="D3314" t="s">
        <v>29</v>
      </c>
      <c r="E3314">
        <v>2020</v>
      </c>
      <c r="F3314" t="s">
        <v>16</v>
      </c>
      <c r="G3314" t="s">
        <v>19</v>
      </c>
      <c r="H3314" s="2">
        <v>0</v>
      </c>
    </row>
    <row r="3315" spans="1:8">
      <c r="A3315" t="s">
        <v>90</v>
      </c>
      <c r="B3315" t="s">
        <v>91</v>
      </c>
      <c r="C3315" t="s">
        <v>51</v>
      </c>
      <c r="D3315" t="s">
        <v>29</v>
      </c>
      <c r="E3315">
        <v>2021</v>
      </c>
      <c r="F3315" t="s">
        <v>20</v>
      </c>
      <c r="G3315" t="s">
        <v>13</v>
      </c>
      <c r="H3315" s="2">
        <v>-50743.63</v>
      </c>
    </row>
    <row r="3316" spans="1:8">
      <c r="A3316" t="s">
        <v>90</v>
      </c>
      <c r="B3316" t="s">
        <v>91</v>
      </c>
      <c r="C3316" t="s">
        <v>51</v>
      </c>
      <c r="D3316" t="s">
        <v>29</v>
      </c>
      <c r="E3316">
        <v>2022</v>
      </c>
      <c r="F3316" t="s">
        <v>18</v>
      </c>
      <c r="G3316" t="s">
        <v>17</v>
      </c>
      <c r="H3316" s="2">
        <v>1930.33</v>
      </c>
    </row>
    <row r="3317" spans="1:8">
      <c r="A3317" t="s">
        <v>90</v>
      </c>
      <c r="B3317" t="s">
        <v>91</v>
      </c>
      <c r="C3317" t="s">
        <v>51</v>
      </c>
      <c r="D3317" t="s">
        <v>29</v>
      </c>
      <c r="E3317">
        <v>2022</v>
      </c>
      <c r="F3317" t="s">
        <v>14</v>
      </c>
      <c r="G3317" t="s">
        <v>15</v>
      </c>
      <c r="H3317" s="2">
        <v>481.83</v>
      </c>
    </row>
    <row r="3318" spans="1:8">
      <c r="A3318" t="s">
        <v>90</v>
      </c>
      <c r="B3318" t="s">
        <v>91</v>
      </c>
      <c r="C3318" t="s">
        <v>51</v>
      </c>
      <c r="D3318" t="s">
        <v>29</v>
      </c>
      <c r="E3318">
        <v>2022</v>
      </c>
      <c r="F3318" t="s">
        <v>14</v>
      </c>
      <c r="G3318" t="s">
        <v>17</v>
      </c>
      <c r="H3318" s="2">
        <v>338.11</v>
      </c>
    </row>
    <row r="3319" spans="1:8">
      <c r="A3319" t="s">
        <v>90</v>
      </c>
      <c r="B3319" t="s">
        <v>91</v>
      </c>
      <c r="C3319" t="s">
        <v>51</v>
      </c>
      <c r="D3319" t="s">
        <v>29</v>
      </c>
      <c r="E3319">
        <v>2023</v>
      </c>
      <c r="F3319" t="s">
        <v>22</v>
      </c>
      <c r="G3319" t="s">
        <v>13</v>
      </c>
      <c r="H3319" s="2">
        <v>11810.05</v>
      </c>
    </row>
    <row r="3320" spans="1:8">
      <c r="A3320" t="s">
        <v>90</v>
      </c>
      <c r="B3320" t="s">
        <v>91</v>
      </c>
      <c r="C3320" t="s">
        <v>51</v>
      </c>
      <c r="D3320" t="s">
        <v>29</v>
      </c>
      <c r="E3320">
        <v>2023</v>
      </c>
      <c r="F3320" t="s">
        <v>22</v>
      </c>
      <c r="G3320" t="s">
        <v>17</v>
      </c>
      <c r="H3320" s="2">
        <v>26318.080000000002</v>
      </c>
    </row>
    <row r="3321" spans="1:8">
      <c r="A3321" t="s">
        <v>90</v>
      </c>
      <c r="B3321" t="s">
        <v>91</v>
      </c>
      <c r="C3321" t="s">
        <v>51</v>
      </c>
      <c r="D3321" t="s">
        <v>29</v>
      </c>
      <c r="E3321">
        <v>2023</v>
      </c>
      <c r="F3321" t="s">
        <v>18</v>
      </c>
      <c r="G3321" t="s">
        <v>13</v>
      </c>
      <c r="H3321" s="2">
        <v>27274.560000000001</v>
      </c>
    </row>
    <row r="3322" spans="1:8">
      <c r="A3322" t="s">
        <v>90</v>
      </c>
      <c r="B3322" t="s">
        <v>91</v>
      </c>
      <c r="C3322" t="s">
        <v>51</v>
      </c>
      <c r="D3322" t="s">
        <v>29</v>
      </c>
      <c r="E3322">
        <v>2023</v>
      </c>
      <c r="F3322" t="s">
        <v>18</v>
      </c>
      <c r="G3322" t="s">
        <v>19</v>
      </c>
      <c r="H3322" s="2">
        <v>1816.02</v>
      </c>
    </row>
    <row r="3323" spans="1:8">
      <c r="A3323" t="s">
        <v>90</v>
      </c>
      <c r="B3323" t="s">
        <v>91</v>
      </c>
      <c r="C3323" t="s">
        <v>51</v>
      </c>
      <c r="D3323" t="s">
        <v>29</v>
      </c>
      <c r="E3323">
        <v>2023</v>
      </c>
      <c r="F3323" t="s">
        <v>20</v>
      </c>
      <c r="G3323" t="s">
        <v>15</v>
      </c>
      <c r="H3323" s="2">
        <v>-447.94</v>
      </c>
    </row>
    <row r="3324" spans="1:8">
      <c r="A3324" t="s">
        <v>90</v>
      </c>
      <c r="B3324" t="s">
        <v>91</v>
      </c>
      <c r="C3324" t="s">
        <v>51</v>
      </c>
      <c r="D3324" t="s">
        <v>29</v>
      </c>
      <c r="E3324">
        <v>2023</v>
      </c>
      <c r="F3324" t="s">
        <v>14</v>
      </c>
      <c r="G3324" t="s">
        <v>13</v>
      </c>
      <c r="H3324" s="2">
        <v>15631.37</v>
      </c>
    </row>
    <row r="3325" spans="1:8">
      <c r="A3325" t="s">
        <v>90</v>
      </c>
      <c r="B3325" t="s">
        <v>91</v>
      </c>
      <c r="C3325" t="s">
        <v>51</v>
      </c>
      <c r="D3325" t="s">
        <v>29</v>
      </c>
      <c r="E3325">
        <v>2023</v>
      </c>
      <c r="F3325" t="s">
        <v>21</v>
      </c>
      <c r="G3325" t="s">
        <v>13</v>
      </c>
      <c r="H3325" s="2">
        <v>111100.65</v>
      </c>
    </row>
    <row r="3326" spans="1:8">
      <c r="A3326" t="s">
        <v>90</v>
      </c>
      <c r="B3326" t="s">
        <v>91</v>
      </c>
      <c r="C3326" t="s">
        <v>51</v>
      </c>
      <c r="D3326" t="s">
        <v>29</v>
      </c>
      <c r="E3326">
        <v>2023</v>
      </c>
      <c r="F3326" t="s">
        <v>16</v>
      </c>
      <c r="G3326" t="s">
        <v>19</v>
      </c>
      <c r="H3326" s="2">
        <v>0</v>
      </c>
    </row>
    <row r="3327" spans="1:8">
      <c r="A3327" t="s">
        <v>90</v>
      </c>
      <c r="B3327" t="s">
        <v>91</v>
      </c>
      <c r="C3327" t="s">
        <v>51</v>
      </c>
      <c r="D3327" t="s">
        <v>29</v>
      </c>
      <c r="E3327">
        <v>2024</v>
      </c>
      <c r="F3327" t="s">
        <v>20</v>
      </c>
      <c r="G3327" t="s">
        <v>17</v>
      </c>
      <c r="H3327" s="2">
        <v>-448.25</v>
      </c>
    </row>
    <row r="3328" spans="1:8">
      <c r="A3328" t="s">
        <v>90</v>
      </c>
      <c r="B3328" t="s">
        <v>91</v>
      </c>
      <c r="C3328" t="s">
        <v>51</v>
      </c>
      <c r="D3328" t="s">
        <v>29</v>
      </c>
      <c r="E3328">
        <v>2024</v>
      </c>
      <c r="F3328" t="s">
        <v>14</v>
      </c>
      <c r="G3328" t="s">
        <v>17</v>
      </c>
      <c r="H3328" s="2">
        <v>332.4</v>
      </c>
    </row>
    <row r="3329" spans="1:8">
      <c r="A3329" t="s">
        <v>92</v>
      </c>
      <c r="B3329" t="s">
        <v>93</v>
      </c>
      <c r="C3329" t="s">
        <v>32</v>
      </c>
      <c r="D3329" t="s">
        <v>29</v>
      </c>
      <c r="E3329">
        <v>1990</v>
      </c>
      <c r="F3329" t="s">
        <v>14</v>
      </c>
      <c r="G3329" t="s">
        <v>17</v>
      </c>
      <c r="H3329" s="2">
        <v>268.32</v>
      </c>
    </row>
    <row r="3330" spans="1:8">
      <c r="A3330" t="s">
        <v>92</v>
      </c>
      <c r="B3330" t="s">
        <v>93</v>
      </c>
      <c r="C3330" t="s">
        <v>32</v>
      </c>
      <c r="D3330" t="s">
        <v>29</v>
      </c>
      <c r="E3330">
        <v>1990</v>
      </c>
      <c r="F3330" t="s">
        <v>21</v>
      </c>
      <c r="G3330" t="s">
        <v>19</v>
      </c>
      <c r="H3330" s="2">
        <v>0</v>
      </c>
    </row>
    <row r="3331" spans="1:8">
      <c r="A3331" t="s">
        <v>92</v>
      </c>
      <c r="B3331" t="s">
        <v>93</v>
      </c>
      <c r="C3331" t="s">
        <v>32</v>
      </c>
      <c r="D3331" t="s">
        <v>29</v>
      </c>
      <c r="E3331">
        <v>1991</v>
      </c>
      <c r="F3331" t="s">
        <v>12</v>
      </c>
      <c r="G3331" t="s">
        <v>15</v>
      </c>
      <c r="H3331" s="2">
        <v>726.06</v>
      </c>
    </row>
    <row r="3332" spans="1:8">
      <c r="A3332" t="s">
        <v>92</v>
      </c>
      <c r="B3332" t="s">
        <v>93</v>
      </c>
      <c r="C3332" t="s">
        <v>32</v>
      </c>
      <c r="D3332" t="s">
        <v>29</v>
      </c>
      <c r="E3332">
        <v>1991</v>
      </c>
      <c r="F3332" t="s">
        <v>12</v>
      </c>
      <c r="G3332" t="s">
        <v>13</v>
      </c>
      <c r="H3332" s="2">
        <v>8554.4500000000007</v>
      </c>
    </row>
    <row r="3333" spans="1:8">
      <c r="A3333" t="s">
        <v>92</v>
      </c>
      <c r="B3333" t="s">
        <v>93</v>
      </c>
      <c r="C3333" t="s">
        <v>32</v>
      </c>
      <c r="D3333" t="s">
        <v>29</v>
      </c>
      <c r="E3333">
        <v>1991</v>
      </c>
      <c r="F3333" t="s">
        <v>18</v>
      </c>
      <c r="G3333" t="s">
        <v>19</v>
      </c>
      <c r="H3333" s="2">
        <v>2370.8200000000002</v>
      </c>
    </row>
    <row r="3334" spans="1:8">
      <c r="A3334" t="s">
        <v>92</v>
      </c>
      <c r="B3334" t="s">
        <v>93</v>
      </c>
      <c r="C3334" t="s">
        <v>32</v>
      </c>
      <c r="D3334" t="s">
        <v>29</v>
      </c>
      <c r="E3334">
        <v>1992</v>
      </c>
      <c r="F3334" t="s">
        <v>16</v>
      </c>
      <c r="G3334" t="s">
        <v>15</v>
      </c>
      <c r="H3334" s="2">
        <v>1568.42</v>
      </c>
    </row>
    <row r="3335" spans="1:8">
      <c r="A3335" t="s">
        <v>92</v>
      </c>
      <c r="B3335" t="s">
        <v>93</v>
      </c>
      <c r="C3335" t="s">
        <v>32</v>
      </c>
      <c r="D3335" t="s">
        <v>29</v>
      </c>
      <c r="E3335">
        <v>1992</v>
      </c>
      <c r="F3335" t="s">
        <v>16</v>
      </c>
      <c r="G3335" t="s">
        <v>19</v>
      </c>
      <c r="H3335" s="2">
        <v>0</v>
      </c>
    </row>
    <row r="3336" spans="1:8">
      <c r="A3336" t="s">
        <v>92</v>
      </c>
      <c r="B3336" t="s">
        <v>93</v>
      </c>
      <c r="C3336" t="s">
        <v>32</v>
      </c>
      <c r="D3336" t="s">
        <v>29</v>
      </c>
      <c r="E3336">
        <v>1993</v>
      </c>
      <c r="F3336" t="s">
        <v>20</v>
      </c>
      <c r="G3336" t="s">
        <v>15</v>
      </c>
      <c r="H3336" s="2">
        <v>107.93</v>
      </c>
    </row>
    <row r="3337" spans="1:8">
      <c r="A3337" t="s">
        <v>92</v>
      </c>
      <c r="B3337" t="s">
        <v>93</v>
      </c>
      <c r="C3337" t="s">
        <v>32</v>
      </c>
      <c r="D3337" t="s">
        <v>29</v>
      </c>
      <c r="E3337">
        <v>1993</v>
      </c>
      <c r="F3337" t="s">
        <v>14</v>
      </c>
      <c r="G3337" t="s">
        <v>15</v>
      </c>
      <c r="H3337" s="2">
        <v>415.21</v>
      </c>
    </row>
    <row r="3338" spans="1:8">
      <c r="A3338" t="s">
        <v>92</v>
      </c>
      <c r="B3338" t="s">
        <v>93</v>
      </c>
      <c r="C3338" t="s">
        <v>32</v>
      </c>
      <c r="D3338" t="s">
        <v>29</v>
      </c>
      <c r="E3338">
        <v>1993</v>
      </c>
      <c r="F3338" t="s">
        <v>16</v>
      </c>
      <c r="G3338" t="s">
        <v>15</v>
      </c>
      <c r="H3338" s="2">
        <v>1780.92</v>
      </c>
    </row>
    <row r="3339" spans="1:8">
      <c r="A3339" t="s">
        <v>92</v>
      </c>
      <c r="B3339" t="s">
        <v>93</v>
      </c>
      <c r="C3339" t="s">
        <v>32</v>
      </c>
      <c r="D3339" t="s">
        <v>29</v>
      </c>
      <c r="E3339">
        <v>1994</v>
      </c>
      <c r="F3339" t="s">
        <v>12</v>
      </c>
      <c r="G3339" t="s">
        <v>17</v>
      </c>
      <c r="H3339" s="2">
        <v>300.55</v>
      </c>
    </row>
    <row r="3340" spans="1:8">
      <c r="A3340" t="s">
        <v>92</v>
      </c>
      <c r="B3340" t="s">
        <v>93</v>
      </c>
      <c r="C3340" t="s">
        <v>32</v>
      </c>
      <c r="D3340" t="s">
        <v>29</v>
      </c>
      <c r="E3340">
        <v>1994</v>
      </c>
      <c r="F3340" t="s">
        <v>20</v>
      </c>
      <c r="G3340" t="s">
        <v>13</v>
      </c>
      <c r="H3340" s="2">
        <v>10420.51</v>
      </c>
    </row>
    <row r="3341" spans="1:8">
      <c r="A3341" t="s">
        <v>92</v>
      </c>
      <c r="B3341" t="s">
        <v>93</v>
      </c>
      <c r="C3341" t="s">
        <v>32</v>
      </c>
      <c r="D3341" t="s">
        <v>29</v>
      </c>
      <c r="E3341">
        <v>1994</v>
      </c>
      <c r="F3341" t="s">
        <v>14</v>
      </c>
      <c r="G3341" t="s">
        <v>13</v>
      </c>
      <c r="H3341" s="2">
        <v>13003.11</v>
      </c>
    </row>
    <row r="3342" spans="1:8">
      <c r="A3342" t="s">
        <v>92</v>
      </c>
      <c r="B3342" t="s">
        <v>93</v>
      </c>
      <c r="C3342" t="s">
        <v>32</v>
      </c>
      <c r="D3342" t="s">
        <v>29</v>
      </c>
      <c r="E3342">
        <v>1995</v>
      </c>
      <c r="F3342" t="s">
        <v>12</v>
      </c>
      <c r="G3342" t="s">
        <v>13</v>
      </c>
      <c r="H3342" s="2">
        <v>8205.49</v>
      </c>
    </row>
    <row r="3343" spans="1:8">
      <c r="A3343" t="s">
        <v>92</v>
      </c>
      <c r="B3343" t="s">
        <v>93</v>
      </c>
      <c r="C3343" t="s">
        <v>32</v>
      </c>
      <c r="D3343" t="s">
        <v>29</v>
      </c>
      <c r="E3343">
        <v>1995</v>
      </c>
      <c r="F3343" t="s">
        <v>16</v>
      </c>
      <c r="G3343" t="s">
        <v>19</v>
      </c>
      <c r="H3343" s="2">
        <v>0</v>
      </c>
    </row>
    <row r="3344" spans="1:8">
      <c r="A3344" t="s">
        <v>92</v>
      </c>
      <c r="B3344" t="s">
        <v>93</v>
      </c>
      <c r="C3344" t="s">
        <v>32</v>
      </c>
      <c r="D3344" t="s">
        <v>29</v>
      </c>
      <c r="E3344">
        <v>1996</v>
      </c>
      <c r="F3344" t="s">
        <v>22</v>
      </c>
      <c r="G3344" t="s">
        <v>19</v>
      </c>
      <c r="H3344" s="2">
        <v>0</v>
      </c>
    </row>
    <row r="3345" spans="1:8">
      <c r="A3345" t="s">
        <v>92</v>
      </c>
      <c r="B3345" t="s">
        <v>93</v>
      </c>
      <c r="C3345" t="s">
        <v>32</v>
      </c>
      <c r="D3345" t="s">
        <v>29</v>
      </c>
      <c r="E3345">
        <v>1996</v>
      </c>
      <c r="F3345" t="s">
        <v>22</v>
      </c>
      <c r="G3345" t="s">
        <v>17</v>
      </c>
      <c r="H3345" s="2">
        <v>2374.0100000000002</v>
      </c>
    </row>
    <row r="3346" spans="1:8">
      <c r="A3346" t="s">
        <v>92</v>
      </c>
      <c r="B3346" t="s">
        <v>93</v>
      </c>
      <c r="C3346" t="s">
        <v>32</v>
      </c>
      <c r="D3346" t="s">
        <v>29</v>
      </c>
      <c r="E3346">
        <v>1997</v>
      </c>
      <c r="F3346" t="s">
        <v>12</v>
      </c>
      <c r="G3346" t="s">
        <v>19</v>
      </c>
      <c r="H3346" s="2">
        <v>0</v>
      </c>
    </row>
    <row r="3347" spans="1:8">
      <c r="A3347" t="s">
        <v>92</v>
      </c>
      <c r="B3347" t="s">
        <v>93</v>
      </c>
      <c r="C3347" t="s">
        <v>32</v>
      </c>
      <c r="D3347" t="s">
        <v>29</v>
      </c>
      <c r="E3347">
        <v>1997</v>
      </c>
      <c r="F3347" t="s">
        <v>12</v>
      </c>
      <c r="G3347" t="s">
        <v>17</v>
      </c>
      <c r="H3347" s="2">
        <v>287.39</v>
      </c>
    </row>
    <row r="3348" spans="1:8">
      <c r="A3348" t="s">
        <v>92</v>
      </c>
      <c r="B3348" t="s">
        <v>93</v>
      </c>
      <c r="C3348" t="s">
        <v>32</v>
      </c>
      <c r="D3348" t="s">
        <v>29</v>
      </c>
      <c r="E3348">
        <v>1997</v>
      </c>
      <c r="F3348" t="s">
        <v>20</v>
      </c>
      <c r="G3348" t="s">
        <v>19</v>
      </c>
      <c r="H3348" s="2">
        <v>0</v>
      </c>
    </row>
    <row r="3349" spans="1:8">
      <c r="A3349" t="s">
        <v>92</v>
      </c>
      <c r="B3349" t="s">
        <v>93</v>
      </c>
      <c r="C3349" t="s">
        <v>32</v>
      </c>
      <c r="D3349" t="s">
        <v>29</v>
      </c>
      <c r="E3349">
        <v>1997</v>
      </c>
      <c r="F3349" t="s">
        <v>20</v>
      </c>
      <c r="G3349" t="s">
        <v>17</v>
      </c>
      <c r="H3349" s="2">
        <v>107.48</v>
      </c>
    </row>
    <row r="3350" spans="1:8">
      <c r="A3350" t="s">
        <v>92</v>
      </c>
      <c r="B3350" t="s">
        <v>93</v>
      </c>
      <c r="C3350" t="s">
        <v>32</v>
      </c>
      <c r="D3350" t="s">
        <v>29</v>
      </c>
      <c r="E3350">
        <v>1997</v>
      </c>
      <c r="F3350" t="s">
        <v>14</v>
      </c>
      <c r="G3350" t="s">
        <v>13</v>
      </c>
      <c r="H3350" s="2">
        <v>12662.05</v>
      </c>
    </row>
    <row r="3351" spans="1:8">
      <c r="A3351" t="s">
        <v>92</v>
      </c>
      <c r="B3351" t="s">
        <v>93</v>
      </c>
      <c r="C3351" t="s">
        <v>32</v>
      </c>
      <c r="D3351" t="s">
        <v>29</v>
      </c>
      <c r="E3351">
        <v>1997</v>
      </c>
      <c r="F3351" t="s">
        <v>21</v>
      </c>
      <c r="G3351" t="s">
        <v>13</v>
      </c>
      <c r="H3351" s="2">
        <v>11713.42</v>
      </c>
    </row>
    <row r="3352" spans="1:8">
      <c r="A3352" t="s">
        <v>92</v>
      </c>
      <c r="B3352" t="s">
        <v>93</v>
      </c>
      <c r="C3352" t="s">
        <v>32</v>
      </c>
      <c r="D3352" t="s">
        <v>29</v>
      </c>
      <c r="E3352">
        <v>1997</v>
      </c>
      <c r="F3352" t="s">
        <v>21</v>
      </c>
      <c r="G3352" t="s">
        <v>19</v>
      </c>
      <c r="H3352" s="2">
        <v>0</v>
      </c>
    </row>
    <row r="3353" spans="1:8">
      <c r="A3353" t="s">
        <v>92</v>
      </c>
      <c r="B3353" t="s">
        <v>93</v>
      </c>
      <c r="C3353" t="s">
        <v>32</v>
      </c>
      <c r="D3353" t="s">
        <v>29</v>
      </c>
      <c r="E3353">
        <v>1997</v>
      </c>
      <c r="F3353" t="s">
        <v>16</v>
      </c>
      <c r="G3353" t="s">
        <v>13</v>
      </c>
      <c r="H3353" s="2">
        <v>364.64</v>
      </c>
    </row>
    <row r="3354" spans="1:8">
      <c r="A3354" t="s">
        <v>92</v>
      </c>
      <c r="B3354" t="s">
        <v>93</v>
      </c>
      <c r="C3354" t="s">
        <v>32</v>
      </c>
      <c r="D3354" t="s">
        <v>29</v>
      </c>
      <c r="E3354">
        <v>1997</v>
      </c>
      <c r="F3354" t="s">
        <v>16</v>
      </c>
      <c r="G3354" t="s">
        <v>19</v>
      </c>
      <c r="H3354" s="2">
        <v>0</v>
      </c>
    </row>
    <row r="3355" spans="1:8">
      <c r="A3355" t="s">
        <v>92</v>
      </c>
      <c r="B3355" t="s">
        <v>93</v>
      </c>
      <c r="C3355" t="s">
        <v>32</v>
      </c>
      <c r="D3355" t="s">
        <v>29</v>
      </c>
      <c r="E3355">
        <v>1998</v>
      </c>
      <c r="F3355" t="s">
        <v>16</v>
      </c>
      <c r="G3355" t="s">
        <v>13</v>
      </c>
      <c r="H3355" s="2">
        <v>388.21</v>
      </c>
    </row>
    <row r="3356" spans="1:8">
      <c r="A3356" t="s">
        <v>92</v>
      </c>
      <c r="B3356" t="s">
        <v>93</v>
      </c>
      <c r="C3356" t="s">
        <v>32</v>
      </c>
      <c r="D3356" t="s">
        <v>29</v>
      </c>
      <c r="E3356">
        <v>1999</v>
      </c>
      <c r="F3356" t="s">
        <v>12</v>
      </c>
      <c r="G3356" t="s">
        <v>15</v>
      </c>
      <c r="H3356" s="2">
        <v>681.03</v>
      </c>
    </row>
    <row r="3357" spans="1:8">
      <c r="A3357" t="s">
        <v>92</v>
      </c>
      <c r="B3357" t="s">
        <v>93</v>
      </c>
      <c r="C3357" t="s">
        <v>32</v>
      </c>
      <c r="D3357" t="s">
        <v>29</v>
      </c>
      <c r="E3357">
        <v>1999</v>
      </c>
      <c r="F3357" t="s">
        <v>20</v>
      </c>
      <c r="G3357" t="s">
        <v>15</v>
      </c>
      <c r="H3357" s="2">
        <v>114.65</v>
      </c>
    </row>
    <row r="3358" spans="1:8">
      <c r="A3358" t="s">
        <v>92</v>
      </c>
      <c r="B3358" t="s">
        <v>93</v>
      </c>
      <c r="C3358" t="s">
        <v>32</v>
      </c>
      <c r="D3358" t="s">
        <v>29</v>
      </c>
      <c r="E3358">
        <v>1999</v>
      </c>
      <c r="F3358" t="s">
        <v>20</v>
      </c>
      <c r="G3358" t="s">
        <v>19</v>
      </c>
      <c r="H3358" s="2">
        <v>0</v>
      </c>
    </row>
    <row r="3359" spans="1:8">
      <c r="A3359" t="s">
        <v>92</v>
      </c>
      <c r="B3359" t="s">
        <v>93</v>
      </c>
      <c r="C3359" t="s">
        <v>32</v>
      </c>
      <c r="D3359" t="s">
        <v>29</v>
      </c>
      <c r="E3359">
        <v>1999</v>
      </c>
      <c r="F3359" t="s">
        <v>14</v>
      </c>
      <c r="G3359" t="s">
        <v>17</v>
      </c>
      <c r="H3359" s="2">
        <v>297.58999999999997</v>
      </c>
    </row>
    <row r="3360" spans="1:8">
      <c r="A3360" t="s">
        <v>92</v>
      </c>
      <c r="B3360" t="s">
        <v>93</v>
      </c>
      <c r="C3360" t="s">
        <v>32</v>
      </c>
      <c r="D3360" t="s">
        <v>29</v>
      </c>
      <c r="E3360">
        <v>1999</v>
      </c>
      <c r="F3360" t="s">
        <v>21</v>
      </c>
      <c r="G3360" t="s">
        <v>17</v>
      </c>
      <c r="H3360" s="2">
        <v>110.5</v>
      </c>
    </row>
    <row r="3361" spans="1:8">
      <c r="A3361" t="s">
        <v>92</v>
      </c>
      <c r="B3361" t="s">
        <v>93</v>
      </c>
      <c r="C3361" t="s">
        <v>32</v>
      </c>
      <c r="D3361" t="s">
        <v>29</v>
      </c>
      <c r="E3361">
        <v>1999</v>
      </c>
      <c r="F3361" t="s">
        <v>16</v>
      </c>
      <c r="G3361" t="s">
        <v>13</v>
      </c>
      <c r="H3361" s="2">
        <v>338.39</v>
      </c>
    </row>
    <row r="3362" spans="1:8">
      <c r="A3362" t="s">
        <v>92</v>
      </c>
      <c r="B3362" t="s">
        <v>93</v>
      </c>
      <c r="C3362" t="s">
        <v>32</v>
      </c>
      <c r="D3362" t="s">
        <v>29</v>
      </c>
      <c r="E3362">
        <v>2000</v>
      </c>
      <c r="F3362" t="s">
        <v>22</v>
      </c>
      <c r="G3362" t="s">
        <v>17</v>
      </c>
      <c r="H3362" s="2">
        <v>2469.9299999999998</v>
      </c>
    </row>
    <row r="3363" spans="1:8">
      <c r="A3363" t="s">
        <v>92</v>
      </c>
      <c r="B3363" t="s">
        <v>93</v>
      </c>
      <c r="C3363" t="s">
        <v>32</v>
      </c>
      <c r="D3363" t="s">
        <v>29</v>
      </c>
      <c r="E3363">
        <v>2000</v>
      </c>
      <c r="F3363" t="s">
        <v>12</v>
      </c>
      <c r="G3363" t="s">
        <v>19</v>
      </c>
      <c r="H3363" s="2">
        <v>0</v>
      </c>
    </row>
    <row r="3364" spans="1:8">
      <c r="A3364" t="s">
        <v>92</v>
      </c>
      <c r="B3364" t="s">
        <v>93</v>
      </c>
      <c r="C3364" t="s">
        <v>32</v>
      </c>
      <c r="D3364" t="s">
        <v>29</v>
      </c>
      <c r="E3364">
        <v>2000</v>
      </c>
      <c r="F3364" t="s">
        <v>14</v>
      </c>
      <c r="G3364" t="s">
        <v>15</v>
      </c>
      <c r="H3364" s="2">
        <v>432.31</v>
      </c>
    </row>
    <row r="3365" spans="1:8">
      <c r="A3365" t="s">
        <v>92</v>
      </c>
      <c r="B3365" t="s">
        <v>93</v>
      </c>
      <c r="C3365" t="s">
        <v>32</v>
      </c>
      <c r="D3365" t="s">
        <v>29</v>
      </c>
      <c r="E3365">
        <v>2001</v>
      </c>
      <c r="F3365" t="s">
        <v>22</v>
      </c>
      <c r="G3365" t="s">
        <v>17</v>
      </c>
      <c r="H3365" s="2">
        <v>2448.12</v>
      </c>
    </row>
    <row r="3366" spans="1:8">
      <c r="A3366" t="s">
        <v>92</v>
      </c>
      <c r="B3366" t="s">
        <v>93</v>
      </c>
      <c r="C3366" t="s">
        <v>32</v>
      </c>
      <c r="D3366" t="s">
        <v>29</v>
      </c>
      <c r="E3366">
        <v>2001</v>
      </c>
      <c r="F3366" t="s">
        <v>12</v>
      </c>
      <c r="G3366" t="s">
        <v>19</v>
      </c>
      <c r="H3366" s="2">
        <v>0</v>
      </c>
    </row>
    <row r="3367" spans="1:8">
      <c r="A3367" t="s">
        <v>92</v>
      </c>
      <c r="B3367" t="s">
        <v>93</v>
      </c>
      <c r="C3367" t="s">
        <v>32</v>
      </c>
      <c r="D3367" t="s">
        <v>29</v>
      </c>
      <c r="E3367">
        <v>2002</v>
      </c>
      <c r="F3367" t="s">
        <v>18</v>
      </c>
      <c r="G3367" t="s">
        <v>17</v>
      </c>
      <c r="H3367" s="2">
        <v>3000.2</v>
      </c>
    </row>
    <row r="3368" spans="1:8">
      <c r="A3368" t="s">
        <v>92</v>
      </c>
      <c r="B3368" t="s">
        <v>93</v>
      </c>
      <c r="C3368" t="s">
        <v>32</v>
      </c>
      <c r="D3368" t="s">
        <v>29</v>
      </c>
      <c r="E3368">
        <v>2002</v>
      </c>
      <c r="F3368" t="s">
        <v>20</v>
      </c>
      <c r="G3368" t="s">
        <v>17</v>
      </c>
      <c r="H3368" s="2">
        <v>130.91999999999999</v>
      </c>
    </row>
    <row r="3369" spans="1:8">
      <c r="A3369" t="s">
        <v>92</v>
      </c>
      <c r="B3369" t="s">
        <v>93</v>
      </c>
      <c r="C3369" t="s">
        <v>32</v>
      </c>
      <c r="D3369" t="s">
        <v>29</v>
      </c>
      <c r="E3369">
        <v>2002</v>
      </c>
      <c r="F3369" t="s">
        <v>21</v>
      </c>
      <c r="G3369" t="s">
        <v>13</v>
      </c>
      <c r="H3369" s="2">
        <v>12893.8</v>
      </c>
    </row>
    <row r="3370" spans="1:8">
      <c r="A3370" t="s">
        <v>92</v>
      </c>
      <c r="B3370" t="s">
        <v>93</v>
      </c>
      <c r="C3370" t="s">
        <v>32</v>
      </c>
      <c r="D3370" t="s">
        <v>29</v>
      </c>
      <c r="E3370">
        <v>2003</v>
      </c>
      <c r="F3370" t="s">
        <v>18</v>
      </c>
      <c r="G3370" t="s">
        <v>15</v>
      </c>
      <c r="H3370" s="2">
        <v>2730.16</v>
      </c>
    </row>
    <row r="3371" spans="1:8">
      <c r="A3371" t="s">
        <v>92</v>
      </c>
      <c r="B3371" t="s">
        <v>93</v>
      </c>
      <c r="C3371" t="s">
        <v>32</v>
      </c>
      <c r="D3371" t="s">
        <v>29</v>
      </c>
      <c r="E3371">
        <v>2003</v>
      </c>
      <c r="F3371" t="s">
        <v>18</v>
      </c>
      <c r="G3371" t="s">
        <v>17</v>
      </c>
      <c r="H3371" s="2">
        <v>2972.01</v>
      </c>
    </row>
    <row r="3372" spans="1:8">
      <c r="A3372" t="s">
        <v>92</v>
      </c>
      <c r="B3372" t="s">
        <v>93</v>
      </c>
      <c r="C3372" t="s">
        <v>32</v>
      </c>
      <c r="D3372" t="s">
        <v>29</v>
      </c>
      <c r="E3372">
        <v>2003</v>
      </c>
      <c r="F3372" t="s">
        <v>16</v>
      </c>
      <c r="G3372" t="s">
        <v>19</v>
      </c>
      <c r="H3372" s="2">
        <v>0</v>
      </c>
    </row>
    <row r="3373" spans="1:8">
      <c r="A3373" t="s">
        <v>92</v>
      </c>
      <c r="B3373" t="s">
        <v>93</v>
      </c>
      <c r="C3373" t="s">
        <v>32</v>
      </c>
      <c r="D3373" t="s">
        <v>29</v>
      </c>
      <c r="E3373">
        <v>2003</v>
      </c>
      <c r="F3373" t="s">
        <v>16</v>
      </c>
      <c r="G3373" t="s">
        <v>17</v>
      </c>
      <c r="H3373" s="2">
        <v>118.98</v>
      </c>
    </row>
    <row r="3374" spans="1:8">
      <c r="A3374" t="s">
        <v>92</v>
      </c>
      <c r="B3374" t="s">
        <v>93</v>
      </c>
      <c r="C3374" t="s">
        <v>32</v>
      </c>
      <c r="D3374" t="s">
        <v>29</v>
      </c>
      <c r="E3374">
        <v>2005</v>
      </c>
      <c r="F3374" t="s">
        <v>21</v>
      </c>
      <c r="G3374" t="s">
        <v>17</v>
      </c>
      <c r="H3374" s="2">
        <v>123.87</v>
      </c>
    </row>
    <row r="3375" spans="1:8">
      <c r="A3375" t="s">
        <v>92</v>
      </c>
      <c r="B3375" t="s">
        <v>93</v>
      </c>
      <c r="C3375" t="s">
        <v>32</v>
      </c>
      <c r="D3375" t="s">
        <v>29</v>
      </c>
      <c r="E3375">
        <v>2006</v>
      </c>
      <c r="F3375" t="s">
        <v>18</v>
      </c>
      <c r="G3375" t="s">
        <v>13</v>
      </c>
      <c r="H3375" s="2">
        <v>49401.2</v>
      </c>
    </row>
    <row r="3376" spans="1:8">
      <c r="A3376" t="s">
        <v>92</v>
      </c>
      <c r="B3376" t="s">
        <v>93</v>
      </c>
      <c r="C3376" t="s">
        <v>32</v>
      </c>
      <c r="D3376" t="s">
        <v>29</v>
      </c>
      <c r="E3376">
        <v>2006</v>
      </c>
      <c r="F3376" t="s">
        <v>14</v>
      </c>
      <c r="G3376" t="s">
        <v>17</v>
      </c>
      <c r="H3376" s="2">
        <v>299.06</v>
      </c>
    </row>
    <row r="3377" spans="1:8">
      <c r="A3377" t="s">
        <v>92</v>
      </c>
      <c r="B3377" t="s">
        <v>93</v>
      </c>
      <c r="C3377" t="s">
        <v>32</v>
      </c>
      <c r="D3377" t="s">
        <v>29</v>
      </c>
      <c r="E3377">
        <v>2006</v>
      </c>
      <c r="F3377" t="s">
        <v>16</v>
      </c>
      <c r="G3377" t="s">
        <v>17</v>
      </c>
      <c r="H3377" s="2">
        <v>118.84</v>
      </c>
    </row>
    <row r="3378" spans="1:8">
      <c r="A3378" t="s">
        <v>92</v>
      </c>
      <c r="B3378" t="s">
        <v>93</v>
      </c>
      <c r="C3378" t="s">
        <v>32</v>
      </c>
      <c r="D3378" t="s">
        <v>29</v>
      </c>
      <c r="E3378">
        <v>2007</v>
      </c>
      <c r="F3378" t="s">
        <v>14</v>
      </c>
      <c r="G3378" t="s">
        <v>19</v>
      </c>
      <c r="H3378" s="2">
        <v>0</v>
      </c>
    </row>
    <row r="3379" spans="1:8">
      <c r="A3379" t="s">
        <v>92</v>
      </c>
      <c r="B3379" t="s">
        <v>93</v>
      </c>
      <c r="C3379" t="s">
        <v>32</v>
      </c>
      <c r="D3379" t="s">
        <v>29</v>
      </c>
      <c r="E3379">
        <v>2008</v>
      </c>
      <c r="F3379" t="s">
        <v>22</v>
      </c>
      <c r="G3379" t="s">
        <v>15</v>
      </c>
      <c r="H3379" s="2">
        <v>9418.75</v>
      </c>
    </row>
    <row r="3380" spans="1:8">
      <c r="A3380" t="s">
        <v>92</v>
      </c>
      <c r="B3380" t="s">
        <v>93</v>
      </c>
      <c r="C3380" t="s">
        <v>32</v>
      </c>
      <c r="D3380" t="s">
        <v>29</v>
      </c>
      <c r="E3380">
        <v>2008</v>
      </c>
      <c r="F3380" t="s">
        <v>18</v>
      </c>
      <c r="G3380" t="s">
        <v>19</v>
      </c>
      <c r="H3380" s="2">
        <v>2942.48</v>
      </c>
    </row>
    <row r="3381" spans="1:8">
      <c r="A3381" t="s">
        <v>92</v>
      </c>
      <c r="B3381" t="s">
        <v>93</v>
      </c>
      <c r="C3381" t="s">
        <v>32</v>
      </c>
      <c r="D3381" t="s">
        <v>29</v>
      </c>
      <c r="E3381">
        <v>2008</v>
      </c>
      <c r="F3381" t="s">
        <v>18</v>
      </c>
      <c r="G3381" t="s">
        <v>17</v>
      </c>
      <c r="H3381" s="2">
        <v>2794.61</v>
      </c>
    </row>
    <row r="3382" spans="1:8">
      <c r="A3382" t="s">
        <v>92</v>
      </c>
      <c r="B3382" t="s">
        <v>93</v>
      </c>
      <c r="C3382" t="s">
        <v>32</v>
      </c>
      <c r="D3382" t="s">
        <v>29</v>
      </c>
      <c r="E3382">
        <v>2008</v>
      </c>
      <c r="F3382" t="s">
        <v>20</v>
      </c>
      <c r="G3382" t="s">
        <v>15</v>
      </c>
      <c r="H3382" s="2">
        <v>126.62</v>
      </c>
    </row>
    <row r="3383" spans="1:8">
      <c r="A3383" t="s">
        <v>92</v>
      </c>
      <c r="B3383" t="s">
        <v>93</v>
      </c>
      <c r="C3383" t="s">
        <v>32</v>
      </c>
      <c r="D3383" t="s">
        <v>29</v>
      </c>
      <c r="E3383">
        <v>2008</v>
      </c>
      <c r="F3383" t="s">
        <v>16</v>
      </c>
      <c r="G3383" t="s">
        <v>15</v>
      </c>
      <c r="H3383" s="2">
        <v>1938.72</v>
      </c>
    </row>
    <row r="3384" spans="1:8">
      <c r="A3384" t="s">
        <v>92</v>
      </c>
      <c r="B3384" t="s">
        <v>93</v>
      </c>
      <c r="C3384" t="s">
        <v>32</v>
      </c>
      <c r="D3384" t="s">
        <v>29</v>
      </c>
      <c r="E3384">
        <v>2008</v>
      </c>
      <c r="F3384" t="s">
        <v>16</v>
      </c>
      <c r="G3384" t="s">
        <v>19</v>
      </c>
      <c r="H3384" s="2">
        <v>0</v>
      </c>
    </row>
    <row r="3385" spans="1:8">
      <c r="A3385" t="s">
        <v>92</v>
      </c>
      <c r="B3385" t="s">
        <v>93</v>
      </c>
      <c r="C3385" t="s">
        <v>32</v>
      </c>
      <c r="D3385" t="s">
        <v>29</v>
      </c>
      <c r="E3385">
        <v>2008</v>
      </c>
      <c r="F3385" t="s">
        <v>16</v>
      </c>
      <c r="G3385" t="s">
        <v>17</v>
      </c>
      <c r="H3385" s="2">
        <v>117.69</v>
      </c>
    </row>
    <row r="3386" spans="1:8">
      <c r="A3386" t="s">
        <v>92</v>
      </c>
      <c r="B3386" t="s">
        <v>93</v>
      </c>
      <c r="C3386" t="s">
        <v>32</v>
      </c>
      <c r="D3386" t="s">
        <v>29</v>
      </c>
      <c r="E3386">
        <v>2009</v>
      </c>
      <c r="F3386" t="s">
        <v>22</v>
      </c>
      <c r="G3386" t="s">
        <v>19</v>
      </c>
      <c r="H3386" s="2">
        <v>0</v>
      </c>
    </row>
    <row r="3387" spans="1:8">
      <c r="A3387" t="s">
        <v>92</v>
      </c>
      <c r="B3387" t="s">
        <v>93</v>
      </c>
      <c r="C3387" t="s">
        <v>32</v>
      </c>
      <c r="D3387" t="s">
        <v>29</v>
      </c>
      <c r="E3387">
        <v>2009</v>
      </c>
      <c r="F3387" t="s">
        <v>12</v>
      </c>
      <c r="G3387" t="s">
        <v>17</v>
      </c>
      <c r="H3387" s="2">
        <v>313.44</v>
      </c>
    </row>
    <row r="3388" spans="1:8">
      <c r="A3388" t="s">
        <v>92</v>
      </c>
      <c r="B3388" t="s">
        <v>93</v>
      </c>
      <c r="C3388" t="s">
        <v>32</v>
      </c>
      <c r="D3388" t="s">
        <v>29</v>
      </c>
      <c r="E3388">
        <v>2009</v>
      </c>
      <c r="F3388" t="s">
        <v>18</v>
      </c>
      <c r="G3388" t="s">
        <v>13</v>
      </c>
      <c r="H3388" s="2">
        <v>48512.63</v>
      </c>
    </row>
    <row r="3389" spans="1:8">
      <c r="A3389" t="s">
        <v>92</v>
      </c>
      <c r="B3389" t="s">
        <v>93</v>
      </c>
      <c r="C3389" t="s">
        <v>32</v>
      </c>
      <c r="D3389" t="s">
        <v>29</v>
      </c>
      <c r="E3389">
        <v>2010</v>
      </c>
      <c r="F3389" t="s">
        <v>18</v>
      </c>
      <c r="G3389" t="s">
        <v>13</v>
      </c>
      <c r="H3389" s="2">
        <v>44127.63</v>
      </c>
    </row>
    <row r="3390" spans="1:8">
      <c r="A3390" t="s">
        <v>92</v>
      </c>
      <c r="B3390" t="s">
        <v>93</v>
      </c>
      <c r="C3390" t="s">
        <v>32</v>
      </c>
      <c r="D3390" t="s">
        <v>29</v>
      </c>
      <c r="E3390">
        <v>2010</v>
      </c>
      <c r="F3390" t="s">
        <v>20</v>
      </c>
      <c r="G3390" t="s">
        <v>15</v>
      </c>
      <c r="H3390" s="2">
        <v>108.41</v>
      </c>
    </row>
    <row r="3391" spans="1:8">
      <c r="A3391" t="s">
        <v>92</v>
      </c>
      <c r="B3391" t="s">
        <v>93</v>
      </c>
      <c r="C3391" t="s">
        <v>32</v>
      </c>
      <c r="D3391" t="s">
        <v>29</v>
      </c>
      <c r="E3391">
        <v>2011</v>
      </c>
      <c r="F3391" t="s">
        <v>14</v>
      </c>
      <c r="G3391" t="s">
        <v>17</v>
      </c>
      <c r="H3391" s="2">
        <v>291.77999999999997</v>
      </c>
    </row>
    <row r="3392" spans="1:8">
      <c r="A3392" t="s">
        <v>92</v>
      </c>
      <c r="B3392" t="s">
        <v>93</v>
      </c>
      <c r="C3392" t="s">
        <v>32</v>
      </c>
      <c r="D3392" t="s">
        <v>29</v>
      </c>
      <c r="E3392">
        <v>2011</v>
      </c>
      <c r="F3392" t="s">
        <v>21</v>
      </c>
      <c r="G3392" t="s">
        <v>19</v>
      </c>
      <c r="H3392" s="2">
        <v>0</v>
      </c>
    </row>
    <row r="3393" spans="1:8">
      <c r="A3393" t="s">
        <v>92</v>
      </c>
      <c r="B3393" t="s">
        <v>93</v>
      </c>
      <c r="C3393" t="s">
        <v>32</v>
      </c>
      <c r="D3393" t="s">
        <v>29</v>
      </c>
      <c r="E3393">
        <v>2012</v>
      </c>
      <c r="F3393" t="s">
        <v>22</v>
      </c>
      <c r="G3393" t="s">
        <v>13</v>
      </c>
      <c r="H3393" s="2">
        <v>1293.29</v>
      </c>
    </row>
    <row r="3394" spans="1:8">
      <c r="A3394" t="s">
        <v>92</v>
      </c>
      <c r="B3394" t="s">
        <v>93</v>
      </c>
      <c r="C3394" t="s">
        <v>32</v>
      </c>
      <c r="D3394" t="s">
        <v>29</v>
      </c>
      <c r="E3394">
        <v>2012</v>
      </c>
      <c r="F3394" t="s">
        <v>12</v>
      </c>
      <c r="G3394" t="s">
        <v>13</v>
      </c>
      <c r="H3394" s="2">
        <v>10214.459999999999</v>
      </c>
    </row>
    <row r="3395" spans="1:8">
      <c r="A3395" t="s">
        <v>92</v>
      </c>
      <c r="B3395" t="s">
        <v>93</v>
      </c>
      <c r="C3395" t="s">
        <v>32</v>
      </c>
      <c r="D3395" t="s">
        <v>29</v>
      </c>
      <c r="E3395">
        <v>2012</v>
      </c>
      <c r="F3395" t="s">
        <v>18</v>
      </c>
      <c r="G3395" t="s">
        <v>15</v>
      </c>
      <c r="H3395" s="2">
        <v>2850.23</v>
      </c>
    </row>
    <row r="3396" spans="1:8">
      <c r="A3396" t="s">
        <v>92</v>
      </c>
      <c r="B3396" t="s">
        <v>93</v>
      </c>
      <c r="C3396" t="s">
        <v>32</v>
      </c>
      <c r="D3396" t="s">
        <v>29</v>
      </c>
      <c r="E3396">
        <v>2012</v>
      </c>
      <c r="F3396" t="s">
        <v>18</v>
      </c>
      <c r="G3396" t="s">
        <v>13</v>
      </c>
      <c r="H3396" s="2">
        <v>43694.49</v>
      </c>
    </row>
    <row r="3397" spans="1:8">
      <c r="A3397" t="s">
        <v>92</v>
      </c>
      <c r="B3397" t="s">
        <v>93</v>
      </c>
      <c r="C3397" t="s">
        <v>32</v>
      </c>
      <c r="D3397" t="s">
        <v>29</v>
      </c>
      <c r="E3397">
        <v>2012</v>
      </c>
      <c r="F3397" t="s">
        <v>20</v>
      </c>
      <c r="G3397" t="s">
        <v>15</v>
      </c>
      <c r="H3397" s="2">
        <v>127.81</v>
      </c>
    </row>
    <row r="3398" spans="1:8">
      <c r="A3398" t="s">
        <v>92</v>
      </c>
      <c r="B3398" t="s">
        <v>93</v>
      </c>
      <c r="C3398" t="s">
        <v>32</v>
      </c>
      <c r="D3398" t="s">
        <v>29</v>
      </c>
      <c r="E3398">
        <v>2012</v>
      </c>
      <c r="F3398" t="s">
        <v>21</v>
      </c>
      <c r="G3398" t="s">
        <v>15</v>
      </c>
      <c r="H3398" s="2">
        <v>265.13</v>
      </c>
    </row>
    <row r="3399" spans="1:8">
      <c r="A3399" t="s">
        <v>92</v>
      </c>
      <c r="B3399" t="s">
        <v>93</v>
      </c>
      <c r="C3399" t="s">
        <v>32</v>
      </c>
      <c r="D3399" t="s">
        <v>29</v>
      </c>
      <c r="E3399">
        <v>2012</v>
      </c>
      <c r="F3399" t="s">
        <v>21</v>
      </c>
      <c r="G3399" t="s">
        <v>17</v>
      </c>
      <c r="H3399" s="2">
        <v>118.6</v>
      </c>
    </row>
    <row r="3400" spans="1:8">
      <c r="A3400" t="s">
        <v>92</v>
      </c>
      <c r="B3400" t="s">
        <v>93</v>
      </c>
      <c r="C3400" t="s">
        <v>32</v>
      </c>
      <c r="D3400" t="s">
        <v>29</v>
      </c>
      <c r="E3400">
        <v>2013</v>
      </c>
      <c r="F3400" t="s">
        <v>18</v>
      </c>
      <c r="G3400" t="s">
        <v>13</v>
      </c>
      <c r="H3400" s="2">
        <v>48416.78</v>
      </c>
    </row>
    <row r="3401" spans="1:8">
      <c r="A3401" t="s">
        <v>92</v>
      </c>
      <c r="B3401" t="s">
        <v>93</v>
      </c>
      <c r="C3401" t="s">
        <v>32</v>
      </c>
      <c r="D3401" t="s">
        <v>29</v>
      </c>
      <c r="E3401">
        <v>2014</v>
      </c>
      <c r="F3401" t="s">
        <v>20</v>
      </c>
      <c r="G3401" t="s">
        <v>13</v>
      </c>
      <c r="H3401" s="2">
        <v>10194.14</v>
      </c>
    </row>
    <row r="3402" spans="1:8">
      <c r="A3402" t="s">
        <v>92</v>
      </c>
      <c r="B3402" t="s">
        <v>93</v>
      </c>
      <c r="C3402" t="s">
        <v>32</v>
      </c>
      <c r="D3402" t="s">
        <v>29</v>
      </c>
      <c r="E3402">
        <v>2014</v>
      </c>
      <c r="F3402" t="s">
        <v>14</v>
      </c>
      <c r="G3402" t="s">
        <v>17</v>
      </c>
      <c r="H3402" s="2">
        <v>303.37</v>
      </c>
    </row>
    <row r="3403" spans="1:8">
      <c r="A3403" t="s">
        <v>92</v>
      </c>
      <c r="B3403" t="s">
        <v>93</v>
      </c>
      <c r="C3403" t="s">
        <v>32</v>
      </c>
      <c r="D3403" t="s">
        <v>29</v>
      </c>
      <c r="E3403">
        <v>2015</v>
      </c>
      <c r="F3403" t="s">
        <v>22</v>
      </c>
      <c r="G3403" t="s">
        <v>17</v>
      </c>
      <c r="H3403" s="2">
        <v>2276.36</v>
      </c>
    </row>
    <row r="3404" spans="1:8">
      <c r="A3404" t="s">
        <v>92</v>
      </c>
      <c r="B3404" t="s">
        <v>93</v>
      </c>
      <c r="C3404" t="s">
        <v>32</v>
      </c>
      <c r="D3404" t="s">
        <v>29</v>
      </c>
      <c r="E3404">
        <v>2015</v>
      </c>
      <c r="F3404" t="s">
        <v>18</v>
      </c>
      <c r="G3404" t="s">
        <v>13</v>
      </c>
      <c r="H3404" s="2">
        <v>46112.24</v>
      </c>
    </row>
    <row r="3405" spans="1:8">
      <c r="A3405" t="s">
        <v>92</v>
      </c>
      <c r="B3405" t="s">
        <v>93</v>
      </c>
      <c r="C3405" t="s">
        <v>32</v>
      </c>
      <c r="D3405" t="s">
        <v>29</v>
      </c>
      <c r="E3405">
        <v>2015</v>
      </c>
      <c r="F3405" t="s">
        <v>14</v>
      </c>
      <c r="G3405" t="s">
        <v>17</v>
      </c>
      <c r="H3405" s="2">
        <v>287.56</v>
      </c>
    </row>
    <row r="3406" spans="1:8">
      <c r="A3406" t="s">
        <v>92</v>
      </c>
      <c r="B3406" t="s">
        <v>93</v>
      </c>
      <c r="C3406" t="s">
        <v>32</v>
      </c>
      <c r="D3406" t="s">
        <v>29</v>
      </c>
      <c r="E3406">
        <v>2015</v>
      </c>
      <c r="F3406" t="s">
        <v>16</v>
      </c>
      <c r="G3406" t="s">
        <v>13</v>
      </c>
      <c r="H3406" s="2">
        <v>362.99</v>
      </c>
    </row>
    <row r="3407" spans="1:8">
      <c r="A3407" t="s">
        <v>92</v>
      </c>
      <c r="B3407" t="s">
        <v>93</v>
      </c>
      <c r="C3407" t="s">
        <v>32</v>
      </c>
      <c r="D3407" t="s">
        <v>29</v>
      </c>
      <c r="E3407">
        <v>2016</v>
      </c>
      <c r="F3407" t="s">
        <v>12</v>
      </c>
      <c r="G3407" t="s">
        <v>15</v>
      </c>
      <c r="H3407" s="2">
        <v>773.14</v>
      </c>
    </row>
    <row r="3408" spans="1:8">
      <c r="A3408" t="s">
        <v>92</v>
      </c>
      <c r="B3408" t="s">
        <v>93</v>
      </c>
      <c r="C3408" t="s">
        <v>32</v>
      </c>
      <c r="D3408" t="s">
        <v>29</v>
      </c>
      <c r="E3408">
        <v>2016</v>
      </c>
      <c r="F3408" t="s">
        <v>12</v>
      </c>
      <c r="G3408" t="s">
        <v>19</v>
      </c>
      <c r="H3408" s="2">
        <v>0</v>
      </c>
    </row>
    <row r="3409" spans="1:8">
      <c r="A3409" t="s">
        <v>92</v>
      </c>
      <c r="B3409" t="s">
        <v>93</v>
      </c>
      <c r="C3409" t="s">
        <v>32</v>
      </c>
      <c r="D3409" t="s">
        <v>29</v>
      </c>
      <c r="E3409">
        <v>2016</v>
      </c>
      <c r="F3409" t="s">
        <v>21</v>
      </c>
      <c r="G3409" t="s">
        <v>19</v>
      </c>
      <c r="H3409" s="2">
        <v>0</v>
      </c>
    </row>
    <row r="3410" spans="1:8">
      <c r="A3410" t="s">
        <v>92</v>
      </c>
      <c r="B3410" t="s">
        <v>93</v>
      </c>
      <c r="C3410" t="s">
        <v>32</v>
      </c>
      <c r="D3410" t="s">
        <v>29</v>
      </c>
      <c r="E3410">
        <v>2016</v>
      </c>
      <c r="F3410" t="s">
        <v>16</v>
      </c>
      <c r="G3410" t="s">
        <v>15</v>
      </c>
      <c r="H3410" s="2">
        <v>2066.94</v>
      </c>
    </row>
    <row r="3411" spans="1:8">
      <c r="A3411" t="s">
        <v>92</v>
      </c>
      <c r="B3411" t="s">
        <v>93</v>
      </c>
      <c r="C3411" t="s">
        <v>32</v>
      </c>
      <c r="D3411" t="s">
        <v>29</v>
      </c>
      <c r="E3411">
        <v>2017</v>
      </c>
      <c r="F3411" t="s">
        <v>12</v>
      </c>
      <c r="G3411" t="s">
        <v>15</v>
      </c>
      <c r="H3411" s="2">
        <v>806.3</v>
      </c>
    </row>
    <row r="3412" spans="1:8">
      <c r="A3412" t="s">
        <v>92</v>
      </c>
      <c r="B3412" t="s">
        <v>93</v>
      </c>
      <c r="C3412" t="s">
        <v>32</v>
      </c>
      <c r="D3412" t="s">
        <v>29</v>
      </c>
      <c r="E3412">
        <v>2017</v>
      </c>
      <c r="F3412" t="s">
        <v>16</v>
      </c>
      <c r="G3412" t="s">
        <v>19</v>
      </c>
      <c r="H3412" s="2">
        <v>0</v>
      </c>
    </row>
    <row r="3413" spans="1:8">
      <c r="A3413" t="s">
        <v>92</v>
      </c>
      <c r="B3413" t="s">
        <v>93</v>
      </c>
      <c r="C3413" t="s">
        <v>32</v>
      </c>
      <c r="D3413" t="s">
        <v>29</v>
      </c>
      <c r="E3413">
        <v>2018</v>
      </c>
      <c r="F3413" t="s">
        <v>16</v>
      </c>
      <c r="G3413" t="s">
        <v>19</v>
      </c>
      <c r="H3413" s="2">
        <v>0</v>
      </c>
    </row>
    <row r="3414" spans="1:8">
      <c r="A3414" t="s">
        <v>92</v>
      </c>
      <c r="B3414" t="s">
        <v>93</v>
      </c>
      <c r="C3414" t="s">
        <v>32</v>
      </c>
      <c r="D3414" t="s">
        <v>29</v>
      </c>
      <c r="E3414">
        <v>2019</v>
      </c>
      <c r="F3414" t="s">
        <v>22</v>
      </c>
      <c r="G3414" t="s">
        <v>17</v>
      </c>
      <c r="H3414" s="2">
        <v>2236.86</v>
      </c>
    </row>
    <row r="3415" spans="1:8">
      <c r="A3415" t="s">
        <v>92</v>
      </c>
      <c r="B3415" t="s">
        <v>93</v>
      </c>
      <c r="C3415" t="s">
        <v>32</v>
      </c>
      <c r="D3415" t="s">
        <v>29</v>
      </c>
      <c r="E3415">
        <v>2019</v>
      </c>
      <c r="F3415" t="s">
        <v>12</v>
      </c>
      <c r="G3415" t="s">
        <v>15</v>
      </c>
      <c r="H3415" s="2">
        <v>648.29999999999995</v>
      </c>
    </row>
    <row r="3416" spans="1:8">
      <c r="A3416" t="s">
        <v>92</v>
      </c>
      <c r="B3416" t="s">
        <v>93</v>
      </c>
      <c r="C3416" t="s">
        <v>32</v>
      </c>
      <c r="D3416" t="s">
        <v>29</v>
      </c>
      <c r="E3416">
        <v>2020</v>
      </c>
      <c r="F3416" t="s">
        <v>18</v>
      </c>
      <c r="G3416" t="s">
        <v>15</v>
      </c>
      <c r="H3416" s="2">
        <v>2495.0700000000002</v>
      </c>
    </row>
    <row r="3417" spans="1:8">
      <c r="A3417" t="s">
        <v>92</v>
      </c>
      <c r="B3417" t="s">
        <v>93</v>
      </c>
      <c r="C3417" t="s">
        <v>32</v>
      </c>
      <c r="D3417" t="s">
        <v>29</v>
      </c>
      <c r="E3417">
        <v>2020</v>
      </c>
      <c r="F3417" t="s">
        <v>20</v>
      </c>
      <c r="G3417" t="s">
        <v>19</v>
      </c>
      <c r="H3417" s="2">
        <v>0</v>
      </c>
    </row>
    <row r="3418" spans="1:8">
      <c r="A3418" t="s">
        <v>92</v>
      </c>
      <c r="B3418" t="s">
        <v>93</v>
      </c>
      <c r="C3418" t="s">
        <v>32</v>
      </c>
      <c r="D3418" t="s">
        <v>29</v>
      </c>
      <c r="E3418">
        <v>2021</v>
      </c>
      <c r="F3418" t="s">
        <v>12</v>
      </c>
      <c r="G3418" t="s">
        <v>13</v>
      </c>
      <c r="H3418" s="2">
        <v>10588.78</v>
      </c>
    </row>
    <row r="3419" spans="1:8">
      <c r="A3419" t="s">
        <v>92</v>
      </c>
      <c r="B3419" t="s">
        <v>93</v>
      </c>
      <c r="C3419" t="s">
        <v>32</v>
      </c>
      <c r="D3419" t="s">
        <v>29</v>
      </c>
      <c r="E3419">
        <v>2021</v>
      </c>
      <c r="F3419" t="s">
        <v>14</v>
      </c>
      <c r="G3419" t="s">
        <v>15</v>
      </c>
      <c r="H3419" s="2">
        <v>450.36</v>
      </c>
    </row>
    <row r="3420" spans="1:8">
      <c r="A3420" t="s">
        <v>92</v>
      </c>
      <c r="B3420" t="s">
        <v>93</v>
      </c>
      <c r="C3420" t="s">
        <v>32</v>
      </c>
      <c r="D3420" t="s">
        <v>29</v>
      </c>
      <c r="E3420">
        <v>2021</v>
      </c>
      <c r="F3420" t="s">
        <v>14</v>
      </c>
      <c r="G3420" t="s">
        <v>19</v>
      </c>
      <c r="H3420" s="2">
        <v>0</v>
      </c>
    </row>
    <row r="3421" spans="1:8">
      <c r="A3421" t="s">
        <v>92</v>
      </c>
      <c r="B3421" t="s">
        <v>93</v>
      </c>
      <c r="C3421" t="s">
        <v>32</v>
      </c>
      <c r="D3421" t="s">
        <v>29</v>
      </c>
      <c r="E3421">
        <v>2021</v>
      </c>
      <c r="F3421" t="s">
        <v>21</v>
      </c>
      <c r="G3421" t="s">
        <v>13</v>
      </c>
      <c r="H3421" s="2">
        <v>13135.76</v>
      </c>
    </row>
    <row r="3422" spans="1:8">
      <c r="A3422" t="s">
        <v>92</v>
      </c>
      <c r="B3422" t="s">
        <v>93</v>
      </c>
      <c r="C3422" t="s">
        <v>32</v>
      </c>
      <c r="D3422" t="s">
        <v>29</v>
      </c>
      <c r="E3422">
        <v>2022</v>
      </c>
      <c r="F3422" t="s">
        <v>22</v>
      </c>
      <c r="G3422" t="s">
        <v>19</v>
      </c>
      <c r="H3422" s="2">
        <v>0</v>
      </c>
    </row>
    <row r="3423" spans="1:8">
      <c r="A3423" t="s">
        <v>92</v>
      </c>
      <c r="B3423" t="s">
        <v>93</v>
      </c>
      <c r="C3423" t="s">
        <v>32</v>
      </c>
      <c r="D3423" t="s">
        <v>29</v>
      </c>
      <c r="E3423">
        <v>2022</v>
      </c>
      <c r="F3423" t="s">
        <v>14</v>
      </c>
      <c r="G3423" t="s">
        <v>13</v>
      </c>
      <c r="H3423" s="2">
        <v>13046.42</v>
      </c>
    </row>
    <row r="3424" spans="1:8">
      <c r="A3424" t="s">
        <v>92</v>
      </c>
      <c r="B3424" t="s">
        <v>93</v>
      </c>
      <c r="C3424" t="s">
        <v>32</v>
      </c>
      <c r="D3424" t="s">
        <v>29</v>
      </c>
      <c r="E3424">
        <v>2023</v>
      </c>
      <c r="F3424" t="s">
        <v>12</v>
      </c>
      <c r="G3424" t="s">
        <v>19</v>
      </c>
      <c r="H3424" s="2">
        <v>0</v>
      </c>
    </row>
    <row r="3425" spans="1:8">
      <c r="A3425" t="s">
        <v>92</v>
      </c>
      <c r="B3425" t="s">
        <v>93</v>
      </c>
      <c r="C3425" t="s">
        <v>32</v>
      </c>
      <c r="D3425" t="s">
        <v>29</v>
      </c>
      <c r="E3425">
        <v>2023</v>
      </c>
      <c r="F3425" t="s">
        <v>21</v>
      </c>
      <c r="G3425" t="s">
        <v>17</v>
      </c>
      <c r="H3425" s="2">
        <v>95.25</v>
      </c>
    </row>
    <row r="3426" spans="1:8">
      <c r="A3426" t="s">
        <v>92</v>
      </c>
      <c r="B3426" t="s">
        <v>93</v>
      </c>
      <c r="C3426" t="s">
        <v>32</v>
      </c>
      <c r="D3426" t="s">
        <v>29</v>
      </c>
      <c r="E3426">
        <v>2024</v>
      </c>
      <c r="F3426" t="s">
        <v>18</v>
      </c>
      <c r="G3426" t="s">
        <v>15</v>
      </c>
      <c r="H3426" s="2">
        <v>2354.35</v>
      </c>
    </row>
    <row r="3427" spans="1:8">
      <c r="A3427" t="s">
        <v>92</v>
      </c>
      <c r="B3427" t="s">
        <v>93</v>
      </c>
      <c r="C3427" t="s">
        <v>32</v>
      </c>
      <c r="D3427" t="s">
        <v>29</v>
      </c>
      <c r="E3427">
        <v>2024</v>
      </c>
      <c r="F3427" t="s">
        <v>14</v>
      </c>
      <c r="G3427" t="s">
        <v>15</v>
      </c>
      <c r="H3427" s="2">
        <v>321.10000000000002</v>
      </c>
    </row>
    <row r="3428" spans="1:8">
      <c r="A3428" t="s">
        <v>92</v>
      </c>
      <c r="B3428" t="s">
        <v>93</v>
      </c>
      <c r="C3428" t="s">
        <v>32</v>
      </c>
      <c r="D3428" t="s">
        <v>29</v>
      </c>
      <c r="E3428">
        <v>2024</v>
      </c>
      <c r="F3428" t="s">
        <v>21</v>
      </c>
      <c r="G3428" t="s">
        <v>15</v>
      </c>
      <c r="H3428" s="2">
        <v>199</v>
      </c>
    </row>
    <row r="3429" spans="1:8">
      <c r="A3429" t="s">
        <v>92</v>
      </c>
      <c r="B3429" t="s">
        <v>93</v>
      </c>
      <c r="C3429" t="s">
        <v>32</v>
      </c>
      <c r="D3429" t="s">
        <v>29</v>
      </c>
      <c r="E3429">
        <v>2024</v>
      </c>
      <c r="F3429" t="s">
        <v>21</v>
      </c>
      <c r="G3429" t="s">
        <v>19</v>
      </c>
      <c r="H3429" s="2">
        <v>0</v>
      </c>
    </row>
    <row r="3430" spans="1:8">
      <c r="A3430" t="s">
        <v>92</v>
      </c>
      <c r="B3430" t="s">
        <v>93</v>
      </c>
      <c r="C3430" t="s">
        <v>32</v>
      </c>
      <c r="D3430" t="s">
        <v>29</v>
      </c>
      <c r="E3430">
        <v>2024</v>
      </c>
      <c r="F3430" t="s">
        <v>16</v>
      </c>
      <c r="G3430" t="s">
        <v>17</v>
      </c>
      <c r="H3430" s="2">
        <v>102.41</v>
      </c>
    </row>
    <row r="3431" spans="1:8">
      <c r="A3431" t="s">
        <v>94</v>
      </c>
      <c r="B3431" t="s">
        <v>95</v>
      </c>
      <c r="C3431" t="s">
        <v>51</v>
      </c>
      <c r="D3431" t="s">
        <v>11</v>
      </c>
      <c r="E3431">
        <v>1990</v>
      </c>
      <c r="F3431" t="s">
        <v>22</v>
      </c>
      <c r="G3431" t="s">
        <v>13</v>
      </c>
      <c r="H3431" s="2">
        <v>64383.48</v>
      </c>
    </row>
    <row r="3432" spans="1:8">
      <c r="A3432" t="s">
        <v>94</v>
      </c>
      <c r="B3432" t="s">
        <v>95</v>
      </c>
      <c r="C3432" t="s">
        <v>51</v>
      </c>
      <c r="D3432" t="s">
        <v>11</v>
      </c>
      <c r="E3432">
        <v>1990</v>
      </c>
      <c r="F3432" t="s">
        <v>12</v>
      </c>
      <c r="G3432" t="s">
        <v>13</v>
      </c>
      <c r="H3432" s="2">
        <v>136563.6</v>
      </c>
    </row>
    <row r="3433" spans="1:8">
      <c r="A3433" t="s">
        <v>94</v>
      </c>
      <c r="B3433" t="s">
        <v>95</v>
      </c>
      <c r="C3433" t="s">
        <v>51</v>
      </c>
      <c r="D3433" t="s">
        <v>11</v>
      </c>
      <c r="E3433">
        <v>1990</v>
      </c>
      <c r="F3433" t="s">
        <v>12</v>
      </c>
      <c r="G3433" t="s">
        <v>19</v>
      </c>
      <c r="H3433" s="2">
        <v>0</v>
      </c>
    </row>
    <row r="3434" spans="1:8">
      <c r="A3434" t="s">
        <v>94</v>
      </c>
      <c r="B3434" t="s">
        <v>95</v>
      </c>
      <c r="C3434" t="s">
        <v>51</v>
      </c>
      <c r="D3434" t="s">
        <v>11</v>
      </c>
      <c r="E3434">
        <v>1990</v>
      </c>
      <c r="F3434" t="s">
        <v>12</v>
      </c>
      <c r="G3434" t="s">
        <v>17</v>
      </c>
      <c r="H3434" s="2">
        <v>4385.5</v>
      </c>
    </row>
    <row r="3435" spans="1:8">
      <c r="A3435" t="s">
        <v>94</v>
      </c>
      <c r="B3435" t="s">
        <v>95</v>
      </c>
      <c r="C3435" t="s">
        <v>51</v>
      </c>
      <c r="D3435" t="s">
        <v>11</v>
      </c>
      <c r="E3435">
        <v>1991</v>
      </c>
      <c r="F3435" t="s">
        <v>22</v>
      </c>
      <c r="G3435" t="s">
        <v>13</v>
      </c>
      <c r="H3435" s="2">
        <v>65206.6</v>
      </c>
    </row>
    <row r="3436" spans="1:8">
      <c r="A3436" t="s">
        <v>94</v>
      </c>
      <c r="B3436" t="s">
        <v>95</v>
      </c>
      <c r="C3436" t="s">
        <v>51</v>
      </c>
      <c r="D3436" t="s">
        <v>11</v>
      </c>
      <c r="E3436">
        <v>1991</v>
      </c>
      <c r="F3436" t="s">
        <v>22</v>
      </c>
      <c r="G3436" t="s">
        <v>19</v>
      </c>
      <c r="H3436" s="2">
        <v>0</v>
      </c>
    </row>
    <row r="3437" spans="1:8">
      <c r="A3437" t="s">
        <v>94</v>
      </c>
      <c r="B3437" t="s">
        <v>95</v>
      </c>
      <c r="C3437" t="s">
        <v>51</v>
      </c>
      <c r="D3437" t="s">
        <v>11</v>
      </c>
      <c r="E3437">
        <v>1991</v>
      </c>
      <c r="F3437" t="s">
        <v>18</v>
      </c>
      <c r="G3437" t="s">
        <v>13</v>
      </c>
      <c r="H3437" s="2">
        <v>159257.24</v>
      </c>
    </row>
    <row r="3438" spans="1:8">
      <c r="A3438" t="s">
        <v>94</v>
      </c>
      <c r="B3438" t="s">
        <v>95</v>
      </c>
      <c r="C3438" t="s">
        <v>51</v>
      </c>
      <c r="D3438" t="s">
        <v>11</v>
      </c>
      <c r="E3438">
        <v>1991</v>
      </c>
      <c r="F3438" t="s">
        <v>20</v>
      </c>
      <c r="G3438" t="s">
        <v>15</v>
      </c>
      <c r="H3438" s="2">
        <v>-1708.83</v>
      </c>
    </row>
    <row r="3439" spans="1:8">
      <c r="A3439" t="s">
        <v>94</v>
      </c>
      <c r="B3439" t="s">
        <v>95</v>
      </c>
      <c r="C3439" t="s">
        <v>51</v>
      </c>
      <c r="D3439" t="s">
        <v>11</v>
      </c>
      <c r="E3439">
        <v>1991</v>
      </c>
      <c r="F3439" t="s">
        <v>14</v>
      </c>
      <c r="G3439" t="s">
        <v>15</v>
      </c>
      <c r="H3439" s="2">
        <v>20403.259999999998</v>
      </c>
    </row>
    <row r="3440" spans="1:8">
      <c r="A3440" t="s">
        <v>94</v>
      </c>
      <c r="B3440" t="s">
        <v>95</v>
      </c>
      <c r="C3440" t="s">
        <v>51</v>
      </c>
      <c r="D3440" t="s">
        <v>11</v>
      </c>
      <c r="E3440">
        <v>1991</v>
      </c>
      <c r="F3440" t="s">
        <v>21</v>
      </c>
      <c r="G3440" t="s">
        <v>15</v>
      </c>
      <c r="H3440" s="2">
        <v>2275.09</v>
      </c>
    </row>
    <row r="3441" spans="1:8">
      <c r="A3441" t="s">
        <v>94</v>
      </c>
      <c r="B3441" t="s">
        <v>95</v>
      </c>
      <c r="C3441" t="s">
        <v>51</v>
      </c>
      <c r="D3441" t="s">
        <v>11</v>
      </c>
      <c r="E3441">
        <v>1991</v>
      </c>
      <c r="F3441" t="s">
        <v>16</v>
      </c>
      <c r="G3441" t="s">
        <v>19</v>
      </c>
      <c r="H3441" s="2">
        <v>0</v>
      </c>
    </row>
    <row r="3442" spans="1:8">
      <c r="A3442" t="s">
        <v>94</v>
      </c>
      <c r="B3442" t="s">
        <v>95</v>
      </c>
      <c r="C3442" t="s">
        <v>51</v>
      </c>
      <c r="D3442" t="s">
        <v>11</v>
      </c>
      <c r="E3442">
        <v>1992</v>
      </c>
      <c r="F3442" t="s">
        <v>22</v>
      </c>
      <c r="G3442" t="s">
        <v>15</v>
      </c>
      <c r="H3442" s="2">
        <v>400123.97</v>
      </c>
    </row>
    <row r="3443" spans="1:8">
      <c r="A3443" t="s">
        <v>94</v>
      </c>
      <c r="B3443" t="s">
        <v>95</v>
      </c>
      <c r="C3443" t="s">
        <v>51</v>
      </c>
      <c r="D3443" t="s">
        <v>11</v>
      </c>
      <c r="E3443">
        <v>1992</v>
      </c>
      <c r="F3443" t="s">
        <v>12</v>
      </c>
      <c r="G3443" t="s">
        <v>15</v>
      </c>
      <c r="H3443" s="2">
        <v>9194.23</v>
      </c>
    </row>
    <row r="3444" spans="1:8">
      <c r="A3444" t="s">
        <v>94</v>
      </c>
      <c r="B3444" t="s">
        <v>95</v>
      </c>
      <c r="C3444" t="s">
        <v>51</v>
      </c>
      <c r="D3444" t="s">
        <v>11</v>
      </c>
      <c r="E3444">
        <v>1992</v>
      </c>
      <c r="F3444" t="s">
        <v>20</v>
      </c>
      <c r="G3444" t="s">
        <v>13</v>
      </c>
      <c r="H3444" s="2">
        <v>-139594.56</v>
      </c>
    </row>
    <row r="3445" spans="1:8">
      <c r="A3445" t="s">
        <v>94</v>
      </c>
      <c r="B3445" t="s">
        <v>95</v>
      </c>
      <c r="C3445" t="s">
        <v>51</v>
      </c>
      <c r="D3445" t="s">
        <v>11</v>
      </c>
      <c r="E3445">
        <v>1992</v>
      </c>
      <c r="F3445" t="s">
        <v>14</v>
      </c>
      <c r="G3445" t="s">
        <v>15</v>
      </c>
      <c r="H3445" s="2">
        <v>16573.169999999998</v>
      </c>
    </row>
    <row r="3446" spans="1:8">
      <c r="A3446" t="s">
        <v>94</v>
      </c>
      <c r="B3446" t="s">
        <v>95</v>
      </c>
      <c r="C3446" t="s">
        <v>51</v>
      </c>
      <c r="D3446" t="s">
        <v>11</v>
      </c>
      <c r="E3446">
        <v>1993</v>
      </c>
      <c r="F3446" t="s">
        <v>22</v>
      </c>
      <c r="G3446" t="s">
        <v>17</v>
      </c>
      <c r="H3446" s="2">
        <v>122287.44</v>
      </c>
    </row>
    <row r="3447" spans="1:8">
      <c r="A3447" t="s">
        <v>94</v>
      </c>
      <c r="B3447" t="s">
        <v>95</v>
      </c>
      <c r="C3447" t="s">
        <v>51</v>
      </c>
      <c r="D3447" t="s">
        <v>11</v>
      </c>
      <c r="E3447">
        <v>1993</v>
      </c>
      <c r="F3447" t="s">
        <v>21</v>
      </c>
      <c r="G3447" t="s">
        <v>17</v>
      </c>
      <c r="H3447" s="2">
        <v>1057.71</v>
      </c>
    </row>
    <row r="3448" spans="1:8">
      <c r="A3448" t="s">
        <v>94</v>
      </c>
      <c r="B3448" t="s">
        <v>95</v>
      </c>
      <c r="C3448" t="s">
        <v>51</v>
      </c>
      <c r="D3448" t="s">
        <v>11</v>
      </c>
      <c r="E3448">
        <v>1994</v>
      </c>
      <c r="F3448" t="s">
        <v>12</v>
      </c>
      <c r="G3448" t="s">
        <v>19</v>
      </c>
      <c r="H3448" s="2">
        <v>0</v>
      </c>
    </row>
    <row r="3449" spans="1:8">
      <c r="A3449" t="s">
        <v>94</v>
      </c>
      <c r="B3449" t="s">
        <v>95</v>
      </c>
      <c r="C3449" t="s">
        <v>51</v>
      </c>
      <c r="D3449" t="s">
        <v>11</v>
      </c>
      <c r="E3449">
        <v>1994</v>
      </c>
      <c r="F3449" t="s">
        <v>16</v>
      </c>
      <c r="G3449" t="s">
        <v>15</v>
      </c>
      <c r="H3449" s="2">
        <v>645540.63</v>
      </c>
    </row>
    <row r="3450" spans="1:8">
      <c r="A3450" t="s">
        <v>94</v>
      </c>
      <c r="B3450" t="s">
        <v>95</v>
      </c>
      <c r="C3450" t="s">
        <v>51</v>
      </c>
      <c r="D3450" t="s">
        <v>11</v>
      </c>
      <c r="E3450">
        <v>1995</v>
      </c>
      <c r="F3450" t="s">
        <v>20</v>
      </c>
      <c r="G3450" t="s">
        <v>17</v>
      </c>
      <c r="H3450" s="2">
        <v>-1982.15</v>
      </c>
    </row>
    <row r="3451" spans="1:8">
      <c r="A3451" t="s">
        <v>94</v>
      </c>
      <c r="B3451" t="s">
        <v>95</v>
      </c>
      <c r="C3451" t="s">
        <v>51</v>
      </c>
      <c r="D3451" t="s">
        <v>11</v>
      </c>
      <c r="E3451">
        <v>1995</v>
      </c>
      <c r="F3451" t="s">
        <v>16</v>
      </c>
      <c r="G3451" t="s">
        <v>13</v>
      </c>
      <c r="H3451" s="2">
        <v>116420.56</v>
      </c>
    </row>
    <row r="3452" spans="1:8">
      <c r="A3452" t="s">
        <v>94</v>
      </c>
      <c r="B3452" t="s">
        <v>95</v>
      </c>
      <c r="C3452" t="s">
        <v>51</v>
      </c>
      <c r="D3452" t="s">
        <v>11</v>
      </c>
      <c r="E3452">
        <v>1996</v>
      </c>
      <c r="F3452" t="s">
        <v>22</v>
      </c>
      <c r="G3452" t="s">
        <v>17</v>
      </c>
      <c r="H3452" s="2">
        <v>141328.03</v>
      </c>
    </row>
    <row r="3453" spans="1:8">
      <c r="A3453" t="s">
        <v>94</v>
      </c>
      <c r="B3453" t="s">
        <v>95</v>
      </c>
      <c r="C3453" t="s">
        <v>51</v>
      </c>
      <c r="D3453" t="s">
        <v>11</v>
      </c>
      <c r="E3453">
        <v>1997</v>
      </c>
      <c r="F3453" t="s">
        <v>22</v>
      </c>
      <c r="G3453" t="s">
        <v>15</v>
      </c>
      <c r="H3453" s="2">
        <v>471874.86</v>
      </c>
    </row>
    <row r="3454" spans="1:8">
      <c r="A3454" t="s">
        <v>94</v>
      </c>
      <c r="B3454" t="s">
        <v>95</v>
      </c>
      <c r="C3454" t="s">
        <v>51</v>
      </c>
      <c r="D3454" t="s">
        <v>11</v>
      </c>
      <c r="E3454">
        <v>1997</v>
      </c>
      <c r="F3454" t="s">
        <v>22</v>
      </c>
      <c r="G3454" t="s">
        <v>13</v>
      </c>
      <c r="H3454" s="2">
        <v>67081.03</v>
      </c>
    </row>
    <row r="3455" spans="1:8">
      <c r="A3455" t="s">
        <v>94</v>
      </c>
      <c r="B3455" t="s">
        <v>95</v>
      </c>
      <c r="C3455" t="s">
        <v>51</v>
      </c>
      <c r="D3455" t="s">
        <v>11</v>
      </c>
      <c r="E3455">
        <v>1997</v>
      </c>
      <c r="F3455" t="s">
        <v>22</v>
      </c>
      <c r="G3455" t="s">
        <v>19</v>
      </c>
      <c r="H3455" s="2">
        <v>0</v>
      </c>
    </row>
    <row r="3456" spans="1:8">
      <c r="A3456" t="s">
        <v>94</v>
      </c>
      <c r="B3456" t="s">
        <v>95</v>
      </c>
      <c r="C3456" t="s">
        <v>51</v>
      </c>
      <c r="D3456" t="s">
        <v>11</v>
      </c>
      <c r="E3456">
        <v>1997</v>
      </c>
      <c r="F3456" t="s">
        <v>14</v>
      </c>
      <c r="G3456" t="s">
        <v>19</v>
      </c>
      <c r="H3456" s="2">
        <v>0</v>
      </c>
    </row>
    <row r="3457" spans="1:8">
      <c r="A3457" t="s">
        <v>94</v>
      </c>
      <c r="B3457" t="s">
        <v>95</v>
      </c>
      <c r="C3457" t="s">
        <v>51</v>
      </c>
      <c r="D3457" t="s">
        <v>11</v>
      </c>
      <c r="E3457">
        <v>1998</v>
      </c>
      <c r="F3457" t="s">
        <v>12</v>
      </c>
      <c r="G3457" t="s">
        <v>19</v>
      </c>
      <c r="H3457" s="2">
        <v>0</v>
      </c>
    </row>
    <row r="3458" spans="1:8">
      <c r="A3458" t="s">
        <v>94</v>
      </c>
      <c r="B3458" t="s">
        <v>95</v>
      </c>
      <c r="C3458" t="s">
        <v>51</v>
      </c>
      <c r="D3458" t="s">
        <v>11</v>
      </c>
      <c r="E3458">
        <v>1998</v>
      </c>
      <c r="F3458" t="s">
        <v>20</v>
      </c>
      <c r="G3458" t="s">
        <v>13</v>
      </c>
      <c r="H3458" s="2">
        <v>-177326.23</v>
      </c>
    </row>
    <row r="3459" spans="1:8">
      <c r="A3459" t="s">
        <v>94</v>
      </c>
      <c r="B3459" t="s">
        <v>95</v>
      </c>
      <c r="C3459" t="s">
        <v>51</v>
      </c>
      <c r="D3459" t="s">
        <v>11</v>
      </c>
      <c r="E3459">
        <v>1998</v>
      </c>
      <c r="F3459" t="s">
        <v>20</v>
      </c>
      <c r="G3459" t="s">
        <v>17</v>
      </c>
      <c r="H3459" s="2">
        <v>-1817.18</v>
      </c>
    </row>
    <row r="3460" spans="1:8">
      <c r="A3460" t="s">
        <v>94</v>
      </c>
      <c r="B3460" t="s">
        <v>95</v>
      </c>
      <c r="C3460" t="s">
        <v>51</v>
      </c>
      <c r="D3460" t="s">
        <v>11</v>
      </c>
      <c r="E3460">
        <v>1998</v>
      </c>
      <c r="F3460" t="s">
        <v>21</v>
      </c>
      <c r="G3460" t="s">
        <v>19</v>
      </c>
      <c r="H3460" s="2">
        <v>0</v>
      </c>
    </row>
    <row r="3461" spans="1:8">
      <c r="A3461" t="s">
        <v>94</v>
      </c>
      <c r="B3461" t="s">
        <v>95</v>
      </c>
      <c r="C3461" t="s">
        <v>51</v>
      </c>
      <c r="D3461" t="s">
        <v>11</v>
      </c>
      <c r="E3461">
        <v>2000</v>
      </c>
      <c r="F3461" t="s">
        <v>20</v>
      </c>
      <c r="G3461" t="s">
        <v>15</v>
      </c>
      <c r="H3461" s="2">
        <v>-2025.22</v>
      </c>
    </row>
    <row r="3462" spans="1:8">
      <c r="A3462" t="s">
        <v>94</v>
      </c>
      <c r="B3462" t="s">
        <v>95</v>
      </c>
      <c r="C3462" t="s">
        <v>51</v>
      </c>
      <c r="D3462" t="s">
        <v>11</v>
      </c>
      <c r="E3462">
        <v>2001</v>
      </c>
      <c r="F3462" t="s">
        <v>18</v>
      </c>
      <c r="G3462" t="s">
        <v>15</v>
      </c>
      <c r="H3462" s="2">
        <v>12332.69</v>
      </c>
    </row>
    <row r="3463" spans="1:8">
      <c r="A3463" t="s">
        <v>94</v>
      </c>
      <c r="B3463" t="s">
        <v>95</v>
      </c>
      <c r="C3463" t="s">
        <v>51</v>
      </c>
      <c r="D3463" t="s">
        <v>11</v>
      </c>
      <c r="E3463">
        <v>2001</v>
      </c>
      <c r="F3463" t="s">
        <v>18</v>
      </c>
      <c r="G3463" t="s">
        <v>19</v>
      </c>
      <c r="H3463" s="2">
        <v>11781.44</v>
      </c>
    </row>
    <row r="3464" spans="1:8">
      <c r="A3464" t="s">
        <v>94</v>
      </c>
      <c r="B3464" t="s">
        <v>95</v>
      </c>
      <c r="C3464" t="s">
        <v>51</v>
      </c>
      <c r="D3464" t="s">
        <v>11</v>
      </c>
      <c r="E3464">
        <v>2001</v>
      </c>
      <c r="F3464" t="s">
        <v>14</v>
      </c>
      <c r="G3464" t="s">
        <v>19</v>
      </c>
      <c r="H3464" s="2">
        <v>0</v>
      </c>
    </row>
    <row r="3465" spans="1:8">
      <c r="A3465" t="s">
        <v>94</v>
      </c>
      <c r="B3465" t="s">
        <v>95</v>
      </c>
      <c r="C3465" t="s">
        <v>51</v>
      </c>
      <c r="D3465" t="s">
        <v>11</v>
      </c>
      <c r="E3465">
        <v>2001</v>
      </c>
      <c r="F3465" t="s">
        <v>21</v>
      </c>
      <c r="G3465" t="s">
        <v>15</v>
      </c>
      <c r="H3465" s="2">
        <v>2508.83</v>
      </c>
    </row>
    <row r="3466" spans="1:8">
      <c r="A3466" t="s">
        <v>94</v>
      </c>
      <c r="B3466" t="s">
        <v>95</v>
      </c>
      <c r="C3466" t="s">
        <v>51</v>
      </c>
      <c r="D3466" t="s">
        <v>11</v>
      </c>
      <c r="E3466">
        <v>2002</v>
      </c>
      <c r="F3466" t="s">
        <v>22</v>
      </c>
      <c r="G3466" t="s">
        <v>13</v>
      </c>
      <c r="H3466" s="2">
        <v>69223.09</v>
      </c>
    </row>
    <row r="3467" spans="1:8">
      <c r="A3467" t="s">
        <v>94</v>
      </c>
      <c r="B3467" t="s">
        <v>95</v>
      </c>
      <c r="C3467" t="s">
        <v>51</v>
      </c>
      <c r="D3467" t="s">
        <v>11</v>
      </c>
      <c r="E3467">
        <v>2002</v>
      </c>
      <c r="F3467" t="s">
        <v>12</v>
      </c>
      <c r="G3467" t="s">
        <v>13</v>
      </c>
      <c r="H3467" s="2">
        <v>138890.28</v>
      </c>
    </row>
    <row r="3468" spans="1:8">
      <c r="A3468" t="s">
        <v>94</v>
      </c>
      <c r="B3468" t="s">
        <v>95</v>
      </c>
      <c r="C3468" t="s">
        <v>51</v>
      </c>
      <c r="D3468" t="s">
        <v>11</v>
      </c>
      <c r="E3468">
        <v>2002</v>
      </c>
      <c r="F3468" t="s">
        <v>18</v>
      </c>
      <c r="G3468" t="s">
        <v>15</v>
      </c>
      <c r="H3468" s="2">
        <v>11587.39</v>
      </c>
    </row>
    <row r="3469" spans="1:8">
      <c r="A3469" t="s">
        <v>94</v>
      </c>
      <c r="B3469" t="s">
        <v>95</v>
      </c>
      <c r="C3469" t="s">
        <v>51</v>
      </c>
      <c r="D3469" t="s">
        <v>11</v>
      </c>
      <c r="E3469">
        <v>2002</v>
      </c>
      <c r="F3469" t="s">
        <v>21</v>
      </c>
      <c r="G3469" t="s">
        <v>19</v>
      </c>
      <c r="H3469" s="2">
        <v>0</v>
      </c>
    </row>
    <row r="3470" spans="1:8">
      <c r="A3470" t="s">
        <v>94</v>
      </c>
      <c r="B3470" t="s">
        <v>95</v>
      </c>
      <c r="C3470" t="s">
        <v>51</v>
      </c>
      <c r="D3470" t="s">
        <v>11</v>
      </c>
      <c r="E3470">
        <v>2003</v>
      </c>
      <c r="F3470" t="s">
        <v>22</v>
      </c>
      <c r="G3470" t="s">
        <v>17</v>
      </c>
      <c r="H3470" s="2">
        <v>143503.1</v>
      </c>
    </row>
    <row r="3471" spans="1:8">
      <c r="A3471" t="s">
        <v>94</v>
      </c>
      <c r="B3471" t="s">
        <v>95</v>
      </c>
      <c r="C3471" t="s">
        <v>51</v>
      </c>
      <c r="D3471" t="s">
        <v>11</v>
      </c>
      <c r="E3471">
        <v>2003</v>
      </c>
      <c r="F3471" t="s">
        <v>18</v>
      </c>
      <c r="G3471" t="s">
        <v>17</v>
      </c>
      <c r="H3471" s="2">
        <v>11820.21</v>
      </c>
    </row>
    <row r="3472" spans="1:8">
      <c r="A3472" t="s">
        <v>94</v>
      </c>
      <c r="B3472" t="s">
        <v>95</v>
      </c>
      <c r="C3472" t="s">
        <v>51</v>
      </c>
      <c r="D3472" t="s">
        <v>11</v>
      </c>
      <c r="E3472">
        <v>2004</v>
      </c>
      <c r="F3472" t="s">
        <v>20</v>
      </c>
      <c r="G3472" t="s">
        <v>13</v>
      </c>
      <c r="H3472" s="2">
        <v>-207795.11</v>
      </c>
    </row>
    <row r="3473" spans="1:8">
      <c r="A3473" t="s">
        <v>94</v>
      </c>
      <c r="B3473" t="s">
        <v>95</v>
      </c>
      <c r="C3473" t="s">
        <v>51</v>
      </c>
      <c r="D3473" t="s">
        <v>11</v>
      </c>
      <c r="E3473">
        <v>2004</v>
      </c>
      <c r="F3473" t="s">
        <v>16</v>
      </c>
      <c r="G3473" t="s">
        <v>13</v>
      </c>
      <c r="H3473" s="2">
        <v>145420.01999999999</v>
      </c>
    </row>
    <row r="3474" spans="1:8">
      <c r="A3474" t="s">
        <v>94</v>
      </c>
      <c r="B3474" t="s">
        <v>95</v>
      </c>
      <c r="C3474" t="s">
        <v>51</v>
      </c>
      <c r="D3474" t="s">
        <v>11</v>
      </c>
      <c r="E3474">
        <v>2004</v>
      </c>
      <c r="F3474" t="s">
        <v>16</v>
      </c>
      <c r="G3474" t="s">
        <v>17</v>
      </c>
      <c r="H3474" s="2">
        <v>47824.28</v>
      </c>
    </row>
    <row r="3475" spans="1:8">
      <c r="A3475" t="s">
        <v>94</v>
      </c>
      <c r="B3475" t="s">
        <v>95</v>
      </c>
      <c r="C3475" t="s">
        <v>51</v>
      </c>
      <c r="D3475" t="s">
        <v>11</v>
      </c>
      <c r="E3475">
        <v>2005</v>
      </c>
      <c r="F3475" t="s">
        <v>12</v>
      </c>
      <c r="G3475" t="s">
        <v>19</v>
      </c>
      <c r="H3475" s="2">
        <v>0</v>
      </c>
    </row>
    <row r="3476" spans="1:8">
      <c r="A3476" t="s">
        <v>94</v>
      </c>
      <c r="B3476" t="s">
        <v>95</v>
      </c>
      <c r="C3476" t="s">
        <v>51</v>
      </c>
      <c r="D3476" t="s">
        <v>11</v>
      </c>
      <c r="E3476">
        <v>2005</v>
      </c>
      <c r="F3476" t="s">
        <v>16</v>
      </c>
      <c r="G3476" t="s">
        <v>17</v>
      </c>
      <c r="H3476" s="2">
        <v>55253.55</v>
      </c>
    </row>
    <row r="3477" spans="1:8">
      <c r="A3477" t="s">
        <v>94</v>
      </c>
      <c r="B3477" t="s">
        <v>95</v>
      </c>
      <c r="C3477" t="s">
        <v>51</v>
      </c>
      <c r="D3477" t="s">
        <v>11</v>
      </c>
      <c r="E3477">
        <v>2006</v>
      </c>
      <c r="F3477" t="s">
        <v>12</v>
      </c>
      <c r="G3477" t="s">
        <v>15</v>
      </c>
      <c r="H3477" s="2">
        <v>10806.88</v>
      </c>
    </row>
    <row r="3478" spans="1:8">
      <c r="A3478" t="s">
        <v>94</v>
      </c>
      <c r="B3478" t="s">
        <v>95</v>
      </c>
      <c r="C3478" t="s">
        <v>51</v>
      </c>
      <c r="D3478" t="s">
        <v>11</v>
      </c>
      <c r="E3478">
        <v>2006</v>
      </c>
      <c r="F3478" t="s">
        <v>12</v>
      </c>
      <c r="G3478" t="s">
        <v>17</v>
      </c>
      <c r="H3478" s="2">
        <v>4496.07</v>
      </c>
    </row>
    <row r="3479" spans="1:8">
      <c r="A3479" t="s">
        <v>94</v>
      </c>
      <c r="B3479" t="s">
        <v>95</v>
      </c>
      <c r="C3479" t="s">
        <v>51</v>
      </c>
      <c r="D3479" t="s">
        <v>11</v>
      </c>
      <c r="E3479">
        <v>2006</v>
      </c>
      <c r="F3479" t="s">
        <v>18</v>
      </c>
      <c r="G3479" t="s">
        <v>15</v>
      </c>
      <c r="H3479" s="2">
        <v>11572.77</v>
      </c>
    </row>
    <row r="3480" spans="1:8">
      <c r="A3480" t="s">
        <v>94</v>
      </c>
      <c r="B3480" t="s">
        <v>95</v>
      </c>
      <c r="C3480" t="s">
        <v>51</v>
      </c>
      <c r="D3480" t="s">
        <v>11</v>
      </c>
      <c r="E3480">
        <v>2006</v>
      </c>
      <c r="F3480" t="s">
        <v>20</v>
      </c>
      <c r="G3480" t="s">
        <v>15</v>
      </c>
      <c r="H3480" s="2">
        <v>-2039.15</v>
      </c>
    </row>
    <row r="3481" spans="1:8">
      <c r="A3481" t="s">
        <v>94</v>
      </c>
      <c r="B3481" t="s">
        <v>95</v>
      </c>
      <c r="C3481" t="s">
        <v>51</v>
      </c>
      <c r="D3481" t="s">
        <v>11</v>
      </c>
      <c r="E3481">
        <v>2006</v>
      </c>
      <c r="F3481" t="s">
        <v>14</v>
      </c>
      <c r="G3481" t="s">
        <v>13</v>
      </c>
      <c r="H3481" s="2">
        <v>694226.45</v>
      </c>
    </row>
    <row r="3482" spans="1:8">
      <c r="A3482" t="s">
        <v>94</v>
      </c>
      <c r="B3482" t="s">
        <v>95</v>
      </c>
      <c r="C3482" t="s">
        <v>51</v>
      </c>
      <c r="D3482" t="s">
        <v>11</v>
      </c>
      <c r="E3482">
        <v>2006</v>
      </c>
      <c r="F3482" t="s">
        <v>21</v>
      </c>
      <c r="G3482" t="s">
        <v>13</v>
      </c>
      <c r="H3482" s="2">
        <v>120828.13</v>
      </c>
    </row>
    <row r="3483" spans="1:8">
      <c r="A3483" t="s">
        <v>94</v>
      </c>
      <c r="B3483" t="s">
        <v>95</v>
      </c>
      <c r="C3483" t="s">
        <v>51</v>
      </c>
      <c r="D3483" t="s">
        <v>11</v>
      </c>
      <c r="E3483">
        <v>2006</v>
      </c>
      <c r="F3483" t="s">
        <v>21</v>
      </c>
      <c r="G3483" t="s">
        <v>19</v>
      </c>
      <c r="H3483" s="2">
        <v>0</v>
      </c>
    </row>
    <row r="3484" spans="1:8">
      <c r="A3484" t="s">
        <v>94</v>
      </c>
      <c r="B3484" t="s">
        <v>95</v>
      </c>
      <c r="C3484" t="s">
        <v>51</v>
      </c>
      <c r="D3484" t="s">
        <v>11</v>
      </c>
      <c r="E3484">
        <v>2007</v>
      </c>
      <c r="F3484" t="s">
        <v>22</v>
      </c>
      <c r="G3484" t="s">
        <v>17</v>
      </c>
      <c r="H3484" s="2">
        <v>167820.45</v>
      </c>
    </row>
    <row r="3485" spans="1:8">
      <c r="A3485" t="s">
        <v>94</v>
      </c>
      <c r="B3485" t="s">
        <v>95</v>
      </c>
      <c r="C3485" t="s">
        <v>51</v>
      </c>
      <c r="D3485" t="s">
        <v>11</v>
      </c>
      <c r="E3485">
        <v>2007</v>
      </c>
      <c r="F3485" t="s">
        <v>18</v>
      </c>
      <c r="G3485" t="s">
        <v>19</v>
      </c>
      <c r="H3485" s="2">
        <v>13054.76</v>
      </c>
    </row>
    <row r="3486" spans="1:8">
      <c r="A3486" t="s">
        <v>94</v>
      </c>
      <c r="B3486" t="s">
        <v>95</v>
      </c>
      <c r="C3486" t="s">
        <v>51</v>
      </c>
      <c r="D3486" t="s">
        <v>11</v>
      </c>
      <c r="E3486">
        <v>2007</v>
      </c>
      <c r="F3486" t="s">
        <v>18</v>
      </c>
      <c r="G3486" t="s">
        <v>17</v>
      </c>
      <c r="H3486" s="2">
        <v>12427.08</v>
      </c>
    </row>
    <row r="3487" spans="1:8">
      <c r="A3487" t="s">
        <v>94</v>
      </c>
      <c r="B3487" t="s">
        <v>95</v>
      </c>
      <c r="C3487" t="s">
        <v>51</v>
      </c>
      <c r="D3487" t="s">
        <v>11</v>
      </c>
      <c r="E3487">
        <v>2007</v>
      </c>
      <c r="F3487" t="s">
        <v>20</v>
      </c>
      <c r="G3487" t="s">
        <v>17</v>
      </c>
      <c r="H3487" s="2">
        <v>-1871.35</v>
      </c>
    </row>
    <row r="3488" spans="1:8">
      <c r="A3488" t="s">
        <v>94</v>
      </c>
      <c r="B3488" t="s">
        <v>95</v>
      </c>
      <c r="C3488" t="s">
        <v>51</v>
      </c>
      <c r="D3488" t="s">
        <v>11</v>
      </c>
      <c r="E3488">
        <v>2007</v>
      </c>
      <c r="F3488" t="s">
        <v>14</v>
      </c>
      <c r="G3488" t="s">
        <v>19</v>
      </c>
      <c r="H3488" s="2">
        <v>0</v>
      </c>
    </row>
    <row r="3489" spans="1:8">
      <c r="A3489" t="s">
        <v>94</v>
      </c>
      <c r="B3489" t="s">
        <v>95</v>
      </c>
      <c r="C3489" t="s">
        <v>51</v>
      </c>
      <c r="D3489" t="s">
        <v>11</v>
      </c>
      <c r="E3489">
        <v>2007</v>
      </c>
      <c r="F3489" t="s">
        <v>21</v>
      </c>
      <c r="G3489" t="s">
        <v>19</v>
      </c>
      <c r="H3489" s="2">
        <v>0</v>
      </c>
    </row>
    <row r="3490" spans="1:8">
      <c r="A3490" t="s">
        <v>94</v>
      </c>
      <c r="B3490" t="s">
        <v>95</v>
      </c>
      <c r="C3490" t="s">
        <v>51</v>
      </c>
      <c r="D3490" t="s">
        <v>11</v>
      </c>
      <c r="E3490">
        <v>2008</v>
      </c>
      <c r="F3490" t="s">
        <v>21</v>
      </c>
      <c r="G3490" t="s">
        <v>13</v>
      </c>
      <c r="H3490" s="2">
        <v>145243.87</v>
      </c>
    </row>
    <row r="3491" spans="1:8">
      <c r="A3491" t="s">
        <v>94</v>
      </c>
      <c r="B3491" t="s">
        <v>95</v>
      </c>
      <c r="C3491" t="s">
        <v>51</v>
      </c>
      <c r="D3491" t="s">
        <v>11</v>
      </c>
      <c r="E3491">
        <v>2009</v>
      </c>
      <c r="F3491" t="s">
        <v>20</v>
      </c>
      <c r="G3491" t="s">
        <v>13</v>
      </c>
      <c r="H3491" s="2">
        <v>-224623.67</v>
      </c>
    </row>
    <row r="3492" spans="1:8">
      <c r="A3492" t="s">
        <v>94</v>
      </c>
      <c r="B3492" t="s">
        <v>95</v>
      </c>
      <c r="C3492" t="s">
        <v>51</v>
      </c>
      <c r="D3492" t="s">
        <v>11</v>
      </c>
      <c r="E3492">
        <v>2010</v>
      </c>
      <c r="F3492" t="s">
        <v>20</v>
      </c>
      <c r="G3492" t="s">
        <v>13</v>
      </c>
      <c r="H3492" s="2">
        <v>-230457.58</v>
      </c>
    </row>
    <row r="3493" spans="1:8">
      <c r="A3493" t="s">
        <v>94</v>
      </c>
      <c r="B3493" t="s">
        <v>95</v>
      </c>
      <c r="C3493" t="s">
        <v>51</v>
      </c>
      <c r="D3493" t="s">
        <v>11</v>
      </c>
      <c r="E3493">
        <v>2010</v>
      </c>
      <c r="F3493" t="s">
        <v>21</v>
      </c>
      <c r="G3493" t="s">
        <v>13</v>
      </c>
      <c r="H3493" s="2">
        <v>143696.15</v>
      </c>
    </row>
    <row r="3494" spans="1:8">
      <c r="A3494" t="s">
        <v>94</v>
      </c>
      <c r="B3494" t="s">
        <v>95</v>
      </c>
      <c r="C3494" t="s">
        <v>51</v>
      </c>
      <c r="D3494" t="s">
        <v>11</v>
      </c>
      <c r="E3494">
        <v>2011</v>
      </c>
      <c r="F3494" t="s">
        <v>22</v>
      </c>
      <c r="G3494" t="s">
        <v>15</v>
      </c>
      <c r="H3494" s="2">
        <v>543384.07999999996</v>
      </c>
    </row>
    <row r="3495" spans="1:8">
      <c r="A3495" t="s">
        <v>94</v>
      </c>
      <c r="B3495" t="s">
        <v>95</v>
      </c>
      <c r="C3495" t="s">
        <v>51</v>
      </c>
      <c r="D3495" t="s">
        <v>11</v>
      </c>
      <c r="E3495">
        <v>2011</v>
      </c>
      <c r="F3495" t="s">
        <v>20</v>
      </c>
      <c r="G3495" t="s">
        <v>19</v>
      </c>
      <c r="H3495" s="2">
        <v>0</v>
      </c>
    </row>
    <row r="3496" spans="1:8">
      <c r="A3496" t="s">
        <v>94</v>
      </c>
      <c r="B3496" t="s">
        <v>95</v>
      </c>
      <c r="C3496" t="s">
        <v>51</v>
      </c>
      <c r="D3496" t="s">
        <v>11</v>
      </c>
      <c r="E3496">
        <v>2012</v>
      </c>
      <c r="F3496" t="s">
        <v>20</v>
      </c>
      <c r="G3496" t="s">
        <v>19</v>
      </c>
      <c r="H3496" s="2">
        <v>0</v>
      </c>
    </row>
    <row r="3497" spans="1:8">
      <c r="A3497" t="s">
        <v>94</v>
      </c>
      <c r="B3497" t="s">
        <v>95</v>
      </c>
      <c r="C3497" t="s">
        <v>51</v>
      </c>
      <c r="D3497" t="s">
        <v>11</v>
      </c>
      <c r="E3497">
        <v>2012</v>
      </c>
      <c r="F3497" t="s">
        <v>20</v>
      </c>
      <c r="G3497" t="s">
        <v>17</v>
      </c>
      <c r="H3497" s="2">
        <v>-2316.7199999999998</v>
      </c>
    </row>
    <row r="3498" spans="1:8">
      <c r="A3498" t="s">
        <v>94</v>
      </c>
      <c r="B3498" t="s">
        <v>95</v>
      </c>
      <c r="C3498" t="s">
        <v>51</v>
      </c>
      <c r="D3498" t="s">
        <v>11</v>
      </c>
      <c r="E3498">
        <v>2012</v>
      </c>
      <c r="F3498" t="s">
        <v>16</v>
      </c>
      <c r="G3498" t="s">
        <v>19</v>
      </c>
      <c r="H3498" s="2">
        <v>0</v>
      </c>
    </row>
    <row r="3499" spans="1:8">
      <c r="A3499" t="s">
        <v>94</v>
      </c>
      <c r="B3499" t="s">
        <v>95</v>
      </c>
      <c r="C3499" t="s">
        <v>51</v>
      </c>
      <c r="D3499" t="s">
        <v>11</v>
      </c>
      <c r="E3499">
        <v>2013</v>
      </c>
      <c r="F3499" t="s">
        <v>22</v>
      </c>
      <c r="G3499" t="s">
        <v>19</v>
      </c>
      <c r="H3499" s="2">
        <v>0</v>
      </c>
    </row>
    <row r="3500" spans="1:8">
      <c r="A3500" t="s">
        <v>94</v>
      </c>
      <c r="B3500" t="s">
        <v>95</v>
      </c>
      <c r="C3500" t="s">
        <v>51</v>
      </c>
      <c r="D3500" t="s">
        <v>11</v>
      </c>
      <c r="E3500">
        <v>2013</v>
      </c>
      <c r="F3500" t="s">
        <v>12</v>
      </c>
      <c r="G3500" t="s">
        <v>17</v>
      </c>
      <c r="H3500" s="2">
        <v>5711.28</v>
      </c>
    </row>
    <row r="3501" spans="1:8">
      <c r="A3501" t="s">
        <v>94</v>
      </c>
      <c r="B3501" t="s">
        <v>95</v>
      </c>
      <c r="C3501" t="s">
        <v>51</v>
      </c>
      <c r="D3501" t="s">
        <v>11</v>
      </c>
      <c r="E3501">
        <v>2013</v>
      </c>
      <c r="F3501" t="s">
        <v>20</v>
      </c>
      <c r="G3501" t="s">
        <v>15</v>
      </c>
      <c r="H3501" s="2">
        <v>-2202.7600000000002</v>
      </c>
    </row>
    <row r="3502" spans="1:8">
      <c r="A3502" t="s">
        <v>94</v>
      </c>
      <c r="B3502" t="s">
        <v>95</v>
      </c>
      <c r="C3502" t="s">
        <v>51</v>
      </c>
      <c r="D3502" t="s">
        <v>11</v>
      </c>
      <c r="E3502">
        <v>2013</v>
      </c>
      <c r="F3502" t="s">
        <v>20</v>
      </c>
      <c r="G3502" t="s">
        <v>17</v>
      </c>
      <c r="H3502" s="2">
        <v>-2456.0500000000002</v>
      </c>
    </row>
    <row r="3503" spans="1:8">
      <c r="A3503" t="s">
        <v>94</v>
      </c>
      <c r="B3503" t="s">
        <v>95</v>
      </c>
      <c r="C3503" t="s">
        <v>51</v>
      </c>
      <c r="D3503" t="s">
        <v>11</v>
      </c>
      <c r="E3503">
        <v>2013</v>
      </c>
      <c r="F3503" t="s">
        <v>14</v>
      </c>
      <c r="G3503" t="s">
        <v>15</v>
      </c>
      <c r="H3503" s="2">
        <v>24275.01</v>
      </c>
    </row>
    <row r="3504" spans="1:8">
      <c r="A3504" t="s">
        <v>94</v>
      </c>
      <c r="B3504" t="s">
        <v>95</v>
      </c>
      <c r="C3504" t="s">
        <v>51</v>
      </c>
      <c r="D3504" t="s">
        <v>11</v>
      </c>
      <c r="E3504">
        <v>2014</v>
      </c>
      <c r="F3504" t="s">
        <v>16</v>
      </c>
      <c r="G3504" t="s">
        <v>19</v>
      </c>
      <c r="H3504" s="2">
        <v>0</v>
      </c>
    </row>
    <row r="3505" spans="1:8">
      <c r="A3505" t="s">
        <v>94</v>
      </c>
      <c r="B3505" t="s">
        <v>95</v>
      </c>
      <c r="C3505" t="s">
        <v>51</v>
      </c>
      <c r="D3505" t="s">
        <v>11</v>
      </c>
      <c r="E3505">
        <v>2015</v>
      </c>
      <c r="F3505" t="s">
        <v>18</v>
      </c>
      <c r="G3505" t="s">
        <v>15</v>
      </c>
      <c r="H3505" s="2">
        <v>12887.31</v>
      </c>
    </row>
    <row r="3506" spans="1:8">
      <c r="A3506" t="s">
        <v>94</v>
      </c>
      <c r="B3506" t="s">
        <v>95</v>
      </c>
      <c r="C3506" t="s">
        <v>51</v>
      </c>
      <c r="D3506" t="s">
        <v>11</v>
      </c>
      <c r="E3506">
        <v>2015</v>
      </c>
      <c r="F3506" t="s">
        <v>14</v>
      </c>
      <c r="G3506" t="s">
        <v>19</v>
      </c>
      <c r="H3506" s="2">
        <v>0</v>
      </c>
    </row>
    <row r="3507" spans="1:8">
      <c r="A3507" t="s">
        <v>94</v>
      </c>
      <c r="B3507" t="s">
        <v>95</v>
      </c>
      <c r="C3507" t="s">
        <v>51</v>
      </c>
      <c r="D3507" t="s">
        <v>11</v>
      </c>
      <c r="E3507">
        <v>2016</v>
      </c>
      <c r="F3507" t="s">
        <v>12</v>
      </c>
      <c r="G3507" t="s">
        <v>15</v>
      </c>
      <c r="H3507" s="2">
        <v>12363.34</v>
      </c>
    </row>
    <row r="3508" spans="1:8">
      <c r="A3508" t="s">
        <v>94</v>
      </c>
      <c r="B3508" t="s">
        <v>95</v>
      </c>
      <c r="C3508" t="s">
        <v>51</v>
      </c>
      <c r="D3508" t="s">
        <v>11</v>
      </c>
      <c r="E3508">
        <v>2016</v>
      </c>
      <c r="F3508" t="s">
        <v>20</v>
      </c>
      <c r="G3508" t="s">
        <v>17</v>
      </c>
      <c r="H3508" s="2">
        <v>-1956.53</v>
      </c>
    </row>
    <row r="3509" spans="1:8">
      <c r="A3509" t="s">
        <v>94</v>
      </c>
      <c r="B3509" t="s">
        <v>95</v>
      </c>
      <c r="C3509" t="s">
        <v>51</v>
      </c>
      <c r="D3509" t="s">
        <v>11</v>
      </c>
      <c r="E3509">
        <v>2016</v>
      </c>
      <c r="F3509" t="s">
        <v>14</v>
      </c>
      <c r="G3509" t="s">
        <v>15</v>
      </c>
      <c r="H3509" s="2">
        <v>23473.46</v>
      </c>
    </row>
    <row r="3510" spans="1:8">
      <c r="A3510" t="s">
        <v>94</v>
      </c>
      <c r="B3510" t="s">
        <v>95</v>
      </c>
      <c r="C3510" t="s">
        <v>51</v>
      </c>
      <c r="D3510" t="s">
        <v>11</v>
      </c>
      <c r="E3510">
        <v>2016</v>
      </c>
      <c r="F3510" t="s">
        <v>14</v>
      </c>
      <c r="G3510" t="s">
        <v>17</v>
      </c>
      <c r="H3510" s="2">
        <v>15703.46</v>
      </c>
    </row>
    <row r="3511" spans="1:8">
      <c r="A3511" t="s">
        <v>94</v>
      </c>
      <c r="B3511" t="s">
        <v>95</v>
      </c>
      <c r="C3511" t="s">
        <v>51</v>
      </c>
      <c r="D3511" t="s">
        <v>11</v>
      </c>
      <c r="E3511">
        <v>2016</v>
      </c>
      <c r="F3511" t="s">
        <v>21</v>
      </c>
      <c r="G3511" t="s">
        <v>19</v>
      </c>
      <c r="H3511" s="2">
        <v>0</v>
      </c>
    </row>
    <row r="3512" spans="1:8">
      <c r="A3512" t="s">
        <v>94</v>
      </c>
      <c r="B3512" t="s">
        <v>95</v>
      </c>
      <c r="C3512" t="s">
        <v>51</v>
      </c>
      <c r="D3512" t="s">
        <v>11</v>
      </c>
      <c r="E3512">
        <v>2016</v>
      </c>
      <c r="F3512" t="s">
        <v>16</v>
      </c>
      <c r="G3512" t="s">
        <v>17</v>
      </c>
      <c r="H3512" s="2">
        <v>50116.02</v>
      </c>
    </row>
    <row r="3513" spans="1:8">
      <c r="A3513" t="s">
        <v>94</v>
      </c>
      <c r="B3513" t="s">
        <v>95</v>
      </c>
      <c r="C3513" t="s">
        <v>51</v>
      </c>
      <c r="D3513" t="s">
        <v>11</v>
      </c>
      <c r="E3513">
        <v>2017</v>
      </c>
      <c r="F3513" t="s">
        <v>22</v>
      </c>
      <c r="G3513" t="s">
        <v>15</v>
      </c>
      <c r="H3513" s="2">
        <v>567288.01</v>
      </c>
    </row>
    <row r="3514" spans="1:8">
      <c r="A3514" t="s">
        <v>94</v>
      </c>
      <c r="B3514" t="s">
        <v>95</v>
      </c>
      <c r="C3514" t="s">
        <v>51</v>
      </c>
      <c r="D3514" t="s">
        <v>11</v>
      </c>
      <c r="E3514">
        <v>2017</v>
      </c>
      <c r="F3514" t="s">
        <v>22</v>
      </c>
      <c r="G3514" t="s">
        <v>19</v>
      </c>
      <c r="H3514" s="2">
        <v>0</v>
      </c>
    </row>
    <row r="3515" spans="1:8">
      <c r="A3515" t="s">
        <v>94</v>
      </c>
      <c r="B3515" t="s">
        <v>95</v>
      </c>
      <c r="C3515" t="s">
        <v>51</v>
      </c>
      <c r="D3515" t="s">
        <v>11</v>
      </c>
      <c r="E3515">
        <v>2017</v>
      </c>
      <c r="F3515" t="s">
        <v>20</v>
      </c>
      <c r="G3515" t="s">
        <v>17</v>
      </c>
      <c r="H3515" s="2">
        <v>-1952.45</v>
      </c>
    </row>
    <row r="3516" spans="1:8">
      <c r="A3516" t="s">
        <v>94</v>
      </c>
      <c r="B3516" t="s">
        <v>95</v>
      </c>
      <c r="C3516" t="s">
        <v>51</v>
      </c>
      <c r="D3516" t="s">
        <v>11</v>
      </c>
      <c r="E3516">
        <v>2017</v>
      </c>
      <c r="F3516" t="s">
        <v>21</v>
      </c>
      <c r="G3516" t="s">
        <v>17</v>
      </c>
      <c r="H3516" s="2">
        <v>1256.6199999999999</v>
      </c>
    </row>
    <row r="3517" spans="1:8">
      <c r="A3517" t="s">
        <v>94</v>
      </c>
      <c r="B3517" t="s">
        <v>95</v>
      </c>
      <c r="C3517" t="s">
        <v>51</v>
      </c>
      <c r="D3517" t="s">
        <v>11</v>
      </c>
      <c r="E3517">
        <v>2017</v>
      </c>
      <c r="F3517" t="s">
        <v>16</v>
      </c>
      <c r="G3517" t="s">
        <v>19</v>
      </c>
      <c r="H3517" s="2">
        <v>0</v>
      </c>
    </row>
    <row r="3518" spans="1:8">
      <c r="A3518" t="s">
        <v>94</v>
      </c>
      <c r="B3518" t="s">
        <v>95</v>
      </c>
      <c r="C3518" t="s">
        <v>51</v>
      </c>
      <c r="D3518" t="s">
        <v>11</v>
      </c>
      <c r="E3518">
        <v>2018</v>
      </c>
      <c r="F3518" t="s">
        <v>18</v>
      </c>
      <c r="G3518" t="s">
        <v>15</v>
      </c>
      <c r="H3518" s="2">
        <v>12091.67</v>
      </c>
    </row>
    <row r="3519" spans="1:8">
      <c r="A3519" t="s">
        <v>94</v>
      </c>
      <c r="B3519" t="s">
        <v>95</v>
      </c>
      <c r="C3519" t="s">
        <v>51</v>
      </c>
      <c r="D3519" t="s">
        <v>11</v>
      </c>
      <c r="E3519">
        <v>2018</v>
      </c>
      <c r="F3519" t="s">
        <v>14</v>
      </c>
      <c r="G3519" t="s">
        <v>19</v>
      </c>
      <c r="H3519" s="2">
        <v>0</v>
      </c>
    </row>
    <row r="3520" spans="1:8">
      <c r="A3520" t="s">
        <v>94</v>
      </c>
      <c r="B3520" t="s">
        <v>95</v>
      </c>
      <c r="C3520" t="s">
        <v>51</v>
      </c>
      <c r="D3520" t="s">
        <v>11</v>
      </c>
      <c r="E3520">
        <v>2018</v>
      </c>
      <c r="F3520" t="s">
        <v>16</v>
      </c>
      <c r="G3520" t="s">
        <v>13</v>
      </c>
      <c r="H3520" s="2">
        <v>160666.59</v>
      </c>
    </row>
    <row r="3521" spans="1:8">
      <c r="A3521" t="s">
        <v>94</v>
      </c>
      <c r="B3521" t="s">
        <v>95</v>
      </c>
      <c r="C3521" t="s">
        <v>51</v>
      </c>
      <c r="D3521" t="s">
        <v>11</v>
      </c>
      <c r="E3521">
        <v>2019</v>
      </c>
      <c r="F3521" t="s">
        <v>20</v>
      </c>
      <c r="G3521" t="s">
        <v>19</v>
      </c>
      <c r="H3521" s="2">
        <v>0</v>
      </c>
    </row>
    <row r="3522" spans="1:8">
      <c r="A3522" t="s">
        <v>94</v>
      </c>
      <c r="B3522" t="s">
        <v>95</v>
      </c>
      <c r="C3522" t="s">
        <v>51</v>
      </c>
      <c r="D3522" t="s">
        <v>11</v>
      </c>
      <c r="E3522">
        <v>2019</v>
      </c>
      <c r="F3522" t="s">
        <v>16</v>
      </c>
      <c r="G3522" t="s">
        <v>17</v>
      </c>
      <c r="H3522" s="2">
        <v>48834.55</v>
      </c>
    </row>
    <row r="3523" spans="1:8">
      <c r="A3523" t="s">
        <v>94</v>
      </c>
      <c r="B3523" t="s">
        <v>95</v>
      </c>
      <c r="C3523" t="s">
        <v>51</v>
      </c>
      <c r="D3523" t="s">
        <v>11</v>
      </c>
      <c r="E3523">
        <v>2020</v>
      </c>
      <c r="F3523" t="s">
        <v>20</v>
      </c>
      <c r="G3523" t="s">
        <v>15</v>
      </c>
      <c r="H3523" s="2">
        <v>-2186.64</v>
      </c>
    </row>
    <row r="3524" spans="1:8">
      <c r="A3524" t="s">
        <v>94</v>
      </c>
      <c r="B3524" t="s">
        <v>95</v>
      </c>
      <c r="C3524" t="s">
        <v>51</v>
      </c>
      <c r="D3524" t="s">
        <v>11</v>
      </c>
      <c r="E3524">
        <v>2020</v>
      </c>
      <c r="F3524" t="s">
        <v>14</v>
      </c>
      <c r="G3524" t="s">
        <v>15</v>
      </c>
      <c r="H3524" s="2">
        <v>23213.54</v>
      </c>
    </row>
    <row r="3525" spans="1:8">
      <c r="A3525" t="s">
        <v>94</v>
      </c>
      <c r="B3525" t="s">
        <v>95</v>
      </c>
      <c r="C3525" t="s">
        <v>51</v>
      </c>
      <c r="D3525" t="s">
        <v>11</v>
      </c>
      <c r="E3525">
        <v>2020</v>
      </c>
      <c r="F3525" t="s">
        <v>14</v>
      </c>
      <c r="G3525" t="s">
        <v>13</v>
      </c>
      <c r="H3525" s="2">
        <v>721166.29</v>
      </c>
    </row>
    <row r="3526" spans="1:8">
      <c r="A3526" t="s">
        <v>94</v>
      </c>
      <c r="B3526" t="s">
        <v>95</v>
      </c>
      <c r="C3526" t="s">
        <v>51</v>
      </c>
      <c r="D3526" t="s">
        <v>11</v>
      </c>
      <c r="E3526">
        <v>2020</v>
      </c>
      <c r="F3526" t="s">
        <v>16</v>
      </c>
      <c r="G3526" t="s">
        <v>13</v>
      </c>
      <c r="H3526" s="2">
        <v>172315.77</v>
      </c>
    </row>
    <row r="3527" spans="1:8">
      <c r="A3527" t="s">
        <v>94</v>
      </c>
      <c r="B3527" t="s">
        <v>95</v>
      </c>
      <c r="C3527" t="s">
        <v>51</v>
      </c>
      <c r="D3527" t="s">
        <v>11</v>
      </c>
      <c r="E3527">
        <v>2021</v>
      </c>
      <c r="F3527" t="s">
        <v>22</v>
      </c>
      <c r="G3527" t="s">
        <v>15</v>
      </c>
      <c r="H3527" s="2">
        <v>576461.84</v>
      </c>
    </row>
    <row r="3528" spans="1:8">
      <c r="A3528" t="s">
        <v>94</v>
      </c>
      <c r="B3528" t="s">
        <v>95</v>
      </c>
      <c r="C3528" t="s">
        <v>51</v>
      </c>
      <c r="D3528" t="s">
        <v>11</v>
      </c>
      <c r="E3528">
        <v>2021</v>
      </c>
      <c r="F3528" t="s">
        <v>18</v>
      </c>
      <c r="G3528" t="s">
        <v>19</v>
      </c>
      <c r="H3528" s="2">
        <v>13277.92</v>
      </c>
    </row>
    <row r="3529" spans="1:8">
      <c r="A3529" t="s">
        <v>94</v>
      </c>
      <c r="B3529" t="s">
        <v>95</v>
      </c>
      <c r="C3529" t="s">
        <v>51</v>
      </c>
      <c r="D3529" t="s">
        <v>11</v>
      </c>
      <c r="E3529">
        <v>2022</v>
      </c>
      <c r="F3529" t="s">
        <v>12</v>
      </c>
      <c r="G3529" t="s">
        <v>13</v>
      </c>
      <c r="H3529" s="2">
        <v>151143.62</v>
      </c>
    </row>
    <row r="3530" spans="1:8">
      <c r="A3530" t="s">
        <v>94</v>
      </c>
      <c r="B3530" t="s">
        <v>95</v>
      </c>
      <c r="C3530" t="s">
        <v>51</v>
      </c>
      <c r="D3530" t="s">
        <v>11</v>
      </c>
      <c r="E3530">
        <v>2022</v>
      </c>
      <c r="F3530" t="s">
        <v>16</v>
      </c>
      <c r="G3530" t="s">
        <v>17</v>
      </c>
      <c r="H3530" s="2">
        <v>46711.47</v>
      </c>
    </row>
    <row r="3531" spans="1:8">
      <c r="A3531" t="s">
        <v>94</v>
      </c>
      <c r="B3531" t="s">
        <v>95</v>
      </c>
      <c r="C3531" t="s">
        <v>51</v>
      </c>
      <c r="D3531" t="s">
        <v>11</v>
      </c>
      <c r="E3531">
        <v>2023</v>
      </c>
      <c r="F3531" t="s">
        <v>12</v>
      </c>
      <c r="G3531" t="s">
        <v>19</v>
      </c>
      <c r="H3531" s="2">
        <v>0</v>
      </c>
    </row>
    <row r="3532" spans="1:8">
      <c r="A3532" t="s">
        <v>94</v>
      </c>
      <c r="B3532" t="s">
        <v>95</v>
      </c>
      <c r="C3532" t="s">
        <v>51</v>
      </c>
      <c r="D3532" t="s">
        <v>11</v>
      </c>
      <c r="E3532">
        <v>2023</v>
      </c>
      <c r="F3532" t="s">
        <v>14</v>
      </c>
      <c r="G3532" t="s">
        <v>19</v>
      </c>
      <c r="H3532" s="2">
        <v>0</v>
      </c>
    </row>
    <row r="3533" spans="1:8">
      <c r="A3533" t="s">
        <v>94</v>
      </c>
      <c r="B3533" t="s">
        <v>95</v>
      </c>
      <c r="C3533" t="s">
        <v>51</v>
      </c>
      <c r="D3533" t="s">
        <v>11</v>
      </c>
      <c r="E3533">
        <v>2024</v>
      </c>
      <c r="F3533" t="s">
        <v>12</v>
      </c>
      <c r="G3533" t="s">
        <v>13</v>
      </c>
      <c r="H3533" s="2">
        <v>161296.70000000001</v>
      </c>
    </row>
    <row r="3534" spans="1:8">
      <c r="A3534" t="s">
        <v>94</v>
      </c>
      <c r="B3534" t="s">
        <v>95</v>
      </c>
      <c r="C3534" t="s">
        <v>51</v>
      </c>
      <c r="D3534" t="s">
        <v>11</v>
      </c>
      <c r="E3534">
        <v>2024</v>
      </c>
      <c r="F3534" t="s">
        <v>14</v>
      </c>
      <c r="G3534" t="s">
        <v>17</v>
      </c>
      <c r="H3534" s="2">
        <v>16735.599999999999</v>
      </c>
    </row>
    <row r="3535" spans="1:8">
      <c r="A3535" t="s">
        <v>96</v>
      </c>
      <c r="B3535" t="s">
        <v>97</v>
      </c>
      <c r="C3535" t="s">
        <v>32</v>
      </c>
      <c r="D3535" t="s">
        <v>29</v>
      </c>
      <c r="E3535">
        <v>1990</v>
      </c>
      <c r="F3535" t="s">
        <v>22</v>
      </c>
      <c r="G3535" t="s">
        <v>13</v>
      </c>
      <c r="H3535" s="2">
        <v>8380.61</v>
      </c>
    </row>
    <row r="3536" spans="1:8">
      <c r="A3536" t="s">
        <v>96</v>
      </c>
      <c r="B3536" t="s">
        <v>97</v>
      </c>
      <c r="C3536" t="s">
        <v>32</v>
      </c>
      <c r="D3536" t="s">
        <v>29</v>
      </c>
      <c r="E3536">
        <v>1990</v>
      </c>
      <c r="F3536" t="s">
        <v>12</v>
      </c>
      <c r="G3536" t="s">
        <v>17</v>
      </c>
      <c r="H3536" s="2">
        <v>5462.21</v>
      </c>
    </row>
    <row r="3537" spans="1:8">
      <c r="A3537" t="s">
        <v>96</v>
      </c>
      <c r="B3537" t="s">
        <v>97</v>
      </c>
      <c r="C3537" t="s">
        <v>32</v>
      </c>
      <c r="D3537" t="s">
        <v>29</v>
      </c>
      <c r="E3537">
        <v>1990</v>
      </c>
      <c r="F3537" t="s">
        <v>14</v>
      </c>
      <c r="G3537" t="s">
        <v>15</v>
      </c>
      <c r="H3537" s="2">
        <v>4669.91</v>
      </c>
    </row>
    <row r="3538" spans="1:8">
      <c r="A3538" t="s">
        <v>96</v>
      </c>
      <c r="B3538" t="s">
        <v>97</v>
      </c>
      <c r="C3538" t="s">
        <v>32</v>
      </c>
      <c r="D3538" t="s">
        <v>29</v>
      </c>
      <c r="E3538">
        <v>1991</v>
      </c>
      <c r="F3538" t="s">
        <v>22</v>
      </c>
      <c r="G3538" t="s">
        <v>17</v>
      </c>
      <c r="H3538" s="2">
        <v>14863.12</v>
      </c>
    </row>
    <row r="3539" spans="1:8">
      <c r="A3539" t="s">
        <v>96</v>
      </c>
      <c r="B3539" t="s">
        <v>97</v>
      </c>
      <c r="C3539" t="s">
        <v>32</v>
      </c>
      <c r="D3539" t="s">
        <v>29</v>
      </c>
      <c r="E3539">
        <v>1991</v>
      </c>
      <c r="F3539" t="s">
        <v>21</v>
      </c>
      <c r="G3539" t="s">
        <v>13</v>
      </c>
      <c r="H3539" s="2">
        <v>110115.58</v>
      </c>
    </row>
    <row r="3540" spans="1:8">
      <c r="A3540" t="s">
        <v>96</v>
      </c>
      <c r="B3540" t="s">
        <v>97</v>
      </c>
      <c r="C3540" t="s">
        <v>32</v>
      </c>
      <c r="D3540" t="s">
        <v>29</v>
      </c>
      <c r="E3540">
        <v>1991</v>
      </c>
      <c r="F3540" t="s">
        <v>16</v>
      </c>
      <c r="G3540" t="s">
        <v>19</v>
      </c>
      <c r="H3540" s="2">
        <v>0</v>
      </c>
    </row>
    <row r="3541" spans="1:8">
      <c r="A3541" t="s">
        <v>96</v>
      </c>
      <c r="B3541" t="s">
        <v>97</v>
      </c>
      <c r="C3541" t="s">
        <v>32</v>
      </c>
      <c r="D3541" t="s">
        <v>29</v>
      </c>
      <c r="E3541">
        <v>1992</v>
      </c>
      <c r="F3541" t="s">
        <v>12</v>
      </c>
      <c r="G3541" t="s">
        <v>13</v>
      </c>
      <c r="H3541" s="2">
        <v>173961.08</v>
      </c>
    </row>
    <row r="3542" spans="1:8">
      <c r="A3542" t="s">
        <v>96</v>
      </c>
      <c r="B3542" t="s">
        <v>97</v>
      </c>
      <c r="C3542" t="s">
        <v>32</v>
      </c>
      <c r="D3542" t="s">
        <v>29</v>
      </c>
      <c r="E3542">
        <v>1992</v>
      </c>
      <c r="F3542" t="s">
        <v>18</v>
      </c>
      <c r="G3542" t="s">
        <v>19</v>
      </c>
      <c r="H3542" s="2">
        <v>4136.4399999999996</v>
      </c>
    </row>
    <row r="3543" spans="1:8">
      <c r="A3543" t="s">
        <v>96</v>
      </c>
      <c r="B3543" t="s">
        <v>97</v>
      </c>
      <c r="C3543" t="s">
        <v>32</v>
      </c>
      <c r="D3543" t="s">
        <v>29</v>
      </c>
      <c r="E3543">
        <v>1992</v>
      </c>
      <c r="F3543" t="s">
        <v>20</v>
      </c>
      <c r="G3543" t="s">
        <v>17</v>
      </c>
      <c r="H3543" s="2">
        <v>-1061.6300000000001</v>
      </c>
    </row>
    <row r="3544" spans="1:8">
      <c r="A3544" t="s">
        <v>96</v>
      </c>
      <c r="B3544" t="s">
        <v>97</v>
      </c>
      <c r="C3544" t="s">
        <v>32</v>
      </c>
      <c r="D3544" t="s">
        <v>29</v>
      </c>
      <c r="E3544">
        <v>1993</v>
      </c>
      <c r="F3544" t="s">
        <v>20</v>
      </c>
      <c r="G3544" t="s">
        <v>19</v>
      </c>
      <c r="H3544" s="2">
        <v>0</v>
      </c>
    </row>
    <row r="3545" spans="1:8">
      <c r="A3545" t="s">
        <v>96</v>
      </c>
      <c r="B3545" t="s">
        <v>97</v>
      </c>
      <c r="C3545" t="s">
        <v>32</v>
      </c>
      <c r="D3545" t="s">
        <v>29</v>
      </c>
      <c r="E3545">
        <v>1993</v>
      </c>
      <c r="F3545" t="s">
        <v>20</v>
      </c>
      <c r="G3545" t="s">
        <v>17</v>
      </c>
      <c r="H3545" s="2">
        <v>-1074.97</v>
      </c>
    </row>
    <row r="3546" spans="1:8">
      <c r="A3546" t="s">
        <v>96</v>
      </c>
      <c r="B3546" t="s">
        <v>97</v>
      </c>
      <c r="C3546" t="s">
        <v>32</v>
      </c>
      <c r="D3546" t="s">
        <v>29</v>
      </c>
      <c r="E3546">
        <v>1993</v>
      </c>
      <c r="F3546" t="s">
        <v>14</v>
      </c>
      <c r="G3546" t="s">
        <v>19</v>
      </c>
      <c r="H3546" s="2">
        <v>0</v>
      </c>
    </row>
    <row r="3547" spans="1:8">
      <c r="A3547" t="s">
        <v>96</v>
      </c>
      <c r="B3547" t="s">
        <v>97</v>
      </c>
      <c r="C3547" t="s">
        <v>32</v>
      </c>
      <c r="D3547" t="s">
        <v>29</v>
      </c>
      <c r="E3547">
        <v>1993</v>
      </c>
      <c r="F3547" t="s">
        <v>21</v>
      </c>
      <c r="G3547" t="s">
        <v>17</v>
      </c>
      <c r="H3547" s="2">
        <v>1405.4</v>
      </c>
    </row>
    <row r="3548" spans="1:8">
      <c r="A3548" t="s">
        <v>96</v>
      </c>
      <c r="B3548" t="s">
        <v>97</v>
      </c>
      <c r="C3548" t="s">
        <v>32</v>
      </c>
      <c r="D3548" t="s">
        <v>29</v>
      </c>
      <c r="E3548">
        <v>1994</v>
      </c>
      <c r="F3548" t="s">
        <v>22</v>
      </c>
      <c r="G3548" t="s">
        <v>15</v>
      </c>
      <c r="H3548" s="2">
        <v>57230.54</v>
      </c>
    </row>
    <row r="3549" spans="1:8">
      <c r="A3549" t="s">
        <v>96</v>
      </c>
      <c r="B3549" t="s">
        <v>97</v>
      </c>
      <c r="C3549" t="s">
        <v>32</v>
      </c>
      <c r="D3549" t="s">
        <v>29</v>
      </c>
      <c r="E3549">
        <v>1994</v>
      </c>
      <c r="F3549" t="s">
        <v>22</v>
      </c>
      <c r="G3549" t="s">
        <v>13</v>
      </c>
      <c r="H3549" s="2">
        <v>8397.86</v>
      </c>
    </row>
    <row r="3550" spans="1:8">
      <c r="A3550" t="s">
        <v>96</v>
      </c>
      <c r="B3550" t="s">
        <v>97</v>
      </c>
      <c r="C3550" t="s">
        <v>32</v>
      </c>
      <c r="D3550" t="s">
        <v>29</v>
      </c>
      <c r="E3550">
        <v>1994</v>
      </c>
      <c r="F3550" t="s">
        <v>20</v>
      </c>
      <c r="G3550" t="s">
        <v>19</v>
      </c>
      <c r="H3550" s="2">
        <v>0</v>
      </c>
    </row>
    <row r="3551" spans="1:8">
      <c r="A3551" t="s">
        <v>96</v>
      </c>
      <c r="B3551" t="s">
        <v>97</v>
      </c>
      <c r="C3551" t="s">
        <v>32</v>
      </c>
      <c r="D3551" t="s">
        <v>29</v>
      </c>
      <c r="E3551">
        <v>1995</v>
      </c>
      <c r="F3551" t="s">
        <v>22</v>
      </c>
      <c r="G3551" t="s">
        <v>15</v>
      </c>
      <c r="H3551" s="2">
        <v>57916.23</v>
      </c>
    </row>
    <row r="3552" spans="1:8">
      <c r="A3552" t="s">
        <v>96</v>
      </c>
      <c r="B3552" t="s">
        <v>97</v>
      </c>
      <c r="C3552" t="s">
        <v>32</v>
      </c>
      <c r="D3552" t="s">
        <v>29</v>
      </c>
      <c r="E3552">
        <v>1996</v>
      </c>
      <c r="F3552" t="s">
        <v>21</v>
      </c>
      <c r="G3552" t="s">
        <v>13</v>
      </c>
      <c r="H3552" s="2">
        <v>121480.44</v>
      </c>
    </row>
    <row r="3553" spans="1:8">
      <c r="A3553" t="s">
        <v>96</v>
      </c>
      <c r="B3553" t="s">
        <v>97</v>
      </c>
      <c r="C3553" t="s">
        <v>32</v>
      </c>
      <c r="D3553" t="s">
        <v>29</v>
      </c>
      <c r="E3553">
        <v>1996</v>
      </c>
      <c r="F3553" t="s">
        <v>16</v>
      </c>
      <c r="G3553" t="s">
        <v>19</v>
      </c>
      <c r="H3553" s="2">
        <v>0</v>
      </c>
    </row>
    <row r="3554" spans="1:8">
      <c r="A3554" t="s">
        <v>96</v>
      </c>
      <c r="B3554" t="s">
        <v>97</v>
      </c>
      <c r="C3554" t="s">
        <v>32</v>
      </c>
      <c r="D3554" t="s">
        <v>29</v>
      </c>
      <c r="E3554">
        <v>1997</v>
      </c>
      <c r="F3554" t="s">
        <v>12</v>
      </c>
      <c r="G3554" t="s">
        <v>17</v>
      </c>
      <c r="H3554" s="2">
        <v>6120.48</v>
      </c>
    </row>
    <row r="3555" spans="1:8">
      <c r="A3555" t="s">
        <v>96</v>
      </c>
      <c r="B3555" t="s">
        <v>97</v>
      </c>
      <c r="C3555" t="s">
        <v>32</v>
      </c>
      <c r="D3555" t="s">
        <v>29</v>
      </c>
      <c r="E3555">
        <v>1997</v>
      </c>
      <c r="F3555" t="s">
        <v>14</v>
      </c>
      <c r="G3555" t="s">
        <v>15</v>
      </c>
      <c r="H3555" s="2">
        <v>6038.25</v>
      </c>
    </row>
    <row r="3556" spans="1:8">
      <c r="A3556" t="s">
        <v>96</v>
      </c>
      <c r="B3556" t="s">
        <v>97</v>
      </c>
      <c r="C3556" t="s">
        <v>32</v>
      </c>
      <c r="D3556" t="s">
        <v>29</v>
      </c>
      <c r="E3556">
        <v>1997</v>
      </c>
      <c r="F3556" t="s">
        <v>21</v>
      </c>
      <c r="G3556" t="s">
        <v>13</v>
      </c>
      <c r="H3556" s="2">
        <v>143594.01999999999</v>
      </c>
    </row>
    <row r="3557" spans="1:8">
      <c r="A3557" t="s">
        <v>96</v>
      </c>
      <c r="B3557" t="s">
        <v>97</v>
      </c>
      <c r="C3557" t="s">
        <v>32</v>
      </c>
      <c r="D3557" t="s">
        <v>29</v>
      </c>
      <c r="E3557">
        <v>1997</v>
      </c>
      <c r="F3557" t="s">
        <v>16</v>
      </c>
      <c r="G3557" t="s">
        <v>19</v>
      </c>
      <c r="H3557" s="2">
        <v>0</v>
      </c>
    </row>
    <row r="3558" spans="1:8">
      <c r="A3558" t="s">
        <v>96</v>
      </c>
      <c r="B3558" t="s">
        <v>97</v>
      </c>
      <c r="C3558" t="s">
        <v>32</v>
      </c>
      <c r="D3558" t="s">
        <v>29</v>
      </c>
      <c r="E3558">
        <v>1998</v>
      </c>
      <c r="F3558" t="s">
        <v>22</v>
      </c>
      <c r="G3558" t="s">
        <v>17</v>
      </c>
      <c r="H3558" s="2">
        <v>18309.79</v>
      </c>
    </row>
    <row r="3559" spans="1:8">
      <c r="A3559" t="s">
        <v>96</v>
      </c>
      <c r="B3559" t="s">
        <v>97</v>
      </c>
      <c r="C3559" t="s">
        <v>32</v>
      </c>
      <c r="D3559" t="s">
        <v>29</v>
      </c>
      <c r="E3559">
        <v>1998</v>
      </c>
      <c r="F3559" t="s">
        <v>20</v>
      </c>
      <c r="G3559" t="s">
        <v>15</v>
      </c>
      <c r="H3559" s="2">
        <v>-910.11</v>
      </c>
    </row>
    <row r="3560" spans="1:8">
      <c r="A3560" t="s">
        <v>96</v>
      </c>
      <c r="B3560" t="s">
        <v>97</v>
      </c>
      <c r="C3560" t="s">
        <v>32</v>
      </c>
      <c r="D3560" t="s">
        <v>29</v>
      </c>
      <c r="E3560">
        <v>1998</v>
      </c>
      <c r="F3560" t="s">
        <v>21</v>
      </c>
      <c r="G3560" t="s">
        <v>13</v>
      </c>
      <c r="H3560" s="2">
        <v>146218.4</v>
      </c>
    </row>
    <row r="3561" spans="1:8">
      <c r="A3561" t="s">
        <v>96</v>
      </c>
      <c r="B3561" t="s">
        <v>97</v>
      </c>
      <c r="C3561" t="s">
        <v>32</v>
      </c>
      <c r="D3561" t="s">
        <v>29</v>
      </c>
      <c r="E3561">
        <v>1999</v>
      </c>
      <c r="F3561" t="s">
        <v>12</v>
      </c>
      <c r="G3561" t="s">
        <v>19</v>
      </c>
      <c r="H3561" s="2">
        <v>0</v>
      </c>
    </row>
    <row r="3562" spans="1:8">
      <c r="A3562" t="s">
        <v>96</v>
      </c>
      <c r="B3562" t="s">
        <v>97</v>
      </c>
      <c r="C3562" t="s">
        <v>32</v>
      </c>
      <c r="D3562" t="s">
        <v>29</v>
      </c>
      <c r="E3562">
        <v>1999</v>
      </c>
      <c r="F3562" t="s">
        <v>18</v>
      </c>
      <c r="G3562" t="s">
        <v>17</v>
      </c>
      <c r="H3562" s="2">
        <v>4303.5600000000004</v>
      </c>
    </row>
    <row r="3563" spans="1:8">
      <c r="A3563" t="s">
        <v>96</v>
      </c>
      <c r="B3563" t="s">
        <v>97</v>
      </c>
      <c r="C3563" t="s">
        <v>32</v>
      </c>
      <c r="D3563" t="s">
        <v>29</v>
      </c>
      <c r="E3563">
        <v>1999</v>
      </c>
      <c r="F3563" t="s">
        <v>14</v>
      </c>
      <c r="G3563" t="s">
        <v>19</v>
      </c>
      <c r="H3563" s="2">
        <v>0</v>
      </c>
    </row>
    <row r="3564" spans="1:8">
      <c r="A3564" t="s">
        <v>96</v>
      </c>
      <c r="B3564" t="s">
        <v>97</v>
      </c>
      <c r="C3564" t="s">
        <v>32</v>
      </c>
      <c r="D3564" t="s">
        <v>29</v>
      </c>
      <c r="E3564">
        <v>2000</v>
      </c>
      <c r="F3564" t="s">
        <v>18</v>
      </c>
      <c r="G3564" t="s">
        <v>13</v>
      </c>
      <c r="H3564" s="2">
        <v>76690.95</v>
      </c>
    </row>
    <row r="3565" spans="1:8">
      <c r="A3565" t="s">
        <v>96</v>
      </c>
      <c r="B3565" t="s">
        <v>97</v>
      </c>
      <c r="C3565" t="s">
        <v>32</v>
      </c>
      <c r="D3565" t="s">
        <v>29</v>
      </c>
      <c r="E3565">
        <v>2001</v>
      </c>
      <c r="F3565" t="s">
        <v>12</v>
      </c>
      <c r="G3565" t="s">
        <v>19</v>
      </c>
      <c r="H3565" s="2">
        <v>0</v>
      </c>
    </row>
    <row r="3566" spans="1:8">
      <c r="A3566" t="s">
        <v>96</v>
      </c>
      <c r="B3566" t="s">
        <v>97</v>
      </c>
      <c r="C3566" t="s">
        <v>32</v>
      </c>
      <c r="D3566" t="s">
        <v>29</v>
      </c>
      <c r="E3566">
        <v>2001</v>
      </c>
      <c r="F3566" t="s">
        <v>18</v>
      </c>
      <c r="G3566" t="s">
        <v>19</v>
      </c>
      <c r="H3566" s="2">
        <v>5051.13</v>
      </c>
    </row>
    <row r="3567" spans="1:8">
      <c r="A3567" t="s">
        <v>96</v>
      </c>
      <c r="B3567" t="s">
        <v>97</v>
      </c>
      <c r="C3567" t="s">
        <v>32</v>
      </c>
      <c r="D3567" t="s">
        <v>29</v>
      </c>
      <c r="E3567">
        <v>2002</v>
      </c>
      <c r="F3567" t="s">
        <v>22</v>
      </c>
      <c r="G3567" t="s">
        <v>15</v>
      </c>
      <c r="H3567" s="2">
        <v>58000.32</v>
      </c>
    </row>
    <row r="3568" spans="1:8">
      <c r="A3568" t="s">
        <v>96</v>
      </c>
      <c r="B3568" t="s">
        <v>97</v>
      </c>
      <c r="C3568" t="s">
        <v>32</v>
      </c>
      <c r="D3568" t="s">
        <v>29</v>
      </c>
      <c r="E3568">
        <v>2002</v>
      </c>
      <c r="F3568" t="s">
        <v>18</v>
      </c>
      <c r="G3568" t="s">
        <v>13</v>
      </c>
      <c r="H3568" s="2">
        <v>75195.69</v>
      </c>
    </row>
    <row r="3569" spans="1:8">
      <c r="A3569" t="s">
        <v>96</v>
      </c>
      <c r="B3569" t="s">
        <v>97</v>
      </c>
      <c r="C3569" t="s">
        <v>32</v>
      </c>
      <c r="D3569" t="s">
        <v>29</v>
      </c>
      <c r="E3569">
        <v>2002</v>
      </c>
      <c r="F3569" t="s">
        <v>21</v>
      </c>
      <c r="G3569" t="s">
        <v>13</v>
      </c>
      <c r="H3569" s="2">
        <v>123801.74</v>
      </c>
    </row>
    <row r="3570" spans="1:8">
      <c r="A3570" t="s">
        <v>96</v>
      </c>
      <c r="B3570" t="s">
        <v>97</v>
      </c>
      <c r="C3570" t="s">
        <v>32</v>
      </c>
      <c r="D3570" t="s">
        <v>29</v>
      </c>
      <c r="E3570">
        <v>2003</v>
      </c>
      <c r="F3570" t="s">
        <v>22</v>
      </c>
      <c r="G3570" t="s">
        <v>17</v>
      </c>
      <c r="H3570" s="2">
        <v>17923.63</v>
      </c>
    </row>
    <row r="3571" spans="1:8">
      <c r="A3571" t="s">
        <v>96</v>
      </c>
      <c r="B3571" t="s">
        <v>97</v>
      </c>
      <c r="C3571" t="s">
        <v>32</v>
      </c>
      <c r="D3571" t="s">
        <v>29</v>
      </c>
      <c r="E3571">
        <v>2003</v>
      </c>
      <c r="F3571" t="s">
        <v>20</v>
      </c>
      <c r="G3571" t="s">
        <v>19</v>
      </c>
      <c r="H3571" s="2">
        <v>0</v>
      </c>
    </row>
    <row r="3572" spans="1:8">
      <c r="A3572" t="s">
        <v>96</v>
      </c>
      <c r="B3572" t="s">
        <v>97</v>
      </c>
      <c r="C3572" t="s">
        <v>32</v>
      </c>
      <c r="D3572" t="s">
        <v>29</v>
      </c>
      <c r="E3572">
        <v>2003</v>
      </c>
      <c r="F3572" t="s">
        <v>16</v>
      </c>
      <c r="G3572" t="s">
        <v>17</v>
      </c>
      <c r="H3572" s="2">
        <v>405.23</v>
      </c>
    </row>
    <row r="3573" spans="1:8">
      <c r="A3573" t="s">
        <v>96</v>
      </c>
      <c r="B3573" t="s">
        <v>97</v>
      </c>
      <c r="C3573" t="s">
        <v>32</v>
      </c>
      <c r="D3573" t="s">
        <v>29</v>
      </c>
      <c r="E3573">
        <v>2005</v>
      </c>
      <c r="F3573" t="s">
        <v>22</v>
      </c>
      <c r="G3573" t="s">
        <v>13</v>
      </c>
      <c r="H3573" s="2">
        <v>8533.2099999999991</v>
      </c>
    </row>
    <row r="3574" spans="1:8">
      <c r="A3574" t="s">
        <v>96</v>
      </c>
      <c r="B3574" t="s">
        <v>97</v>
      </c>
      <c r="C3574" t="s">
        <v>32</v>
      </c>
      <c r="D3574" t="s">
        <v>29</v>
      </c>
      <c r="E3574">
        <v>2005</v>
      </c>
      <c r="F3574" t="s">
        <v>12</v>
      </c>
      <c r="G3574" t="s">
        <v>17</v>
      </c>
      <c r="H3574" s="2">
        <v>5467.6</v>
      </c>
    </row>
    <row r="3575" spans="1:8">
      <c r="A3575" t="s">
        <v>96</v>
      </c>
      <c r="B3575" t="s">
        <v>97</v>
      </c>
      <c r="C3575" t="s">
        <v>32</v>
      </c>
      <c r="D3575" t="s">
        <v>29</v>
      </c>
      <c r="E3575">
        <v>2005</v>
      </c>
      <c r="F3575" t="s">
        <v>20</v>
      </c>
      <c r="G3575" t="s">
        <v>17</v>
      </c>
      <c r="H3575" s="2">
        <v>-1031.6400000000001</v>
      </c>
    </row>
    <row r="3576" spans="1:8">
      <c r="A3576" t="s">
        <v>96</v>
      </c>
      <c r="B3576" t="s">
        <v>97</v>
      </c>
      <c r="C3576" t="s">
        <v>32</v>
      </c>
      <c r="D3576" t="s">
        <v>29</v>
      </c>
      <c r="E3576">
        <v>2005</v>
      </c>
      <c r="F3576" t="s">
        <v>21</v>
      </c>
      <c r="G3576" t="s">
        <v>15</v>
      </c>
      <c r="H3576" s="2">
        <v>2522.27</v>
      </c>
    </row>
    <row r="3577" spans="1:8">
      <c r="A3577" t="s">
        <v>96</v>
      </c>
      <c r="B3577" t="s">
        <v>97</v>
      </c>
      <c r="C3577" t="s">
        <v>32</v>
      </c>
      <c r="D3577" t="s">
        <v>29</v>
      </c>
      <c r="E3577">
        <v>2005</v>
      </c>
      <c r="F3577" t="s">
        <v>21</v>
      </c>
      <c r="G3577" t="s">
        <v>13</v>
      </c>
      <c r="H3577" s="2">
        <v>126497.23</v>
      </c>
    </row>
    <row r="3578" spans="1:8">
      <c r="A3578" t="s">
        <v>96</v>
      </c>
      <c r="B3578" t="s">
        <v>97</v>
      </c>
      <c r="C3578" t="s">
        <v>32</v>
      </c>
      <c r="D3578" t="s">
        <v>29</v>
      </c>
      <c r="E3578">
        <v>2005</v>
      </c>
      <c r="F3578" t="s">
        <v>16</v>
      </c>
      <c r="G3578" t="s">
        <v>15</v>
      </c>
      <c r="H3578" s="2">
        <v>5971.35</v>
      </c>
    </row>
    <row r="3579" spans="1:8">
      <c r="A3579" t="s">
        <v>96</v>
      </c>
      <c r="B3579" t="s">
        <v>97</v>
      </c>
      <c r="C3579" t="s">
        <v>32</v>
      </c>
      <c r="D3579" t="s">
        <v>29</v>
      </c>
      <c r="E3579">
        <v>2007</v>
      </c>
      <c r="F3579" t="s">
        <v>22</v>
      </c>
      <c r="G3579" t="s">
        <v>19</v>
      </c>
      <c r="H3579" s="2">
        <v>0</v>
      </c>
    </row>
    <row r="3580" spans="1:8">
      <c r="A3580" t="s">
        <v>96</v>
      </c>
      <c r="B3580" t="s">
        <v>97</v>
      </c>
      <c r="C3580" t="s">
        <v>32</v>
      </c>
      <c r="D3580" t="s">
        <v>29</v>
      </c>
      <c r="E3580">
        <v>2007</v>
      </c>
      <c r="F3580" t="s">
        <v>16</v>
      </c>
      <c r="G3580" t="s">
        <v>17</v>
      </c>
      <c r="H3580" s="2">
        <v>426</v>
      </c>
    </row>
    <row r="3581" spans="1:8">
      <c r="A3581" t="s">
        <v>96</v>
      </c>
      <c r="B3581" t="s">
        <v>97</v>
      </c>
      <c r="C3581" t="s">
        <v>32</v>
      </c>
      <c r="D3581" t="s">
        <v>29</v>
      </c>
      <c r="E3581">
        <v>2008</v>
      </c>
      <c r="F3581" t="s">
        <v>22</v>
      </c>
      <c r="G3581" t="s">
        <v>13</v>
      </c>
      <c r="H3581" s="2">
        <v>8010.55</v>
      </c>
    </row>
    <row r="3582" spans="1:8">
      <c r="A3582" t="s">
        <v>96</v>
      </c>
      <c r="B3582" t="s">
        <v>97</v>
      </c>
      <c r="C3582" t="s">
        <v>32</v>
      </c>
      <c r="D3582" t="s">
        <v>29</v>
      </c>
      <c r="E3582">
        <v>2008</v>
      </c>
      <c r="F3582" t="s">
        <v>18</v>
      </c>
      <c r="G3582" t="s">
        <v>19</v>
      </c>
      <c r="H3582" s="2">
        <v>3868.16</v>
      </c>
    </row>
    <row r="3583" spans="1:8">
      <c r="A3583" t="s">
        <v>96</v>
      </c>
      <c r="B3583" t="s">
        <v>97</v>
      </c>
      <c r="C3583" t="s">
        <v>32</v>
      </c>
      <c r="D3583" t="s">
        <v>29</v>
      </c>
      <c r="E3583">
        <v>2008</v>
      </c>
      <c r="F3583" t="s">
        <v>20</v>
      </c>
      <c r="G3583" t="s">
        <v>19</v>
      </c>
      <c r="H3583" s="2">
        <v>0</v>
      </c>
    </row>
    <row r="3584" spans="1:8">
      <c r="A3584" t="s">
        <v>96</v>
      </c>
      <c r="B3584" t="s">
        <v>97</v>
      </c>
      <c r="C3584" t="s">
        <v>32</v>
      </c>
      <c r="D3584" t="s">
        <v>29</v>
      </c>
      <c r="E3584">
        <v>2008</v>
      </c>
      <c r="F3584" t="s">
        <v>21</v>
      </c>
      <c r="G3584" t="s">
        <v>13</v>
      </c>
      <c r="H3584" s="2">
        <v>122844.01</v>
      </c>
    </row>
    <row r="3585" spans="1:8">
      <c r="A3585" t="s">
        <v>96</v>
      </c>
      <c r="B3585" t="s">
        <v>97</v>
      </c>
      <c r="C3585" t="s">
        <v>32</v>
      </c>
      <c r="D3585" t="s">
        <v>29</v>
      </c>
      <c r="E3585">
        <v>2009</v>
      </c>
      <c r="F3585" t="s">
        <v>12</v>
      </c>
      <c r="G3585" t="s">
        <v>15</v>
      </c>
      <c r="H3585" s="2">
        <v>14403.52</v>
      </c>
    </row>
    <row r="3586" spans="1:8">
      <c r="A3586" t="s">
        <v>96</v>
      </c>
      <c r="B3586" t="s">
        <v>97</v>
      </c>
      <c r="C3586" t="s">
        <v>32</v>
      </c>
      <c r="D3586" t="s">
        <v>29</v>
      </c>
      <c r="E3586">
        <v>2009</v>
      </c>
      <c r="F3586" t="s">
        <v>12</v>
      </c>
      <c r="G3586" t="s">
        <v>19</v>
      </c>
      <c r="H3586" s="2">
        <v>0</v>
      </c>
    </row>
    <row r="3587" spans="1:8">
      <c r="A3587" t="s">
        <v>96</v>
      </c>
      <c r="B3587" t="s">
        <v>97</v>
      </c>
      <c r="C3587" t="s">
        <v>32</v>
      </c>
      <c r="D3587" t="s">
        <v>29</v>
      </c>
      <c r="E3587">
        <v>2009</v>
      </c>
      <c r="F3587" t="s">
        <v>14</v>
      </c>
      <c r="G3587" t="s">
        <v>17</v>
      </c>
      <c r="H3587" s="2">
        <v>3341.55</v>
      </c>
    </row>
    <row r="3588" spans="1:8">
      <c r="A3588" t="s">
        <v>96</v>
      </c>
      <c r="B3588" t="s">
        <v>97</v>
      </c>
      <c r="C3588" t="s">
        <v>32</v>
      </c>
      <c r="D3588" t="s">
        <v>29</v>
      </c>
      <c r="E3588">
        <v>2009</v>
      </c>
      <c r="F3588" t="s">
        <v>21</v>
      </c>
      <c r="G3588" t="s">
        <v>13</v>
      </c>
      <c r="H3588" s="2">
        <v>134153.88</v>
      </c>
    </row>
    <row r="3589" spans="1:8">
      <c r="A3589" t="s">
        <v>96</v>
      </c>
      <c r="B3589" t="s">
        <v>97</v>
      </c>
      <c r="C3589" t="s">
        <v>32</v>
      </c>
      <c r="D3589" t="s">
        <v>29</v>
      </c>
      <c r="E3589">
        <v>2010</v>
      </c>
      <c r="F3589" t="s">
        <v>22</v>
      </c>
      <c r="G3589" t="s">
        <v>19</v>
      </c>
      <c r="H3589" s="2">
        <v>0</v>
      </c>
    </row>
    <row r="3590" spans="1:8">
      <c r="A3590" t="s">
        <v>96</v>
      </c>
      <c r="B3590" t="s">
        <v>97</v>
      </c>
      <c r="C3590" t="s">
        <v>32</v>
      </c>
      <c r="D3590" t="s">
        <v>29</v>
      </c>
      <c r="E3590">
        <v>2011</v>
      </c>
      <c r="F3590" t="s">
        <v>22</v>
      </c>
      <c r="G3590" t="s">
        <v>17</v>
      </c>
      <c r="H3590" s="2">
        <v>17806.59</v>
      </c>
    </row>
    <row r="3591" spans="1:8">
      <c r="A3591" t="s">
        <v>96</v>
      </c>
      <c r="B3591" t="s">
        <v>97</v>
      </c>
      <c r="C3591" t="s">
        <v>32</v>
      </c>
      <c r="D3591" t="s">
        <v>29</v>
      </c>
      <c r="E3591">
        <v>2011</v>
      </c>
      <c r="F3591" t="s">
        <v>18</v>
      </c>
      <c r="G3591" t="s">
        <v>13</v>
      </c>
      <c r="H3591" s="2">
        <v>84183.41</v>
      </c>
    </row>
    <row r="3592" spans="1:8">
      <c r="A3592" t="s">
        <v>96</v>
      </c>
      <c r="B3592" t="s">
        <v>97</v>
      </c>
      <c r="C3592" t="s">
        <v>32</v>
      </c>
      <c r="D3592" t="s">
        <v>29</v>
      </c>
      <c r="E3592">
        <v>2011</v>
      </c>
      <c r="F3592" t="s">
        <v>20</v>
      </c>
      <c r="G3592" t="s">
        <v>15</v>
      </c>
      <c r="H3592" s="2">
        <v>-919.86</v>
      </c>
    </row>
    <row r="3593" spans="1:8">
      <c r="A3593" t="s">
        <v>96</v>
      </c>
      <c r="B3593" t="s">
        <v>97</v>
      </c>
      <c r="C3593" t="s">
        <v>32</v>
      </c>
      <c r="D3593" t="s">
        <v>29</v>
      </c>
      <c r="E3593">
        <v>2012</v>
      </c>
      <c r="F3593" t="s">
        <v>22</v>
      </c>
      <c r="G3593" t="s">
        <v>17</v>
      </c>
      <c r="H3593" s="2">
        <v>14965.86</v>
      </c>
    </row>
    <row r="3594" spans="1:8">
      <c r="A3594" t="s">
        <v>96</v>
      </c>
      <c r="B3594" t="s">
        <v>97</v>
      </c>
      <c r="C3594" t="s">
        <v>32</v>
      </c>
      <c r="D3594" t="s">
        <v>29</v>
      </c>
      <c r="E3594">
        <v>2012</v>
      </c>
      <c r="F3594" t="s">
        <v>18</v>
      </c>
      <c r="G3594" t="s">
        <v>13</v>
      </c>
      <c r="H3594" s="2">
        <v>75814.460000000006</v>
      </c>
    </row>
    <row r="3595" spans="1:8">
      <c r="A3595" t="s">
        <v>96</v>
      </c>
      <c r="B3595" t="s">
        <v>97</v>
      </c>
      <c r="C3595" t="s">
        <v>32</v>
      </c>
      <c r="D3595" t="s">
        <v>29</v>
      </c>
      <c r="E3595">
        <v>2013</v>
      </c>
      <c r="F3595" t="s">
        <v>22</v>
      </c>
      <c r="G3595" t="s">
        <v>19</v>
      </c>
      <c r="H3595" s="2">
        <v>0</v>
      </c>
    </row>
    <row r="3596" spans="1:8">
      <c r="A3596" t="s">
        <v>96</v>
      </c>
      <c r="B3596" t="s">
        <v>97</v>
      </c>
      <c r="C3596" t="s">
        <v>32</v>
      </c>
      <c r="D3596" t="s">
        <v>29</v>
      </c>
      <c r="E3596">
        <v>2013</v>
      </c>
      <c r="F3596" t="s">
        <v>14</v>
      </c>
      <c r="G3596" t="s">
        <v>13</v>
      </c>
      <c r="H3596" s="2">
        <v>154689.65</v>
      </c>
    </row>
    <row r="3597" spans="1:8">
      <c r="A3597" t="s">
        <v>96</v>
      </c>
      <c r="B3597" t="s">
        <v>97</v>
      </c>
      <c r="C3597" t="s">
        <v>32</v>
      </c>
      <c r="D3597" t="s">
        <v>29</v>
      </c>
      <c r="E3597">
        <v>2013</v>
      </c>
      <c r="F3597" t="s">
        <v>21</v>
      </c>
      <c r="G3597" t="s">
        <v>15</v>
      </c>
      <c r="H3597" s="2">
        <v>2475.38</v>
      </c>
    </row>
    <row r="3598" spans="1:8">
      <c r="A3598" t="s">
        <v>96</v>
      </c>
      <c r="B3598" t="s">
        <v>97</v>
      </c>
      <c r="C3598" t="s">
        <v>32</v>
      </c>
      <c r="D3598" t="s">
        <v>29</v>
      </c>
      <c r="E3598">
        <v>2013</v>
      </c>
      <c r="F3598" t="s">
        <v>16</v>
      </c>
      <c r="G3598" t="s">
        <v>15</v>
      </c>
      <c r="H3598" s="2">
        <v>5713.41</v>
      </c>
    </row>
    <row r="3599" spans="1:8">
      <c r="A3599" t="s">
        <v>96</v>
      </c>
      <c r="B3599" t="s">
        <v>97</v>
      </c>
      <c r="C3599" t="s">
        <v>32</v>
      </c>
      <c r="D3599" t="s">
        <v>29</v>
      </c>
      <c r="E3599">
        <v>2014</v>
      </c>
      <c r="F3599" t="s">
        <v>22</v>
      </c>
      <c r="G3599" t="s">
        <v>19</v>
      </c>
      <c r="H3599" s="2">
        <v>0</v>
      </c>
    </row>
    <row r="3600" spans="1:8">
      <c r="A3600" t="s">
        <v>96</v>
      </c>
      <c r="B3600" t="s">
        <v>97</v>
      </c>
      <c r="C3600" t="s">
        <v>32</v>
      </c>
      <c r="D3600" t="s">
        <v>29</v>
      </c>
      <c r="E3600">
        <v>2014</v>
      </c>
      <c r="F3600" t="s">
        <v>14</v>
      </c>
      <c r="G3600" t="s">
        <v>13</v>
      </c>
      <c r="H3600" s="2">
        <v>162676.63</v>
      </c>
    </row>
    <row r="3601" spans="1:8">
      <c r="A3601" t="s">
        <v>96</v>
      </c>
      <c r="B3601" t="s">
        <v>97</v>
      </c>
      <c r="C3601" t="s">
        <v>32</v>
      </c>
      <c r="D3601" t="s">
        <v>29</v>
      </c>
      <c r="E3601">
        <v>2014</v>
      </c>
      <c r="F3601" t="s">
        <v>14</v>
      </c>
      <c r="G3601" t="s">
        <v>17</v>
      </c>
      <c r="H3601" s="2">
        <v>3223.34</v>
      </c>
    </row>
    <row r="3602" spans="1:8">
      <c r="A3602" t="s">
        <v>96</v>
      </c>
      <c r="B3602" t="s">
        <v>97</v>
      </c>
      <c r="C3602" t="s">
        <v>32</v>
      </c>
      <c r="D3602" t="s">
        <v>29</v>
      </c>
      <c r="E3602">
        <v>2014</v>
      </c>
      <c r="F3602" t="s">
        <v>16</v>
      </c>
      <c r="G3602" t="s">
        <v>19</v>
      </c>
      <c r="H3602" s="2">
        <v>0</v>
      </c>
    </row>
    <row r="3603" spans="1:8">
      <c r="A3603" t="s">
        <v>96</v>
      </c>
      <c r="B3603" t="s">
        <v>97</v>
      </c>
      <c r="C3603" t="s">
        <v>32</v>
      </c>
      <c r="D3603" t="s">
        <v>29</v>
      </c>
      <c r="E3603">
        <v>2015</v>
      </c>
      <c r="F3603" t="s">
        <v>14</v>
      </c>
      <c r="G3603" t="s">
        <v>15</v>
      </c>
      <c r="H3603" s="2">
        <v>4701.1000000000004</v>
      </c>
    </row>
    <row r="3604" spans="1:8">
      <c r="A3604" t="s">
        <v>96</v>
      </c>
      <c r="B3604" t="s">
        <v>97</v>
      </c>
      <c r="C3604" t="s">
        <v>32</v>
      </c>
      <c r="D3604" t="s">
        <v>29</v>
      </c>
      <c r="E3604">
        <v>2015</v>
      </c>
      <c r="F3604" t="s">
        <v>21</v>
      </c>
      <c r="G3604" t="s">
        <v>19</v>
      </c>
      <c r="H3604" s="2">
        <v>0</v>
      </c>
    </row>
    <row r="3605" spans="1:8">
      <c r="A3605" t="s">
        <v>96</v>
      </c>
      <c r="B3605" t="s">
        <v>97</v>
      </c>
      <c r="C3605" t="s">
        <v>32</v>
      </c>
      <c r="D3605" t="s">
        <v>29</v>
      </c>
      <c r="E3605">
        <v>2016</v>
      </c>
      <c r="F3605" t="s">
        <v>12</v>
      </c>
      <c r="G3605" t="s">
        <v>15</v>
      </c>
      <c r="H3605" s="2">
        <v>10293.07</v>
      </c>
    </row>
    <row r="3606" spans="1:8">
      <c r="A3606" t="s">
        <v>96</v>
      </c>
      <c r="B3606" t="s">
        <v>97</v>
      </c>
      <c r="C3606" t="s">
        <v>32</v>
      </c>
      <c r="D3606" t="s">
        <v>29</v>
      </c>
      <c r="E3606">
        <v>2017</v>
      </c>
      <c r="F3606" t="s">
        <v>20</v>
      </c>
      <c r="G3606" t="s">
        <v>17</v>
      </c>
      <c r="H3606" s="2">
        <v>-878.22</v>
      </c>
    </row>
    <row r="3607" spans="1:8">
      <c r="A3607" t="s">
        <v>96</v>
      </c>
      <c r="B3607" t="s">
        <v>97</v>
      </c>
      <c r="C3607" t="s">
        <v>32</v>
      </c>
      <c r="D3607" t="s">
        <v>29</v>
      </c>
      <c r="E3607">
        <v>2017</v>
      </c>
      <c r="F3607" t="s">
        <v>21</v>
      </c>
      <c r="G3607" t="s">
        <v>13</v>
      </c>
      <c r="H3607" s="2">
        <v>111628.89</v>
      </c>
    </row>
    <row r="3608" spans="1:8">
      <c r="A3608" t="s">
        <v>96</v>
      </c>
      <c r="B3608" t="s">
        <v>97</v>
      </c>
      <c r="C3608" t="s">
        <v>32</v>
      </c>
      <c r="D3608" t="s">
        <v>29</v>
      </c>
      <c r="E3608">
        <v>2018</v>
      </c>
      <c r="F3608" t="s">
        <v>18</v>
      </c>
      <c r="G3608" t="s">
        <v>17</v>
      </c>
      <c r="H3608" s="2">
        <v>3550.53</v>
      </c>
    </row>
    <row r="3609" spans="1:8">
      <c r="A3609" t="s">
        <v>96</v>
      </c>
      <c r="B3609" t="s">
        <v>97</v>
      </c>
      <c r="C3609" t="s">
        <v>32</v>
      </c>
      <c r="D3609" t="s">
        <v>29</v>
      </c>
      <c r="E3609">
        <v>2018</v>
      </c>
      <c r="F3609" t="s">
        <v>21</v>
      </c>
      <c r="G3609" t="s">
        <v>15</v>
      </c>
      <c r="H3609" s="2">
        <v>2006.59</v>
      </c>
    </row>
    <row r="3610" spans="1:8">
      <c r="A3610" t="s">
        <v>96</v>
      </c>
      <c r="B3610" t="s">
        <v>97</v>
      </c>
      <c r="C3610" t="s">
        <v>32</v>
      </c>
      <c r="D3610" t="s">
        <v>29</v>
      </c>
      <c r="E3610">
        <v>2018</v>
      </c>
      <c r="F3610" t="s">
        <v>21</v>
      </c>
      <c r="G3610" t="s">
        <v>13</v>
      </c>
      <c r="H3610" s="2">
        <v>93909.55</v>
      </c>
    </row>
    <row r="3611" spans="1:8">
      <c r="A3611" t="s">
        <v>96</v>
      </c>
      <c r="B3611" t="s">
        <v>97</v>
      </c>
      <c r="C3611" t="s">
        <v>32</v>
      </c>
      <c r="D3611" t="s">
        <v>29</v>
      </c>
      <c r="E3611">
        <v>2019</v>
      </c>
      <c r="F3611" t="s">
        <v>22</v>
      </c>
      <c r="G3611" t="s">
        <v>15</v>
      </c>
      <c r="H3611" s="2">
        <v>44356.18</v>
      </c>
    </row>
    <row r="3612" spans="1:8">
      <c r="A3612" t="s">
        <v>96</v>
      </c>
      <c r="B3612" t="s">
        <v>97</v>
      </c>
      <c r="C3612" t="s">
        <v>32</v>
      </c>
      <c r="D3612" t="s">
        <v>29</v>
      </c>
      <c r="E3612">
        <v>2019</v>
      </c>
      <c r="F3612" t="s">
        <v>22</v>
      </c>
      <c r="G3612" t="s">
        <v>13</v>
      </c>
      <c r="H3612" s="2">
        <v>6660.3</v>
      </c>
    </row>
    <row r="3613" spans="1:8">
      <c r="A3613" t="s">
        <v>96</v>
      </c>
      <c r="B3613" t="s">
        <v>97</v>
      </c>
      <c r="C3613" t="s">
        <v>32</v>
      </c>
      <c r="D3613" t="s">
        <v>29</v>
      </c>
      <c r="E3613">
        <v>2019</v>
      </c>
      <c r="F3613" t="s">
        <v>18</v>
      </c>
      <c r="G3613" t="s">
        <v>19</v>
      </c>
      <c r="H3613" s="2">
        <v>3416.37</v>
      </c>
    </row>
    <row r="3614" spans="1:8">
      <c r="A3614" t="s">
        <v>96</v>
      </c>
      <c r="B3614" t="s">
        <v>97</v>
      </c>
      <c r="C3614" t="s">
        <v>32</v>
      </c>
      <c r="D3614" t="s">
        <v>29</v>
      </c>
      <c r="E3614">
        <v>2019</v>
      </c>
      <c r="F3614" t="s">
        <v>20</v>
      </c>
      <c r="G3614" t="s">
        <v>13</v>
      </c>
      <c r="H3614" s="2">
        <v>-69686.259999999995</v>
      </c>
    </row>
    <row r="3615" spans="1:8">
      <c r="A3615" t="s">
        <v>96</v>
      </c>
      <c r="B3615" t="s">
        <v>97</v>
      </c>
      <c r="C3615" t="s">
        <v>32</v>
      </c>
      <c r="D3615" t="s">
        <v>29</v>
      </c>
      <c r="E3615">
        <v>2019</v>
      </c>
      <c r="F3615" t="s">
        <v>14</v>
      </c>
      <c r="G3615" t="s">
        <v>19</v>
      </c>
      <c r="H3615" s="2">
        <v>0</v>
      </c>
    </row>
    <row r="3616" spans="1:8">
      <c r="A3616" t="s">
        <v>96</v>
      </c>
      <c r="B3616" t="s">
        <v>97</v>
      </c>
      <c r="C3616" t="s">
        <v>32</v>
      </c>
      <c r="D3616" t="s">
        <v>29</v>
      </c>
      <c r="E3616">
        <v>2020</v>
      </c>
      <c r="F3616" t="s">
        <v>14</v>
      </c>
      <c r="G3616" t="s">
        <v>19</v>
      </c>
      <c r="H3616" s="2">
        <v>0</v>
      </c>
    </row>
    <row r="3617" spans="1:8">
      <c r="A3617" t="s">
        <v>96</v>
      </c>
      <c r="B3617" t="s">
        <v>97</v>
      </c>
      <c r="C3617" t="s">
        <v>32</v>
      </c>
      <c r="D3617" t="s">
        <v>29</v>
      </c>
      <c r="E3617">
        <v>2020</v>
      </c>
      <c r="F3617" t="s">
        <v>16</v>
      </c>
      <c r="G3617" t="s">
        <v>15</v>
      </c>
      <c r="H3617" s="2">
        <v>4222.34</v>
      </c>
    </row>
    <row r="3618" spans="1:8">
      <c r="A3618" t="s">
        <v>96</v>
      </c>
      <c r="B3618" t="s">
        <v>97</v>
      </c>
      <c r="C3618" t="s">
        <v>32</v>
      </c>
      <c r="D3618" t="s">
        <v>29</v>
      </c>
      <c r="E3618">
        <v>2021</v>
      </c>
      <c r="F3618" t="s">
        <v>16</v>
      </c>
      <c r="G3618" t="s">
        <v>19</v>
      </c>
      <c r="H3618" s="2">
        <v>0</v>
      </c>
    </row>
    <row r="3619" spans="1:8">
      <c r="A3619" t="s">
        <v>96</v>
      </c>
      <c r="B3619" t="s">
        <v>97</v>
      </c>
      <c r="C3619" t="s">
        <v>32</v>
      </c>
      <c r="D3619" t="s">
        <v>29</v>
      </c>
      <c r="E3619">
        <v>2022</v>
      </c>
      <c r="F3619" t="s">
        <v>12</v>
      </c>
      <c r="G3619" t="s">
        <v>15</v>
      </c>
      <c r="H3619" s="2">
        <v>9034.02</v>
      </c>
    </row>
    <row r="3620" spans="1:8">
      <c r="A3620" t="s">
        <v>96</v>
      </c>
      <c r="B3620" t="s">
        <v>97</v>
      </c>
      <c r="C3620" t="s">
        <v>32</v>
      </c>
      <c r="D3620" t="s">
        <v>29</v>
      </c>
      <c r="E3620">
        <v>2022</v>
      </c>
      <c r="F3620" t="s">
        <v>16</v>
      </c>
      <c r="G3620" t="s">
        <v>15</v>
      </c>
      <c r="H3620" s="2">
        <v>3812.43</v>
      </c>
    </row>
    <row r="3621" spans="1:8">
      <c r="A3621" t="s">
        <v>96</v>
      </c>
      <c r="B3621" t="s">
        <v>97</v>
      </c>
      <c r="C3621" t="s">
        <v>32</v>
      </c>
      <c r="D3621" t="s">
        <v>29</v>
      </c>
      <c r="E3621">
        <v>2023</v>
      </c>
      <c r="F3621" t="s">
        <v>12</v>
      </c>
      <c r="G3621" t="s">
        <v>19</v>
      </c>
      <c r="H3621" s="2">
        <v>0</v>
      </c>
    </row>
    <row r="3622" spans="1:8">
      <c r="A3622" t="s">
        <v>96</v>
      </c>
      <c r="B3622" t="s">
        <v>97</v>
      </c>
      <c r="C3622" t="s">
        <v>32</v>
      </c>
      <c r="D3622" t="s">
        <v>29</v>
      </c>
      <c r="E3622">
        <v>2023</v>
      </c>
      <c r="F3622" t="s">
        <v>20</v>
      </c>
      <c r="G3622" t="s">
        <v>15</v>
      </c>
      <c r="H3622" s="2">
        <v>-662.7</v>
      </c>
    </row>
    <row r="3623" spans="1:8">
      <c r="A3623" t="s">
        <v>96</v>
      </c>
      <c r="B3623" t="s">
        <v>97</v>
      </c>
      <c r="C3623" t="s">
        <v>32</v>
      </c>
      <c r="D3623" t="s">
        <v>29</v>
      </c>
      <c r="E3623">
        <v>2023</v>
      </c>
      <c r="F3623" t="s">
        <v>20</v>
      </c>
      <c r="G3623" t="s">
        <v>19</v>
      </c>
      <c r="H3623" s="2">
        <v>0</v>
      </c>
    </row>
    <row r="3624" spans="1:8">
      <c r="A3624" t="s">
        <v>96</v>
      </c>
      <c r="B3624" t="s">
        <v>97</v>
      </c>
      <c r="C3624" t="s">
        <v>32</v>
      </c>
      <c r="D3624" t="s">
        <v>29</v>
      </c>
      <c r="E3624">
        <v>2023</v>
      </c>
      <c r="F3624" t="s">
        <v>14</v>
      </c>
      <c r="G3624" t="s">
        <v>17</v>
      </c>
      <c r="H3624" s="2">
        <v>2421.54</v>
      </c>
    </row>
    <row r="3625" spans="1:8">
      <c r="A3625" t="s">
        <v>96</v>
      </c>
      <c r="B3625" t="s">
        <v>97</v>
      </c>
      <c r="C3625" t="s">
        <v>32</v>
      </c>
      <c r="D3625" t="s">
        <v>29</v>
      </c>
      <c r="E3625">
        <v>2024</v>
      </c>
      <c r="F3625" t="s">
        <v>22</v>
      </c>
      <c r="G3625" t="s">
        <v>19</v>
      </c>
      <c r="H3625" s="2">
        <v>0</v>
      </c>
    </row>
    <row r="3626" spans="1:8">
      <c r="A3626" t="s">
        <v>96</v>
      </c>
      <c r="B3626" t="s">
        <v>97</v>
      </c>
      <c r="C3626" t="s">
        <v>32</v>
      </c>
      <c r="D3626" t="s">
        <v>29</v>
      </c>
      <c r="E3626">
        <v>2024</v>
      </c>
      <c r="F3626" t="s">
        <v>14</v>
      </c>
      <c r="G3626" t="s">
        <v>17</v>
      </c>
      <c r="H3626" s="2">
        <v>2533.9299999999998</v>
      </c>
    </row>
    <row r="3627" spans="1:8">
      <c r="A3627" t="s">
        <v>98</v>
      </c>
      <c r="B3627" t="s">
        <v>99</v>
      </c>
      <c r="C3627" t="s">
        <v>32</v>
      </c>
      <c r="D3627" t="s">
        <v>29</v>
      </c>
      <c r="E3627">
        <v>1990</v>
      </c>
      <c r="F3627" t="s">
        <v>12</v>
      </c>
      <c r="G3627" t="s">
        <v>15</v>
      </c>
      <c r="H3627" s="2">
        <v>189.5</v>
      </c>
    </row>
    <row r="3628" spans="1:8">
      <c r="A3628" t="s">
        <v>98</v>
      </c>
      <c r="B3628" t="s">
        <v>99</v>
      </c>
      <c r="C3628" t="s">
        <v>32</v>
      </c>
      <c r="D3628" t="s">
        <v>29</v>
      </c>
      <c r="E3628">
        <v>1990</v>
      </c>
      <c r="F3628" t="s">
        <v>12</v>
      </c>
      <c r="G3628" t="s">
        <v>13</v>
      </c>
      <c r="H3628" s="2">
        <v>2362.33</v>
      </c>
    </row>
    <row r="3629" spans="1:8">
      <c r="A3629" t="s">
        <v>98</v>
      </c>
      <c r="B3629" t="s">
        <v>99</v>
      </c>
      <c r="C3629" t="s">
        <v>32</v>
      </c>
      <c r="D3629" t="s">
        <v>29</v>
      </c>
      <c r="E3629">
        <v>1990</v>
      </c>
      <c r="F3629" t="s">
        <v>14</v>
      </c>
      <c r="G3629" t="s">
        <v>15</v>
      </c>
      <c r="H3629" s="2">
        <v>5485.47</v>
      </c>
    </row>
    <row r="3630" spans="1:8">
      <c r="A3630" t="s">
        <v>98</v>
      </c>
      <c r="B3630" t="s">
        <v>99</v>
      </c>
      <c r="C3630" t="s">
        <v>32</v>
      </c>
      <c r="D3630" t="s">
        <v>29</v>
      </c>
      <c r="E3630">
        <v>1991</v>
      </c>
      <c r="F3630" t="s">
        <v>22</v>
      </c>
      <c r="G3630" t="s">
        <v>13</v>
      </c>
      <c r="H3630" s="2">
        <v>2599.7600000000002</v>
      </c>
    </row>
    <row r="3631" spans="1:8">
      <c r="A3631" t="s">
        <v>98</v>
      </c>
      <c r="B3631" t="s">
        <v>99</v>
      </c>
      <c r="C3631" t="s">
        <v>32</v>
      </c>
      <c r="D3631" t="s">
        <v>29</v>
      </c>
      <c r="E3631">
        <v>1992</v>
      </c>
      <c r="F3631" t="s">
        <v>20</v>
      </c>
      <c r="G3631" t="s">
        <v>17</v>
      </c>
      <c r="H3631" s="2">
        <v>-35.619999999999997</v>
      </c>
    </row>
    <row r="3632" spans="1:8">
      <c r="A3632" t="s">
        <v>98</v>
      </c>
      <c r="B3632" t="s">
        <v>99</v>
      </c>
      <c r="C3632" t="s">
        <v>32</v>
      </c>
      <c r="D3632" t="s">
        <v>29</v>
      </c>
      <c r="E3632">
        <v>1992</v>
      </c>
      <c r="F3632" t="s">
        <v>14</v>
      </c>
      <c r="G3632" t="s">
        <v>19</v>
      </c>
      <c r="H3632" s="2">
        <v>0</v>
      </c>
    </row>
    <row r="3633" spans="1:8">
      <c r="A3633" t="s">
        <v>98</v>
      </c>
      <c r="B3633" t="s">
        <v>99</v>
      </c>
      <c r="C3633" t="s">
        <v>32</v>
      </c>
      <c r="D3633" t="s">
        <v>29</v>
      </c>
      <c r="E3633">
        <v>1993</v>
      </c>
      <c r="F3633" t="s">
        <v>12</v>
      </c>
      <c r="G3633" t="s">
        <v>15</v>
      </c>
      <c r="H3633" s="2">
        <v>175.52</v>
      </c>
    </row>
    <row r="3634" spans="1:8">
      <c r="A3634" t="s">
        <v>98</v>
      </c>
      <c r="B3634" t="s">
        <v>99</v>
      </c>
      <c r="C3634" t="s">
        <v>32</v>
      </c>
      <c r="D3634" t="s">
        <v>29</v>
      </c>
      <c r="E3634">
        <v>1993</v>
      </c>
      <c r="F3634" t="s">
        <v>12</v>
      </c>
      <c r="G3634" t="s">
        <v>13</v>
      </c>
      <c r="H3634" s="2">
        <v>2096.38</v>
      </c>
    </row>
    <row r="3635" spans="1:8">
      <c r="A3635" t="s">
        <v>98</v>
      </c>
      <c r="B3635" t="s">
        <v>99</v>
      </c>
      <c r="C3635" t="s">
        <v>32</v>
      </c>
      <c r="D3635" t="s">
        <v>29</v>
      </c>
      <c r="E3635">
        <v>1993</v>
      </c>
      <c r="F3635" t="s">
        <v>12</v>
      </c>
      <c r="G3635" t="s">
        <v>19</v>
      </c>
      <c r="H3635" s="2">
        <v>0</v>
      </c>
    </row>
    <row r="3636" spans="1:8">
      <c r="A3636" t="s">
        <v>98</v>
      </c>
      <c r="B3636" t="s">
        <v>99</v>
      </c>
      <c r="C3636" t="s">
        <v>32</v>
      </c>
      <c r="D3636" t="s">
        <v>29</v>
      </c>
      <c r="E3636">
        <v>1993</v>
      </c>
      <c r="F3636" t="s">
        <v>20</v>
      </c>
      <c r="G3636" t="s">
        <v>17</v>
      </c>
      <c r="H3636" s="2">
        <v>-31.4</v>
      </c>
    </row>
    <row r="3637" spans="1:8">
      <c r="A3637" t="s">
        <v>98</v>
      </c>
      <c r="B3637" t="s">
        <v>99</v>
      </c>
      <c r="C3637" t="s">
        <v>32</v>
      </c>
      <c r="D3637" t="s">
        <v>29</v>
      </c>
      <c r="E3637">
        <v>1994</v>
      </c>
      <c r="F3637" t="s">
        <v>18</v>
      </c>
      <c r="G3637" t="s">
        <v>19</v>
      </c>
      <c r="H3637" s="2">
        <v>5183.12</v>
      </c>
    </row>
    <row r="3638" spans="1:8">
      <c r="A3638" t="s">
        <v>98</v>
      </c>
      <c r="B3638" t="s">
        <v>99</v>
      </c>
      <c r="C3638" t="s">
        <v>32</v>
      </c>
      <c r="D3638" t="s">
        <v>29</v>
      </c>
      <c r="E3638">
        <v>1994</v>
      </c>
      <c r="F3638" t="s">
        <v>20</v>
      </c>
      <c r="G3638" t="s">
        <v>13</v>
      </c>
      <c r="H3638" s="2">
        <v>-3737.03</v>
      </c>
    </row>
    <row r="3639" spans="1:8">
      <c r="A3639" t="s">
        <v>98</v>
      </c>
      <c r="B3639" t="s">
        <v>99</v>
      </c>
      <c r="C3639" t="s">
        <v>32</v>
      </c>
      <c r="D3639" t="s">
        <v>29</v>
      </c>
      <c r="E3639">
        <v>1994</v>
      </c>
      <c r="F3639" t="s">
        <v>14</v>
      </c>
      <c r="G3639" t="s">
        <v>13</v>
      </c>
      <c r="H3639" s="2">
        <v>150326.16</v>
      </c>
    </row>
    <row r="3640" spans="1:8">
      <c r="A3640" t="s">
        <v>98</v>
      </c>
      <c r="B3640" t="s">
        <v>99</v>
      </c>
      <c r="C3640" t="s">
        <v>32</v>
      </c>
      <c r="D3640" t="s">
        <v>29</v>
      </c>
      <c r="E3640">
        <v>1995</v>
      </c>
      <c r="F3640" t="s">
        <v>18</v>
      </c>
      <c r="G3640" t="s">
        <v>19</v>
      </c>
      <c r="H3640" s="2">
        <v>5106.07</v>
      </c>
    </row>
    <row r="3641" spans="1:8">
      <c r="A3641" t="s">
        <v>98</v>
      </c>
      <c r="B3641" t="s">
        <v>99</v>
      </c>
      <c r="C3641" t="s">
        <v>32</v>
      </c>
      <c r="D3641" t="s">
        <v>29</v>
      </c>
      <c r="E3641">
        <v>1995</v>
      </c>
      <c r="F3641" t="s">
        <v>20</v>
      </c>
      <c r="G3641" t="s">
        <v>13</v>
      </c>
      <c r="H3641" s="2">
        <v>-3689.29</v>
      </c>
    </row>
    <row r="3642" spans="1:8">
      <c r="A3642" t="s">
        <v>98</v>
      </c>
      <c r="B3642" t="s">
        <v>99</v>
      </c>
      <c r="C3642" t="s">
        <v>32</v>
      </c>
      <c r="D3642" t="s">
        <v>29</v>
      </c>
      <c r="E3642">
        <v>1995</v>
      </c>
      <c r="F3642" t="s">
        <v>14</v>
      </c>
      <c r="G3642" t="s">
        <v>15</v>
      </c>
      <c r="H3642" s="2">
        <v>4263.4399999999996</v>
      </c>
    </row>
    <row r="3643" spans="1:8">
      <c r="A3643" t="s">
        <v>98</v>
      </c>
      <c r="B3643" t="s">
        <v>99</v>
      </c>
      <c r="C3643" t="s">
        <v>32</v>
      </c>
      <c r="D3643" t="s">
        <v>29</v>
      </c>
      <c r="E3643">
        <v>1996</v>
      </c>
      <c r="F3643" t="s">
        <v>22</v>
      </c>
      <c r="G3643" t="s">
        <v>17</v>
      </c>
      <c r="H3643" s="2">
        <v>4969.67</v>
      </c>
    </row>
    <row r="3644" spans="1:8">
      <c r="A3644" t="s">
        <v>98</v>
      </c>
      <c r="B3644" t="s">
        <v>99</v>
      </c>
      <c r="C3644" t="s">
        <v>32</v>
      </c>
      <c r="D3644" t="s">
        <v>29</v>
      </c>
      <c r="E3644">
        <v>1996</v>
      </c>
      <c r="F3644" t="s">
        <v>12</v>
      </c>
      <c r="G3644" t="s">
        <v>15</v>
      </c>
      <c r="H3644" s="2">
        <v>177.01</v>
      </c>
    </row>
    <row r="3645" spans="1:8">
      <c r="A3645" t="s">
        <v>98</v>
      </c>
      <c r="B3645" t="s">
        <v>99</v>
      </c>
      <c r="C3645" t="s">
        <v>32</v>
      </c>
      <c r="D3645" t="s">
        <v>29</v>
      </c>
      <c r="E3645">
        <v>1996</v>
      </c>
      <c r="F3645" t="s">
        <v>21</v>
      </c>
      <c r="G3645" t="s">
        <v>15</v>
      </c>
      <c r="H3645" s="2">
        <v>2432.9699999999998</v>
      </c>
    </row>
    <row r="3646" spans="1:8">
      <c r="A3646" t="s">
        <v>98</v>
      </c>
      <c r="B3646" t="s">
        <v>99</v>
      </c>
      <c r="C3646" t="s">
        <v>32</v>
      </c>
      <c r="D3646" t="s">
        <v>29</v>
      </c>
      <c r="E3646">
        <v>1996</v>
      </c>
      <c r="F3646" t="s">
        <v>16</v>
      </c>
      <c r="G3646" t="s">
        <v>17</v>
      </c>
      <c r="H3646" s="2">
        <v>3268.94</v>
      </c>
    </row>
    <row r="3647" spans="1:8">
      <c r="A3647" t="s">
        <v>98</v>
      </c>
      <c r="B3647" t="s">
        <v>99</v>
      </c>
      <c r="C3647" t="s">
        <v>32</v>
      </c>
      <c r="D3647" t="s">
        <v>29</v>
      </c>
      <c r="E3647">
        <v>1997</v>
      </c>
      <c r="F3647" t="s">
        <v>18</v>
      </c>
      <c r="G3647" t="s">
        <v>17</v>
      </c>
      <c r="H3647" s="2">
        <v>5623.55</v>
      </c>
    </row>
    <row r="3648" spans="1:8">
      <c r="A3648" t="s">
        <v>98</v>
      </c>
      <c r="B3648" t="s">
        <v>99</v>
      </c>
      <c r="C3648" t="s">
        <v>32</v>
      </c>
      <c r="D3648" t="s">
        <v>29</v>
      </c>
      <c r="E3648">
        <v>1997</v>
      </c>
      <c r="F3648" t="s">
        <v>20</v>
      </c>
      <c r="G3648" t="s">
        <v>19</v>
      </c>
      <c r="H3648" s="2">
        <v>0</v>
      </c>
    </row>
    <row r="3649" spans="1:8">
      <c r="A3649" t="s">
        <v>98</v>
      </c>
      <c r="B3649" t="s">
        <v>99</v>
      </c>
      <c r="C3649" t="s">
        <v>32</v>
      </c>
      <c r="D3649" t="s">
        <v>29</v>
      </c>
      <c r="E3649">
        <v>1997</v>
      </c>
      <c r="F3649" t="s">
        <v>14</v>
      </c>
      <c r="G3649" t="s">
        <v>15</v>
      </c>
      <c r="H3649" s="2">
        <v>5220.29</v>
      </c>
    </row>
    <row r="3650" spans="1:8">
      <c r="A3650" t="s">
        <v>98</v>
      </c>
      <c r="B3650" t="s">
        <v>99</v>
      </c>
      <c r="C3650" t="s">
        <v>32</v>
      </c>
      <c r="D3650" t="s">
        <v>29</v>
      </c>
      <c r="E3650">
        <v>1997</v>
      </c>
      <c r="F3650" t="s">
        <v>14</v>
      </c>
      <c r="G3650" t="s">
        <v>17</v>
      </c>
      <c r="H3650" s="2">
        <v>3443.45</v>
      </c>
    </row>
    <row r="3651" spans="1:8">
      <c r="A3651" t="s">
        <v>98</v>
      </c>
      <c r="B3651" t="s">
        <v>99</v>
      </c>
      <c r="C3651" t="s">
        <v>32</v>
      </c>
      <c r="D3651" t="s">
        <v>29</v>
      </c>
      <c r="E3651">
        <v>1997</v>
      </c>
      <c r="F3651" t="s">
        <v>16</v>
      </c>
      <c r="G3651" t="s">
        <v>13</v>
      </c>
      <c r="H3651" s="2">
        <v>13563.78</v>
      </c>
    </row>
    <row r="3652" spans="1:8">
      <c r="A3652" t="s">
        <v>98</v>
      </c>
      <c r="B3652" t="s">
        <v>99</v>
      </c>
      <c r="C3652" t="s">
        <v>32</v>
      </c>
      <c r="D3652" t="s">
        <v>29</v>
      </c>
      <c r="E3652">
        <v>1998</v>
      </c>
      <c r="F3652" t="s">
        <v>22</v>
      </c>
      <c r="G3652" t="s">
        <v>15</v>
      </c>
      <c r="H3652" s="2">
        <v>17124.060000000001</v>
      </c>
    </row>
    <row r="3653" spans="1:8">
      <c r="A3653" t="s">
        <v>98</v>
      </c>
      <c r="B3653" t="s">
        <v>99</v>
      </c>
      <c r="C3653" t="s">
        <v>32</v>
      </c>
      <c r="D3653" t="s">
        <v>29</v>
      </c>
      <c r="E3653">
        <v>1998</v>
      </c>
      <c r="F3653" t="s">
        <v>12</v>
      </c>
      <c r="G3653" t="s">
        <v>15</v>
      </c>
      <c r="H3653" s="2">
        <v>174.91</v>
      </c>
    </row>
    <row r="3654" spans="1:8">
      <c r="A3654" t="s">
        <v>98</v>
      </c>
      <c r="B3654" t="s">
        <v>99</v>
      </c>
      <c r="C3654" t="s">
        <v>32</v>
      </c>
      <c r="D3654" t="s">
        <v>29</v>
      </c>
      <c r="E3654">
        <v>1998</v>
      </c>
      <c r="F3654" t="s">
        <v>20</v>
      </c>
      <c r="G3654" t="s">
        <v>15</v>
      </c>
      <c r="H3654" s="2">
        <v>-38.270000000000003</v>
      </c>
    </row>
    <row r="3655" spans="1:8">
      <c r="A3655" t="s">
        <v>98</v>
      </c>
      <c r="B3655" t="s">
        <v>99</v>
      </c>
      <c r="C3655" t="s">
        <v>32</v>
      </c>
      <c r="D3655" t="s">
        <v>29</v>
      </c>
      <c r="E3655">
        <v>1999</v>
      </c>
      <c r="F3655" t="s">
        <v>12</v>
      </c>
      <c r="G3655" t="s">
        <v>19</v>
      </c>
      <c r="H3655" s="2">
        <v>0</v>
      </c>
    </row>
    <row r="3656" spans="1:8">
      <c r="A3656" t="s">
        <v>98</v>
      </c>
      <c r="B3656" t="s">
        <v>99</v>
      </c>
      <c r="C3656" t="s">
        <v>32</v>
      </c>
      <c r="D3656" t="s">
        <v>29</v>
      </c>
      <c r="E3656">
        <v>1999</v>
      </c>
      <c r="F3656" t="s">
        <v>18</v>
      </c>
      <c r="G3656" t="s">
        <v>15</v>
      </c>
      <c r="H3656" s="2">
        <v>4949.17</v>
      </c>
    </row>
    <row r="3657" spans="1:8">
      <c r="A3657" t="s">
        <v>98</v>
      </c>
      <c r="B3657" t="s">
        <v>99</v>
      </c>
      <c r="C3657" t="s">
        <v>32</v>
      </c>
      <c r="D3657" t="s">
        <v>29</v>
      </c>
      <c r="E3657">
        <v>1999</v>
      </c>
      <c r="F3657" t="s">
        <v>20</v>
      </c>
      <c r="G3657" t="s">
        <v>17</v>
      </c>
      <c r="H3657" s="2">
        <v>-37.47</v>
      </c>
    </row>
    <row r="3658" spans="1:8">
      <c r="A3658" t="s">
        <v>98</v>
      </c>
      <c r="B3658" t="s">
        <v>99</v>
      </c>
      <c r="C3658" t="s">
        <v>32</v>
      </c>
      <c r="D3658" t="s">
        <v>29</v>
      </c>
      <c r="E3658">
        <v>1999</v>
      </c>
      <c r="F3658" t="s">
        <v>14</v>
      </c>
      <c r="G3658" t="s">
        <v>19</v>
      </c>
      <c r="H3658" s="2">
        <v>0</v>
      </c>
    </row>
    <row r="3659" spans="1:8">
      <c r="A3659" t="s">
        <v>98</v>
      </c>
      <c r="B3659" t="s">
        <v>99</v>
      </c>
      <c r="C3659" t="s">
        <v>32</v>
      </c>
      <c r="D3659" t="s">
        <v>29</v>
      </c>
      <c r="E3659">
        <v>1999</v>
      </c>
      <c r="F3659" t="s">
        <v>21</v>
      </c>
      <c r="G3659" t="s">
        <v>17</v>
      </c>
      <c r="H3659" s="2">
        <v>1343.7</v>
      </c>
    </row>
    <row r="3660" spans="1:8">
      <c r="A3660" t="s">
        <v>98</v>
      </c>
      <c r="B3660" t="s">
        <v>99</v>
      </c>
      <c r="C3660" t="s">
        <v>32</v>
      </c>
      <c r="D3660" t="s">
        <v>29</v>
      </c>
      <c r="E3660">
        <v>2000</v>
      </c>
      <c r="F3660" t="s">
        <v>22</v>
      </c>
      <c r="G3660" t="s">
        <v>13</v>
      </c>
      <c r="H3660" s="2">
        <v>2756.66</v>
      </c>
    </row>
    <row r="3661" spans="1:8">
      <c r="A3661" t="s">
        <v>98</v>
      </c>
      <c r="B3661" t="s">
        <v>99</v>
      </c>
      <c r="C3661" t="s">
        <v>32</v>
      </c>
      <c r="D3661" t="s">
        <v>29</v>
      </c>
      <c r="E3661">
        <v>2000</v>
      </c>
      <c r="F3661" t="s">
        <v>22</v>
      </c>
      <c r="G3661" t="s">
        <v>17</v>
      </c>
      <c r="H3661" s="2">
        <v>5041.83</v>
      </c>
    </row>
    <row r="3662" spans="1:8">
      <c r="A3662" t="s">
        <v>98</v>
      </c>
      <c r="B3662" t="s">
        <v>99</v>
      </c>
      <c r="C3662" t="s">
        <v>32</v>
      </c>
      <c r="D3662" t="s">
        <v>29</v>
      </c>
      <c r="E3662">
        <v>2000</v>
      </c>
      <c r="F3662" t="s">
        <v>20</v>
      </c>
      <c r="G3662" t="s">
        <v>17</v>
      </c>
      <c r="H3662" s="2">
        <v>-40.33</v>
      </c>
    </row>
    <row r="3663" spans="1:8">
      <c r="A3663" t="s">
        <v>98</v>
      </c>
      <c r="B3663" t="s">
        <v>99</v>
      </c>
      <c r="C3663" t="s">
        <v>32</v>
      </c>
      <c r="D3663" t="s">
        <v>29</v>
      </c>
      <c r="E3663">
        <v>2001</v>
      </c>
      <c r="F3663" t="s">
        <v>22</v>
      </c>
      <c r="G3663" t="s">
        <v>19</v>
      </c>
      <c r="H3663" s="2">
        <v>0</v>
      </c>
    </row>
    <row r="3664" spans="1:8">
      <c r="A3664" t="s">
        <v>98</v>
      </c>
      <c r="B3664" t="s">
        <v>99</v>
      </c>
      <c r="C3664" t="s">
        <v>32</v>
      </c>
      <c r="D3664" t="s">
        <v>29</v>
      </c>
      <c r="E3664">
        <v>2001</v>
      </c>
      <c r="F3664" t="s">
        <v>14</v>
      </c>
      <c r="G3664" t="s">
        <v>19</v>
      </c>
      <c r="H3664" s="2">
        <v>0</v>
      </c>
    </row>
    <row r="3665" spans="1:8">
      <c r="A3665" t="s">
        <v>98</v>
      </c>
      <c r="B3665" t="s">
        <v>99</v>
      </c>
      <c r="C3665" t="s">
        <v>32</v>
      </c>
      <c r="D3665" t="s">
        <v>29</v>
      </c>
      <c r="E3665">
        <v>2002</v>
      </c>
      <c r="F3665" t="s">
        <v>12</v>
      </c>
      <c r="G3665" t="s">
        <v>15</v>
      </c>
      <c r="H3665" s="2">
        <v>178.24</v>
      </c>
    </row>
    <row r="3666" spans="1:8">
      <c r="A3666" t="s">
        <v>98</v>
      </c>
      <c r="B3666" t="s">
        <v>99</v>
      </c>
      <c r="C3666" t="s">
        <v>32</v>
      </c>
      <c r="D3666" t="s">
        <v>29</v>
      </c>
      <c r="E3666">
        <v>2002</v>
      </c>
      <c r="F3666" t="s">
        <v>12</v>
      </c>
      <c r="G3666" t="s">
        <v>17</v>
      </c>
      <c r="H3666" s="2">
        <v>72.72</v>
      </c>
    </row>
    <row r="3667" spans="1:8">
      <c r="A3667" t="s">
        <v>98</v>
      </c>
      <c r="B3667" t="s">
        <v>99</v>
      </c>
      <c r="C3667" t="s">
        <v>32</v>
      </c>
      <c r="D3667" t="s">
        <v>29</v>
      </c>
      <c r="E3667">
        <v>2002</v>
      </c>
      <c r="F3667" t="s">
        <v>21</v>
      </c>
      <c r="G3667" t="s">
        <v>13</v>
      </c>
      <c r="H3667" s="2">
        <v>135774.25</v>
      </c>
    </row>
    <row r="3668" spans="1:8">
      <c r="A3668" t="s">
        <v>98</v>
      </c>
      <c r="B3668" t="s">
        <v>99</v>
      </c>
      <c r="C3668" t="s">
        <v>32</v>
      </c>
      <c r="D3668" t="s">
        <v>29</v>
      </c>
      <c r="E3668">
        <v>2002</v>
      </c>
      <c r="F3668" t="s">
        <v>16</v>
      </c>
      <c r="G3668" t="s">
        <v>15</v>
      </c>
      <c r="H3668" s="2">
        <v>64558.05</v>
      </c>
    </row>
    <row r="3669" spans="1:8">
      <c r="A3669" t="s">
        <v>98</v>
      </c>
      <c r="B3669" t="s">
        <v>99</v>
      </c>
      <c r="C3669" t="s">
        <v>32</v>
      </c>
      <c r="D3669" t="s">
        <v>29</v>
      </c>
      <c r="E3669">
        <v>2003</v>
      </c>
      <c r="F3669" t="s">
        <v>12</v>
      </c>
      <c r="G3669" t="s">
        <v>17</v>
      </c>
      <c r="H3669" s="2">
        <v>79.53</v>
      </c>
    </row>
    <row r="3670" spans="1:8">
      <c r="A3670" t="s">
        <v>98</v>
      </c>
      <c r="B3670" t="s">
        <v>99</v>
      </c>
      <c r="C3670" t="s">
        <v>32</v>
      </c>
      <c r="D3670" t="s">
        <v>29</v>
      </c>
      <c r="E3670">
        <v>2003</v>
      </c>
      <c r="F3670" t="s">
        <v>18</v>
      </c>
      <c r="G3670" t="s">
        <v>19</v>
      </c>
      <c r="H3670" s="2">
        <v>5865.37</v>
      </c>
    </row>
    <row r="3671" spans="1:8">
      <c r="A3671" t="s">
        <v>98</v>
      </c>
      <c r="B3671" t="s">
        <v>99</v>
      </c>
      <c r="C3671" t="s">
        <v>32</v>
      </c>
      <c r="D3671" t="s">
        <v>29</v>
      </c>
      <c r="E3671">
        <v>2003</v>
      </c>
      <c r="F3671" t="s">
        <v>21</v>
      </c>
      <c r="G3671" t="s">
        <v>17</v>
      </c>
      <c r="H3671" s="2">
        <v>1400.26</v>
      </c>
    </row>
    <row r="3672" spans="1:8">
      <c r="A3672" t="s">
        <v>98</v>
      </c>
      <c r="B3672" t="s">
        <v>99</v>
      </c>
      <c r="C3672" t="s">
        <v>32</v>
      </c>
      <c r="D3672" t="s">
        <v>29</v>
      </c>
      <c r="E3672">
        <v>2004</v>
      </c>
      <c r="F3672" t="s">
        <v>12</v>
      </c>
      <c r="G3672" t="s">
        <v>19</v>
      </c>
      <c r="H3672" s="2">
        <v>0</v>
      </c>
    </row>
    <row r="3673" spans="1:8">
      <c r="A3673" t="s">
        <v>98</v>
      </c>
      <c r="B3673" t="s">
        <v>99</v>
      </c>
      <c r="C3673" t="s">
        <v>32</v>
      </c>
      <c r="D3673" t="s">
        <v>29</v>
      </c>
      <c r="E3673">
        <v>2004</v>
      </c>
      <c r="F3673" t="s">
        <v>18</v>
      </c>
      <c r="G3673" t="s">
        <v>13</v>
      </c>
      <c r="H3673" s="2">
        <v>83978.53</v>
      </c>
    </row>
    <row r="3674" spans="1:8">
      <c r="A3674" t="s">
        <v>98</v>
      </c>
      <c r="B3674" t="s">
        <v>99</v>
      </c>
      <c r="C3674" t="s">
        <v>32</v>
      </c>
      <c r="D3674" t="s">
        <v>29</v>
      </c>
      <c r="E3674">
        <v>2004</v>
      </c>
      <c r="F3674" t="s">
        <v>20</v>
      </c>
      <c r="G3674" t="s">
        <v>17</v>
      </c>
      <c r="H3674" s="2">
        <v>-36.26</v>
      </c>
    </row>
    <row r="3675" spans="1:8">
      <c r="A3675" t="s">
        <v>98</v>
      </c>
      <c r="B3675" t="s">
        <v>99</v>
      </c>
      <c r="C3675" t="s">
        <v>32</v>
      </c>
      <c r="D3675" t="s">
        <v>29</v>
      </c>
      <c r="E3675">
        <v>2005</v>
      </c>
      <c r="F3675" t="s">
        <v>16</v>
      </c>
      <c r="G3675" t="s">
        <v>19</v>
      </c>
      <c r="H3675" s="2">
        <v>0</v>
      </c>
    </row>
    <row r="3676" spans="1:8">
      <c r="A3676" t="s">
        <v>98</v>
      </c>
      <c r="B3676" t="s">
        <v>99</v>
      </c>
      <c r="C3676" t="s">
        <v>32</v>
      </c>
      <c r="D3676" t="s">
        <v>29</v>
      </c>
      <c r="E3676">
        <v>2006</v>
      </c>
      <c r="F3676" t="s">
        <v>22</v>
      </c>
      <c r="G3676" t="s">
        <v>15</v>
      </c>
      <c r="H3676" s="2">
        <v>19594.34</v>
      </c>
    </row>
    <row r="3677" spans="1:8">
      <c r="A3677" t="s">
        <v>98</v>
      </c>
      <c r="B3677" t="s">
        <v>99</v>
      </c>
      <c r="C3677" t="s">
        <v>32</v>
      </c>
      <c r="D3677" t="s">
        <v>29</v>
      </c>
      <c r="E3677">
        <v>2006</v>
      </c>
      <c r="F3677" t="s">
        <v>18</v>
      </c>
      <c r="G3677" t="s">
        <v>17</v>
      </c>
      <c r="H3677" s="2">
        <v>5057.1099999999997</v>
      </c>
    </row>
    <row r="3678" spans="1:8">
      <c r="A3678" t="s">
        <v>98</v>
      </c>
      <c r="B3678" t="s">
        <v>99</v>
      </c>
      <c r="C3678" t="s">
        <v>32</v>
      </c>
      <c r="D3678" t="s">
        <v>29</v>
      </c>
      <c r="E3678">
        <v>2006</v>
      </c>
      <c r="F3678" t="s">
        <v>21</v>
      </c>
      <c r="G3678" t="s">
        <v>15</v>
      </c>
      <c r="H3678" s="2">
        <v>2584.5</v>
      </c>
    </row>
    <row r="3679" spans="1:8">
      <c r="A3679" t="s">
        <v>98</v>
      </c>
      <c r="B3679" t="s">
        <v>99</v>
      </c>
      <c r="C3679" t="s">
        <v>32</v>
      </c>
      <c r="D3679" t="s">
        <v>29</v>
      </c>
      <c r="E3679">
        <v>2006</v>
      </c>
      <c r="F3679" t="s">
        <v>16</v>
      </c>
      <c r="G3679" t="s">
        <v>19</v>
      </c>
      <c r="H3679" s="2">
        <v>0</v>
      </c>
    </row>
    <row r="3680" spans="1:8">
      <c r="A3680" t="s">
        <v>98</v>
      </c>
      <c r="B3680" t="s">
        <v>99</v>
      </c>
      <c r="C3680" t="s">
        <v>32</v>
      </c>
      <c r="D3680" t="s">
        <v>29</v>
      </c>
      <c r="E3680">
        <v>2007</v>
      </c>
      <c r="F3680" t="s">
        <v>12</v>
      </c>
      <c r="G3680" t="s">
        <v>17</v>
      </c>
      <c r="H3680" s="2">
        <v>88.82</v>
      </c>
    </row>
    <row r="3681" spans="1:8">
      <c r="A3681" t="s">
        <v>98</v>
      </c>
      <c r="B3681" t="s">
        <v>99</v>
      </c>
      <c r="C3681" t="s">
        <v>32</v>
      </c>
      <c r="D3681" t="s">
        <v>29</v>
      </c>
      <c r="E3681">
        <v>2008</v>
      </c>
      <c r="F3681" t="s">
        <v>22</v>
      </c>
      <c r="G3681" t="s">
        <v>17</v>
      </c>
      <c r="H3681" s="2">
        <v>6039.59</v>
      </c>
    </row>
    <row r="3682" spans="1:8">
      <c r="A3682" t="s">
        <v>98</v>
      </c>
      <c r="B3682" t="s">
        <v>99</v>
      </c>
      <c r="C3682" t="s">
        <v>32</v>
      </c>
      <c r="D3682" t="s">
        <v>29</v>
      </c>
      <c r="E3682">
        <v>2008</v>
      </c>
      <c r="F3682" t="s">
        <v>12</v>
      </c>
      <c r="G3682" t="s">
        <v>15</v>
      </c>
      <c r="H3682" s="2">
        <v>202</v>
      </c>
    </row>
    <row r="3683" spans="1:8">
      <c r="A3683" t="s">
        <v>98</v>
      </c>
      <c r="B3683" t="s">
        <v>99</v>
      </c>
      <c r="C3683" t="s">
        <v>32</v>
      </c>
      <c r="D3683" t="s">
        <v>29</v>
      </c>
      <c r="E3683">
        <v>2008</v>
      </c>
      <c r="F3683" t="s">
        <v>18</v>
      </c>
      <c r="G3683" t="s">
        <v>19</v>
      </c>
      <c r="H3683" s="2">
        <v>6490.92</v>
      </c>
    </row>
    <row r="3684" spans="1:8">
      <c r="A3684" t="s">
        <v>98</v>
      </c>
      <c r="B3684" t="s">
        <v>99</v>
      </c>
      <c r="C3684" t="s">
        <v>32</v>
      </c>
      <c r="D3684" t="s">
        <v>29</v>
      </c>
      <c r="E3684">
        <v>2009</v>
      </c>
      <c r="F3684" t="s">
        <v>21</v>
      </c>
      <c r="G3684" t="s">
        <v>13</v>
      </c>
      <c r="H3684" s="2">
        <v>147033.97</v>
      </c>
    </row>
    <row r="3685" spans="1:8">
      <c r="A3685" t="s">
        <v>98</v>
      </c>
      <c r="B3685" t="s">
        <v>99</v>
      </c>
      <c r="C3685" t="s">
        <v>32</v>
      </c>
      <c r="D3685" t="s">
        <v>29</v>
      </c>
      <c r="E3685">
        <v>2010</v>
      </c>
      <c r="F3685" t="s">
        <v>22</v>
      </c>
      <c r="G3685" t="s">
        <v>15</v>
      </c>
      <c r="H3685" s="2">
        <v>22157.46</v>
      </c>
    </row>
    <row r="3686" spans="1:8">
      <c r="A3686" t="s">
        <v>98</v>
      </c>
      <c r="B3686" t="s">
        <v>99</v>
      </c>
      <c r="C3686" t="s">
        <v>32</v>
      </c>
      <c r="D3686" t="s">
        <v>29</v>
      </c>
      <c r="E3686">
        <v>2010</v>
      </c>
      <c r="F3686" t="s">
        <v>12</v>
      </c>
      <c r="G3686" t="s">
        <v>15</v>
      </c>
      <c r="H3686" s="2">
        <v>221.64</v>
      </c>
    </row>
    <row r="3687" spans="1:8">
      <c r="A3687" t="s">
        <v>98</v>
      </c>
      <c r="B3687" t="s">
        <v>99</v>
      </c>
      <c r="C3687" t="s">
        <v>32</v>
      </c>
      <c r="D3687" t="s">
        <v>29</v>
      </c>
      <c r="E3687">
        <v>2010</v>
      </c>
      <c r="F3687" t="s">
        <v>18</v>
      </c>
      <c r="G3687" t="s">
        <v>19</v>
      </c>
      <c r="H3687" s="2">
        <v>6038.72</v>
      </c>
    </row>
    <row r="3688" spans="1:8">
      <c r="A3688" t="s">
        <v>98</v>
      </c>
      <c r="B3688" t="s">
        <v>99</v>
      </c>
      <c r="C3688" t="s">
        <v>32</v>
      </c>
      <c r="D3688" t="s">
        <v>29</v>
      </c>
      <c r="E3688">
        <v>2010</v>
      </c>
      <c r="F3688" t="s">
        <v>20</v>
      </c>
      <c r="G3688" t="s">
        <v>19</v>
      </c>
      <c r="H3688" s="2">
        <v>0</v>
      </c>
    </row>
    <row r="3689" spans="1:8">
      <c r="A3689" t="s">
        <v>98</v>
      </c>
      <c r="B3689" t="s">
        <v>99</v>
      </c>
      <c r="C3689" t="s">
        <v>32</v>
      </c>
      <c r="D3689" t="s">
        <v>29</v>
      </c>
      <c r="E3689">
        <v>2011</v>
      </c>
      <c r="F3689" t="s">
        <v>22</v>
      </c>
      <c r="G3689" t="s">
        <v>13</v>
      </c>
      <c r="H3689" s="2">
        <v>2941.73</v>
      </c>
    </row>
    <row r="3690" spans="1:8">
      <c r="A3690" t="s">
        <v>98</v>
      </c>
      <c r="B3690" t="s">
        <v>99</v>
      </c>
      <c r="C3690" t="s">
        <v>32</v>
      </c>
      <c r="D3690" t="s">
        <v>29</v>
      </c>
      <c r="E3690">
        <v>2011</v>
      </c>
      <c r="F3690" t="s">
        <v>12</v>
      </c>
      <c r="G3690" t="s">
        <v>15</v>
      </c>
      <c r="H3690" s="2">
        <v>204.99</v>
      </c>
    </row>
    <row r="3691" spans="1:8">
      <c r="A3691" t="s">
        <v>98</v>
      </c>
      <c r="B3691" t="s">
        <v>99</v>
      </c>
      <c r="C3691" t="s">
        <v>32</v>
      </c>
      <c r="D3691" t="s">
        <v>29</v>
      </c>
      <c r="E3691">
        <v>2011</v>
      </c>
      <c r="F3691" t="s">
        <v>20</v>
      </c>
      <c r="G3691" t="s">
        <v>17</v>
      </c>
      <c r="H3691" s="2">
        <v>-40.89</v>
      </c>
    </row>
    <row r="3692" spans="1:8">
      <c r="A3692" t="s">
        <v>98</v>
      </c>
      <c r="B3692" t="s">
        <v>99</v>
      </c>
      <c r="C3692" t="s">
        <v>32</v>
      </c>
      <c r="D3692" t="s">
        <v>29</v>
      </c>
      <c r="E3692">
        <v>2011</v>
      </c>
      <c r="F3692" t="s">
        <v>14</v>
      </c>
      <c r="G3692" t="s">
        <v>17</v>
      </c>
      <c r="H3692" s="2">
        <v>3315.27</v>
      </c>
    </row>
    <row r="3693" spans="1:8">
      <c r="A3693" t="s">
        <v>98</v>
      </c>
      <c r="B3693" t="s">
        <v>99</v>
      </c>
      <c r="C3693" t="s">
        <v>32</v>
      </c>
      <c r="D3693" t="s">
        <v>29</v>
      </c>
      <c r="E3693">
        <v>2011</v>
      </c>
      <c r="F3693" t="s">
        <v>16</v>
      </c>
      <c r="G3693" t="s">
        <v>19</v>
      </c>
      <c r="H3693" s="2">
        <v>0</v>
      </c>
    </row>
    <row r="3694" spans="1:8">
      <c r="A3694" t="s">
        <v>98</v>
      </c>
      <c r="B3694" t="s">
        <v>99</v>
      </c>
      <c r="C3694" t="s">
        <v>32</v>
      </c>
      <c r="D3694" t="s">
        <v>29</v>
      </c>
      <c r="E3694">
        <v>2011</v>
      </c>
      <c r="F3694" t="s">
        <v>16</v>
      </c>
      <c r="G3694" t="s">
        <v>17</v>
      </c>
      <c r="H3694" s="2">
        <v>4354.32</v>
      </c>
    </row>
    <row r="3695" spans="1:8">
      <c r="A3695" t="s">
        <v>98</v>
      </c>
      <c r="B3695" t="s">
        <v>99</v>
      </c>
      <c r="C3695" t="s">
        <v>32</v>
      </c>
      <c r="D3695" t="s">
        <v>29</v>
      </c>
      <c r="E3695">
        <v>2012</v>
      </c>
      <c r="F3695" t="s">
        <v>18</v>
      </c>
      <c r="G3695" t="s">
        <v>17</v>
      </c>
      <c r="H3695" s="2">
        <v>5769</v>
      </c>
    </row>
    <row r="3696" spans="1:8">
      <c r="A3696" t="s">
        <v>98</v>
      </c>
      <c r="B3696" t="s">
        <v>99</v>
      </c>
      <c r="C3696" t="s">
        <v>32</v>
      </c>
      <c r="D3696" t="s">
        <v>29</v>
      </c>
      <c r="E3696">
        <v>2012</v>
      </c>
      <c r="F3696" t="s">
        <v>16</v>
      </c>
      <c r="G3696" t="s">
        <v>15</v>
      </c>
      <c r="H3696" s="2">
        <v>72721.679999999993</v>
      </c>
    </row>
    <row r="3697" spans="1:8">
      <c r="A3697" t="s">
        <v>98</v>
      </c>
      <c r="B3697" t="s">
        <v>99</v>
      </c>
      <c r="C3697" t="s">
        <v>32</v>
      </c>
      <c r="D3697" t="s">
        <v>29</v>
      </c>
      <c r="E3697">
        <v>2012</v>
      </c>
      <c r="F3697" t="s">
        <v>16</v>
      </c>
      <c r="G3697" t="s">
        <v>17</v>
      </c>
      <c r="H3697" s="2">
        <v>4783.63</v>
      </c>
    </row>
    <row r="3698" spans="1:8">
      <c r="A3698" t="s">
        <v>98</v>
      </c>
      <c r="B3698" t="s">
        <v>99</v>
      </c>
      <c r="C3698" t="s">
        <v>32</v>
      </c>
      <c r="D3698" t="s">
        <v>29</v>
      </c>
      <c r="E3698">
        <v>2013</v>
      </c>
      <c r="F3698" t="s">
        <v>12</v>
      </c>
      <c r="G3698" t="s">
        <v>15</v>
      </c>
      <c r="H3698" s="2">
        <v>196.17</v>
      </c>
    </row>
    <row r="3699" spans="1:8">
      <c r="A3699" t="s">
        <v>98</v>
      </c>
      <c r="B3699" t="s">
        <v>99</v>
      </c>
      <c r="C3699" t="s">
        <v>32</v>
      </c>
      <c r="D3699" t="s">
        <v>29</v>
      </c>
      <c r="E3699">
        <v>2013</v>
      </c>
      <c r="F3699" t="s">
        <v>14</v>
      </c>
      <c r="G3699" t="s">
        <v>17</v>
      </c>
      <c r="H3699" s="2">
        <v>3416.35</v>
      </c>
    </row>
    <row r="3700" spans="1:8">
      <c r="A3700" t="s">
        <v>98</v>
      </c>
      <c r="B3700" t="s">
        <v>99</v>
      </c>
      <c r="C3700" t="s">
        <v>32</v>
      </c>
      <c r="D3700" t="s">
        <v>29</v>
      </c>
      <c r="E3700">
        <v>2014</v>
      </c>
      <c r="F3700" t="s">
        <v>20</v>
      </c>
      <c r="G3700" t="s">
        <v>13</v>
      </c>
      <c r="H3700" s="2">
        <v>-3863.32</v>
      </c>
    </row>
    <row r="3701" spans="1:8">
      <c r="A3701" t="s">
        <v>98</v>
      </c>
      <c r="B3701" t="s">
        <v>99</v>
      </c>
      <c r="C3701" t="s">
        <v>32</v>
      </c>
      <c r="D3701" t="s">
        <v>29</v>
      </c>
      <c r="E3701">
        <v>2014</v>
      </c>
      <c r="F3701" t="s">
        <v>20</v>
      </c>
      <c r="G3701" t="s">
        <v>17</v>
      </c>
      <c r="H3701" s="2">
        <v>-43.22</v>
      </c>
    </row>
    <row r="3702" spans="1:8">
      <c r="A3702" t="s">
        <v>98</v>
      </c>
      <c r="B3702" t="s">
        <v>99</v>
      </c>
      <c r="C3702" t="s">
        <v>32</v>
      </c>
      <c r="D3702" t="s">
        <v>29</v>
      </c>
      <c r="E3702">
        <v>2014</v>
      </c>
      <c r="F3702" t="s">
        <v>21</v>
      </c>
      <c r="G3702" t="s">
        <v>13</v>
      </c>
      <c r="H3702" s="2">
        <v>157141.47</v>
      </c>
    </row>
    <row r="3703" spans="1:8">
      <c r="A3703" t="s">
        <v>98</v>
      </c>
      <c r="B3703" t="s">
        <v>99</v>
      </c>
      <c r="C3703" t="s">
        <v>32</v>
      </c>
      <c r="D3703" t="s">
        <v>29</v>
      </c>
      <c r="E3703">
        <v>2014</v>
      </c>
      <c r="F3703" t="s">
        <v>16</v>
      </c>
      <c r="G3703" t="s">
        <v>13</v>
      </c>
      <c r="H3703" s="2">
        <v>12330.82</v>
      </c>
    </row>
    <row r="3704" spans="1:8">
      <c r="A3704" t="s">
        <v>98</v>
      </c>
      <c r="B3704" t="s">
        <v>99</v>
      </c>
      <c r="C3704" t="s">
        <v>32</v>
      </c>
      <c r="D3704" t="s">
        <v>29</v>
      </c>
      <c r="E3704">
        <v>2014</v>
      </c>
      <c r="F3704" t="s">
        <v>16</v>
      </c>
      <c r="G3704" t="s">
        <v>17</v>
      </c>
      <c r="H3704" s="2">
        <v>4329.5</v>
      </c>
    </row>
    <row r="3705" spans="1:8">
      <c r="A3705" t="s">
        <v>98</v>
      </c>
      <c r="B3705" t="s">
        <v>99</v>
      </c>
      <c r="C3705" t="s">
        <v>32</v>
      </c>
      <c r="D3705" t="s">
        <v>29</v>
      </c>
      <c r="E3705">
        <v>2015</v>
      </c>
      <c r="F3705" t="s">
        <v>12</v>
      </c>
      <c r="G3705" t="s">
        <v>15</v>
      </c>
      <c r="H3705" s="2">
        <v>200</v>
      </c>
    </row>
    <row r="3706" spans="1:8">
      <c r="A3706" t="s">
        <v>98</v>
      </c>
      <c r="B3706" t="s">
        <v>99</v>
      </c>
      <c r="C3706" t="s">
        <v>32</v>
      </c>
      <c r="D3706" t="s">
        <v>29</v>
      </c>
      <c r="E3706">
        <v>2015</v>
      </c>
      <c r="F3706" t="s">
        <v>14</v>
      </c>
      <c r="G3706" t="s">
        <v>17</v>
      </c>
      <c r="H3706" s="2">
        <v>3166.54</v>
      </c>
    </row>
    <row r="3707" spans="1:8">
      <c r="A3707" t="s">
        <v>98</v>
      </c>
      <c r="B3707" t="s">
        <v>99</v>
      </c>
      <c r="C3707" t="s">
        <v>32</v>
      </c>
      <c r="D3707" t="s">
        <v>29</v>
      </c>
      <c r="E3707">
        <v>2015</v>
      </c>
      <c r="F3707" t="s">
        <v>16</v>
      </c>
      <c r="G3707" t="s">
        <v>15</v>
      </c>
      <c r="H3707" s="2">
        <v>67080.44</v>
      </c>
    </row>
    <row r="3708" spans="1:8">
      <c r="A3708" t="s">
        <v>98</v>
      </c>
      <c r="B3708" t="s">
        <v>99</v>
      </c>
      <c r="C3708" t="s">
        <v>32</v>
      </c>
      <c r="D3708" t="s">
        <v>29</v>
      </c>
      <c r="E3708">
        <v>2015</v>
      </c>
      <c r="F3708" t="s">
        <v>16</v>
      </c>
      <c r="G3708" t="s">
        <v>19</v>
      </c>
      <c r="H3708" s="2">
        <v>0</v>
      </c>
    </row>
    <row r="3709" spans="1:8">
      <c r="A3709" t="s">
        <v>98</v>
      </c>
      <c r="B3709" t="s">
        <v>99</v>
      </c>
      <c r="C3709" t="s">
        <v>32</v>
      </c>
      <c r="D3709" t="s">
        <v>29</v>
      </c>
      <c r="E3709">
        <v>2016</v>
      </c>
      <c r="F3709" t="s">
        <v>12</v>
      </c>
      <c r="G3709" t="s">
        <v>13</v>
      </c>
      <c r="H3709" s="2">
        <v>2104.11</v>
      </c>
    </row>
    <row r="3710" spans="1:8">
      <c r="A3710" t="s">
        <v>98</v>
      </c>
      <c r="B3710" t="s">
        <v>99</v>
      </c>
      <c r="C3710" t="s">
        <v>32</v>
      </c>
      <c r="D3710" t="s">
        <v>29</v>
      </c>
      <c r="E3710">
        <v>2016</v>
      </c>
      <c r="F3710" t="s">
        <v>12</v>
      </c>
      <c r="G3710" t="s">
        <v>17</v>
      </c>
      <c r="H3710" s="2">
        <v>69.48</v>
      </c>
    </row>
    <row r="3711" spans="1:8">
      <c r="A3711" t="s">
        <v>98</v>
      </c>
      <c r="B3711" t="s">
        <v>99</v>
      </c>
      <c r="C3711" t="s">
        <v>32</v>
      </c>
      <c r="D3711" t="s">
        <v>29</v>
      </c>
      <c r="E3711">
        <v>2016</v>
      </c>
      <c r="F3711" t="s">
        <v>21</v>
      </c>
      <c r="G3711" t="s">
        <v>19</v>
      </c>
      <c r="H3711" s="2">
        <v>0</v>
      </c>
    </row>
    <row r="3712" spans="1:8">
      <c r="A3712" t="s">
        <v>98</v>
      </c>
      <c r="B3712" t="s">
        <v>99</v>
      </c>
      <c r="C3712" t="s">
        <v>32</v>
      </c>
      <c r="D3712" t="s">
        <v>29</v>
      </c>
      <c r="E3712">
        <v>2017</v>
      </c>
      <c r="F3712" t="s">
        <v>20</v>
      </c>
      <c r="G3712" t="s">
        <v>15</v>
      </c>
      <c r="H3712" s="2">
        <v>-40.18</v>
      </c>
    </row>
    <row r="3713" spans="1:8">
      <c r="A3713" t="s">
        <v>98</v>
      </c>
      <c r="B3713" t="s">
        <v>99</v>
      </c>
      <c r="C3713" t="s">
        <v>32</v>
      </c>
      <c r="D3713" t="s">
        <v>29</v>
      </c>
      <c r="E3713">
        <v>2017</v>
      </c>
      <c r="F3713" t="s">
        <v>21</v>
      </c>
      <c r="G3713" t="s">
        <v>17</v>
      </c>
      <c r="H3713" s="2">
        <v>1379.74</v>
      </c>
    </row>
    <row r="3714" spans="1:8">
      <c r="A3714" t="s">
        <v>98</v>
      </c>
      <c r="B3714" t="s">
        <v>99</v>
      </c>
      <c r="C3714" t="s">
        <v>32</v>
      </c>
      <c r="D3714" t="s">
        <v>29</v>
      </c>
      <c r="E3714">
        <v>2017</v>
      </c>
      <c r="F3714" t="s">
        <v>16</v>
      </c>
      <c r="G3714" t="s">
        <v>19</v>
      </c>
      <c r="H3714" s="2">
        <v>0</v>
      </c>
    </row>
    <row r="3715" spans="1:8">
      <c r="A3715" t="s">
        <v>98</v>
      </c>
      <c r="B3715" t="s">
        <v>99</v>
      </c>
      <c r="C3715" t="s">
        <v>32</v>
      </c>
      <c r="D3715" t="s">
        <v>29</v>
      </c>
      <c r="E3715">
        <v>2018</v>
      </c>
      <c r="F3715" t="s">
        <v>20</v>
      </c>
      <c r="G3715" t="s">
        <v>19</v>
      </c>
      <c r="H3715" s="2">
        <v>0</v>
      </c>
    </row>
    <row r="3716" spans="1:8">
      <c r="A3716" t="s">
        <v>98</v>
      </c>
      <c r="B3716" t="s">
        <v>99</v>
      </c>
      <c r="C3716" t="s">
        <v>32</v>
      </c>
      <c r="D3716" t="s">
        <v>29</v>
      </c>
      <c r="E3716">
        <v>2018</v>
      </c>
      <c r="F3716" t="s">
        <v>14</v>
      </c>
      <c r="G3716" t="s">
        <v>19</v>
      </c>
      <c r="H3716" s="2">
        <v>0</v>
      </c>
    </row>
    <row r="3717" spans="1:8">
      <c r="A3717" t="s">
        <v>98</v>
      </c>
      <c r="B3717" t="s">
        <v>99</v>
      </c>
      <c r="C3717" t="s">
        <v>32</v>
      </c>
      <c r="D3717" t="s">
        <v>29</v>
      </c>
      <c r="E3717">
        <v>2019</v>
      </c>
      <c r="F3717" t="s">
        <v>22</v>
      </c>
      <c r="G3717" t="s">
        <v>17</v>
      </c>
      <c r="H3717" s="2">
        <v>5033.3500000000004</v>
      </c>
    </row>
    <row r="3718" spans="1:8">
      <c r="A3718" t="s">
        <v>98</v>
      </c>
      <c r="B3718" t="s">
        <v>99</v>
      </c>
      <c r="C3718" t="s">
        <v>32</v>
      </c>
      <c r="D3718" t="s">
        <v>29</v>
      </c>
      <c r="E3718">
        <v>2019</v>
      </c>
      <c r="F3718" t="s">
        <v>12</v>
      </c>
      <c r="G3718" t="s">
        <v>15</v>
      </c>
      <c r="H3718" s="2">
        <v>188.36</v>
      </c>
    </row>
    <row r="3719" spans="1:8">
      <c r="A3719" t="s">
        <v>98</v>
      </c>
      <c r="B3719" t="s">
        <v>99</v>
      </c>
      <c r="C3719" t="s">
        <v>32</v>
      </c>
      <c r="D3719" t="s">
        <v>29</v>
      </c>
      <c r="E3719">
        <v>2020</v>
      </c>
      <c r="F3719" t="s">
        <v>22</v>
      </c>
      <c r="G3719" t="s">
        <v>17</v>
      </c>
      <c r="H3719" s="2">
        <v>5140.45</v>
      </c>
    </row>
    <row r="3720" spans="1:8">
      <c r="A3720" t="s">
        <v>98</v>
      </c>
      <c r="B3720" t="s">
        <v>99</v>
      </c>
      <c r="C3720" t="s">
        <v>32</v>
      </c>
      <c r="D3720" t="s">
        <v>29</v>
      </c>
      <c r="E3720">
        <v>2020</v>
      </c>
      <c r="F3720" t="s">
        <v>21</v>
      </c>
      <c r="G3720" t="s">
        <v>15</v>
      </c>
      <c r="H3720" s="2">
        <v>2412.4899999999998</v>
      </c>
    </row>
    <row r="3721" spans="1:8">
      <c r="A3721" t="s">
        <v>98</v>
      </c>
      <c r="B3721" t="s">
        <v>99</v>
      </c>
      <c r="C3721" t="s">
        <v>32</v>
      </c>
      <c r="D3721" t="s">
        <v>29</v>
      </c>
      <c r="E3721">
        <v>2021</v>
      </c>
      <c r="F3721" t="s">
        <v>22</v>
      </c>
      <c r="G3721" t="s">
        <v>19</v>
      </c>
      <c r="H3721" s="2">
        <v>0</v>
      </c>
    </row>
    <row r="3722" spans="1:8">
      <c r="A3722" t="s">
        <v>98</v>
      </c>
      <c r="B3722" t="s">
        <v>99</v>
      </c>
      <c r="C3722" t="s">
        <v>32</v>
      </c>
      <c r="D3722" t="s">
        <v>29</v>
      </c>
      <c r="E3722">
        <v>2021</v>
      </c>
      <c r="F3722" t="s">
        <v>20</v>
      </c>
      <c r="G3722" t="s">
        <v>15</v>
      </c>
      <c r="H3722" s="2">
        <v>-42.69</v>
      </c>
    </row>
    <row r="3723" spans="1:8">
      <c r="A3723" t="s">
        <v>98</v>
      </c>
      <c r="B3723" t="s">
        <v>99</v>
      </c>
      <c r="C3723" t="s">
        <v>32</v>
      </c>
      <c r="D3723" t="s">
        <v>29</v>
      </c>
      <c r="E3723">
        <v>2021</v>
      </c>
      <c r="F3723" t="s">
        <v>20</v>
      </c>
      <c r="G3723" t="s">
        <v>17</v>
      </c>
      <c r="H3723" s="2">
        <v>-42.05</v>
      </c>
    </row>
    <row r="3724" spans="1:8">
      <c r="A3724" t="s">
        <v>98</v>
      </c>
      <c r="B3724" t="s">
        <v>99</v>
      </c>
      <c r="C3724" t="s">
        <v>32</v>
      </c>
      <c r="D3724" t="s">
        <v>29</v>
      </c>
      <c r="E3724">
        <v>2021</v>
      </c>
      <c r="F3724" t="s">
        <v>21</v>
      </c>
      <c r="G3724" t="s">
        <v>15</v>
      </c>
      <c r="H3724" s="2">
        <v>2792.86</v>
      </c>
    </row>
    <row r="3725" spans="1:8">
      <c r="A3725" t="s">
        <v>98</v>
      </c>
      <c r="B3725" t="s">
        <v>99</v>
      </c>
      <c r="C3725" t="s">
        <v>32</v>
      </c>
      <c r="D3725" t="s">
        <v>29</v>
      </c>
      <c r="E3725">
        <v>2021</v>
      </c>
      <c r="F3725" t="s">
        <v>21</v>
      </c>
      <c r="G3725" t="s">
        <v>17</v>
      </c>
      <c r="H3725" s="2">
        <v>1549.33</v>
      </c>
    </row>
    <row r="3726" spans="1:8">
      <c r="A3726" t="s">
        <v>98</v>
      </c>
      <c r="B3726" t="s">
        <v>99</v>
      </c>
      <c r="C3726" t="s">
        <v>32</v>
      </c>
      <c r="D3726" t="s">
        <v>29</v>
      </c>
      <c r="E3726">
        <v>2021</v>
      </c>
      <c r="F3726" t="s">
        <v>16</v>
      </c>
      <c r="G3726" t="s">
        <v>19</v>
      </c>
      <c r="H3726" s="2">
        <v>0</v>
      </c>
    </row>
    <row r="3727" spans="1:8">
      <c r="A3727" t="s">
        <v>98</v>
      </c>
      <c r="B3727" t="s">
        <v>99</v>
      </c>
      <c r="C3727" t="s">
        <v>32</v>
      </c>
      <c r="D3727" t="s">
        <v>29</v>
      </c>
      <c r="E3727">
        <v>2022</v>
      </c>
      <c r="F3727" t="s">
        <v>12</v>
      </c>
      <c r="G3727" t="s">
        <v>13</v>
      </c>
      <c r="H3727" s="2">
        <v>2215.4499999999998</v>
      </c>
    </row>
    <row r="3728" spans="1:8">
      <c r="A3728" t="s">
        <v>98</v>
      </c>
      <c r="B3728" t="s">
        <v>99</v>
      </c>
      <c r="C3728" t="s">
        <v>32</v>
      </c>
      <c r="D3728" t="s">
        <v>29</v>
      </c>
      <c r="E3728">
        <v>2022</v>
      </c>
      <c r="F3728" t="s">
        <v>12</v>
      </c>
      <c r="G3728" t="s">
        <v>19</v>
      </c>
      <c r="H3728" s="2">
        <v>0</v>
      </c>
    </row>
    <row r="3729" spans="1:8">
      <c r="A3729" t="s">
        <v>98</v>
      </c>
      <c r="B3729" t="s">
        <v>99</v>
      </c>
      <c r="C3729" t="s">
        <v>32</v>
      </c>
      <c r="D3729" t="s">
        <v>29</v>
      </c>
      <c r="E3729">
        <v>2022</v>
      </c>
      <c r="F3729" t="s">
        <v>14</v>
      </c>
      <c r="G3729" t="s">
        <v>15</v>
      </c>
      <c r="H3729" s="2">
        <v>5024.29</v>
      </c>
    </row>
    <row r="3730" spans="1:8">
      <c r="A3730" t="s">
        <v>98</v>
      </c>
      <c r="B3730" t="s">
        <v>99</v>
      </c>
      <c r="C3730" t="s">
        <v>32</v>
      </c>
      <c r="D3730" t="s">
        <v>29</v>
      </c>
      <c r="E3730">
        <v>2022</v>
      </c>
      <c r="F3730" t="s">
        <v>14</v>
      </c>
      <c r="G3730" t="s">
        <v>13</v>
      </c>
      <c r="H3730" s="2">
        <v>167535.04000000001</v>
      </c>
    </row>
    <row r="3731" spans="1:8">
      <c r="A3731" t="s">
        <v>98</v>
      </c>
      <c r="B3731" t="s">
        <v>99</v>
      </c>
      <c r="C3731" t="s">
        <v>32</v>
      </c>
      <c r="D3731" t="s">
        <v>29</v>
      </c>
      <c r="E3731">
        <v>2023</v>
      </c>
      <c r="F3731" t="s">
        <v>22</v>
      </c>
      <c r="G3731" t="s">
        <v>15</v>
      </c>
      <c r="H3731" s="2">
        <v>17039.060000000001</v>
      </c>
    </row>
    <row r="3732" spans="1:8">
      <c r="A3732" t="s">
        <v>98</v>
      </c>
      <c r="B3732" t="s">
        <v>99</v>
      </c>
      <c r="C3732" t="s">
        <v>32</v>
      </c>
      <c r="D3732" t="s">
        <v>29</v>
      </c>
      <c r="E3732">
        <v>2023</v>
      </c>
      <c r="F3732" t="s">
        <v>12</v>
      </c>
      <c r="G3732" t="s">
        <v>13</v>
      </c>
      <c r="H3732" s="2">
        <v>1968.46</v>
      </c>
    </row>
    <row r="3733" spans="1:8">
      <c r="A3733" t="s">
        <v>98</v>
      </c>
      <c r="B3733" t="s">
        <v>99</v>
      </c>
      <c r="C3733" t="s">
        <v>32</v>
      </c>
      <c r="D3733" t="s">
        <v>29</v>
      </c>
      <c r="E3733">
        <v>2024</v>
      </c>
      <c r="F3733" t="s">
        <v>16</v>
      </c>
      <c r="G3733" t="s">
        <v>19</v>
      </c>
      <c r="H3733" s="2">
        <v>0</v>
      </c>
    </row>
    <row r="3734" spans="1:8">
      <c r="A3734" t="s">
        <v>100</v>
      </c>
      <c r="B3734" t="s">
        <v>101</v>
      </c>
      <c r="C3734" t="s">
        <v>10</v>
      </c>
      <c r="D3734" t="s">
        <v>11</v>
      </c>
      <c r="E3734">
        <v>1990</v>
      </c>
      <c r="F3734" t="s">
        <v>21</v>
      </c>
      <c r="G3734" t="s">
        <v>13</v>
      </c>
      <c r="H3734" s="2">
        <v>117978.56</v>
      </c>
    </row>
    <row r="3735" spans="1:8">
      <c r="A3735" t="s">
        <v>100</v>
      </c>
      <c r="B3735" t="s">
        <v>101</v>
      </c>
      <c r="C3735" t="s">
        <v>10</v>
      </c>
      <c r="D3735" t="s">
        <v>11</v>
      </c>
      <c r="E3735">
        <v>1991</v>
      </c>
      <c r="F3735" t="s">
        <v>18</v>
      </c>
      <c r="G3735" t="s">
        <v>19</v>
      </c>
      <c r="H3735" s="2">
        <v>1340.35</v>
      </c>
    </row>
    <row r="3736" spans="1:8">
      <c r="A3736" t="s">
        <v>100</v>
      </c>
      <c r="B3736" t="s">
        <v>101</v>
      </c>
      <c r="C3736" t="s">
        <v>10</v>
      </c>
      <c r="D3736" t="s">
        <v>11</v>
      </c>
      <c r="E3736">
        <v>1991</v>
      </c>
      <c r="F3736" t="s">
        <v>20</v>
      </c>
      <c r="G3736" t="s">
        <v>15</v>
      </c>
      <c r="H3736" s="2">
        <v>277.18</v>
      </c>
    </row>
    <row r="3737" spans="1:8">
      <c r="A3737" t="s">
        <v>100</v>
      </c>
      <c r="B3737" t="s">
        <v>101</v>
      </c>
      <c r="C3737" t="s">
        <v>10</v>
      </c>
      <c r="D3737" t="s">
        <v>11</v>
      </c>
      <c r="E3737">
        <v>1991</v>
      </c>
      <c r="F3737" t="s">
        <v>14</v>
      </c>
      <c r="G3737" t="s">
        <v>17</v>
      </c>
      <c r="H3737" s="2">
        <v>4024.17</v>
      </c>
    </row>
    <row r="3738" spans="1:8">
      <c r="A3738" t="s">
        <v>100</v>
      </c>
      <c r="B3738" t="s">
        <v>101</v>
      </c>
      <c r="C3738" t="s">
        <v>10</v>
      </c>
      <c r="D3738" t="s">
        <v>11</v>
      </c>
      <c r="E3738">
        <v>1991</v>
      </c>
      <c r="F3738" t="s">
        <v>21</v>
      </c>
      <c r="G3738" t="s">
        <v>19</v>
      </c>
      <c r="H3738" s="2">
        <v>0</v>
      </c>
    </row>
    <row r="3739" spans="1:8">
      <c r="A3739" t="s">
        <v>100</v>
      </c>
      <c r="B3739" t="s">
        <v>101</v>
      </c>
      <c r="C3739" t="s">
        <v>10</v>
      </c>
      <c r="D3739" t="s">
        <v>11</v>
      </c>
      <c r="E3739">
        <v>1991</v>
      </c>
      <c r="F3739" t="s">
        <v>21</v>
      </c>
      <c r="G3739" t="s">
        <v>17</v>
      </c>
      <c r="H3739" s="2">
        <v>1184.76</v>
      </c>
    </row>
    <row r="3740" spans="1:8">
      <c r="A3740" t="s">
        <v>100</v>
      </c>
      <c r="B3740" t="s">
        <v>101</v>
      </c>
      <c r="C3740" t="s">
        <v>10</v>
      </c>
      <c r="D3740" t="s">
        <v>11</v>
      </c>
      <c r="E3740">
        <v>1992</v>
      </c>
      <c r="F3740" t="s">
        <v>20</v>
      </c>
      <c r="G3740" t="s">
        <v>13</v>
      </c>
      <c r="H3740" s="2">
        <v>26419.38</v>
      </c>
    </row>
    <row r="3741" spans="1:8">
      <c r="A3741" t="s">
        <v>100</v>
      </c>
      <c r="B3741" t="s">
        <v>101</v>
      </c>
      <c r="C3741" t="s">
        <v>10</v>
      </c>
      <c r="D3741" t="s">
        <v>11</v>
      </c>
      <c r="E3741">
        <v>1992</v>
      </c>
      <c r="F3741" t="s">
        <v>14</v>
      </c>
      <c r="G3741" t="s">
        <v>19</v>
      </c>
      <c r="H3741" s="2">
        <v>0</v>
      </c>
    </row>
    <row r="3742" spans="1:8">
      <c r="A3742" t="s">
        <v>100</v>
      </c>
      <c r="B3742" t="s">
        <v>101</v>
      </c>
      <c r="C3742" t="s">
        <v>10</v>
      </c>
      <c r="D3742" t="s">
        <v>11</v>
      </c>
      <c r="E3742">
        <v>1993</v>
      </c>
      <c r="F3742" t="s">
        <v>12</v>
      </c>
      <c r="G3742" t="s">
        <v>15</v>
      </c>
      <c r="H3742" s="2">
        <v>940.77</v>
      </c>
    </row>
    <row r="3743" spans="1:8">
      <c r="A3743" t="s">
        <v>100</v>
      </c>
      <c r="B3743" t="s">
        <v>101</v>
      </c>
      <c r="C3743" t="s">
        <v>10</v>
      </c>
      <c r="D3743" t="s">
        <v>11</v>
      </c>
      <c r="E3743">
        <v>1993</v>
      </c>
      <c r="F3743" t="s">
        <v>14</v>
      </c>
      <c r="G3743" t="s">
        <v>19</v>
      </c>
      <c r="H3743" s="2">
        <v>0</v>
      </c>
    </row>
    <row r="3744" spans="1:8">
      <c r="A3744" t="s">
        <v>100</v>
      </c>
      <c r="B3744" t="s">
        <v>101</v>
      </c>
      <c r="C3744" t="s">
        <v>10</v>
      </c>
      <c r="D3744" t="s">
        <v>11</v>
      </c>
      <c r="E3744">
        <v>1994</v>
      </c>
      <c r="F3744" t="s">
        <v>12</v>
      </c>
      <c r="G3744" t="s">
        <v>13</v>
      </c>
      <c r="H3744" s="2">
        <v>10573.48</v>
      </c>
    </row>
    <row r="3745" spans="1:8">
      <c r="A3745" t="s">
        <v>100</v>
      </c>
      <c r="B3745" t="s">
        <v>101</v>
      </c>
      <c r="C3745" t="s">
        <v>10</v>
      </c>
      <c r="D3745" t="s">
        <v>11</v>
      </c>
      <c r="E3745">
        <v>1994</v>
      </c>
      <c r="F3745" t="s">
        <v>18</v>
      </c>
      <c r="G3745" t="s">
        <v>13</v>
      </c>
      <c r="H3745" s="2">
        <v>22452.3</v>
      </c>
    </row>
    <row r="3746" spans="1:8">
      <c r="A3746" t="s">
        <v>100</v>
      </c>
      <c r="B3746" t="s">
        <v>101</v>
      </c>
      <c r="C3746" t="s">
        <v>10</v>
      </c>
      <c r="D3746" t="s">
        <v>11</v>
      </c>
      <c r="E3746">
        <v>1994</v>
      </c>
      <c r="F3746" t="s">
        <v>14</v>
      </c>
      <c r="G3746" t="s">
        <v>19</v>
      </c>
      <c r="H3746" s="2">
        <v>0</v>
      </c>
    </row>
    <row r="3747" spans="1:8">
      <c r="A3747" t="s">
        <v>100</v>
      </c>
      <c r="B3747" t="s">
        <v>101</v>
      </c>
      <c r="C3747" t="s">
        <v>10</v>
      </c>
      <c r="D3747" t="s">
        <v>11</v>
      </c>
      <c r="E3747">
        <v>1996</v>
      </c>
      <c r="F3747" t="s">
        <v>22</v>
      </c>
      <c r="G3747" t="s">
        <v>17</v>
      </c>
      <c r="H3747" s="2">
        <v>3876.6</v>
      </c>
    </row>
    <row r="3748" spans="1:8">
      <c r="A3748" t="s">
        <v>100</v>
      </c>
      <c r="B3748" t="s">
        <v>101</v>
      </c>
      <c r="C3748" t="s">
        <v>10</v>
      </c>
      <c r="D3748" t="s">
        <v>11</v>
      </c>
      <c r="E3748">
        <v>1996</v>
      </c>
      <c r="F3748" t="s">
        <v>18</v>
      </c>
      <c r="G3748" t="s">
        <v>17</v>
      </c>
      <c r="H3748" s="2">
        <v>1391.97</v>
      </c>
    </row>
    <row r="3749" spans="1:8">
      <c r="A3749" t="s">
        <v>100</v>
      </c>
      <c r="B3749" t="s">
        <v>101</v>
      </c>
      <c r="C3749" t="s">
        <v>10</v>
      </c>
      <c r="D3749" t="s">
        <v>11</v>
      </c>
      <c r="E3749">
        <v>1996</v>
      </c>
      <c r="F3749" t="s">
        <v>20</v>
      </c>
      <c r="G3749" t="s">
        <v>17</v>
      </c>
      <c r="H3749" s="2">
        <v>316.8</v>
      </c>
    </row>
    <row r="3750" spans="1:8">
      <c r="A3750" t="s">
        <v>100</v>
      </c>
      <c r="B3750" t="s">
        <v>101</v>
      </c>
      <c r="C3750" t="s">
        <v>10</v>
      </c>
      <c r="D3750" t="s">
        <v>11</v>
      </c>
      <c r="E3750">
        <v>1996</v>
      </c>
      <c r="F3750" t="s">
        <v>14</v>
      </c>
      <c r="G3750" t="s">
        <v>13</v>
      </c>
      <c r="H3750" s="2">
        <v>195684.29</v>
      </c>
    </row>
    <row r="3751" spans="1:8">
      <c r="A3751" t="s">
        <v>100</v>
      </c>
      <c r="B3751" t="s">
        <v>101</v>
      </c>
      <c r="C3751" t="s">
        <v>10</v>
      </c>
      <c r="D3751" t="s">
        <v>11</v>
      </c>
      <c r="E3751">
        <v>1997</v>
      </c>
      <c r="F3751" t="s">
        <v>20</v>
      </c>
      <c r="G3751" t="s">
        <v>19</v>
      </c>
      <c r="H3751" s="2">
        <v>0</v>
      </c>
    </row>
    <row r="3752" spans="1:8">
      <c r="A3752" t="s">
        <v>100</v>
      </c>
      <c r="B3752" t="s">
        <v>101</v>
      </c>
      <c r="C3752" t="s">
        <v>10</v>
      </c>
      <c r="D3752" t="s">
        <v>11</v>
      </c>
      <c r="E3752">
        <v>1997</v>
      </c>
      <c r="F3752" t="s">
        <v>14</v>
      </c>
      <c r="G3752" t="s">
        <v>15</v>
      </c>
      <c r="H3752" s="2">
        <v>5882.85</v>
      </c>
    </row>
    <row r="3753" spans="1:8">
      <c r="A3753" t="s">
        <v>100</v>
      </c>
      <c r="B3753" t="s">
        <v>101</v>
      </c>
      <c r="C3753" t="s">
        <v>10</v>
      </c>
      <c r="D3753" t="s">
        <v>11</v>
      </c>
      <c r="E3753">
        <v>1997</v>
      </c>
      <c r="F3753" t="s">
        <v>14</v>
      </c>
      <c r="G3753" t="s">
        <v>19</v>
      </c>
      <c r="H3753" s="2">
        <v>0</v>
      </c>
    </row>
    <row r="3754" spans="1:8">
      <c r="A3754" t="s">
        <v>100</v>
      </c>
      <c r="B3754" t="s">
        <v>101</v>
      </c>
      <c r="C3754" t="s">
        <v>10</v>
      </c>
      <c r="D3754" t="s">
        <v>11</v>
      </c>
      <c r="E3754">
        <v>1998</v>
      </c>
      <c r="F3754" t="s">
        <v>22</v>
      </c>
      <c r="G3754" t="s">
        <v>15</v>
      </c>
      <c r="H3754" s="2">
        <v>11888.44</v>
      </c>
    </row>
    <row r="3755" spans="1:8">
      <c r="A3755" t="s">
        <v>100</v>
      </c>
      <c r="B3755" t="s">
        <v>101</v>
      </c>
      <c r="C3755" t="s">
        <v>10</v>
      </c>
      <c r="D3755" t="s">
        <v>11</v>
      </c>
      <c r="E3755">
        <v>1999</v>
      </c>
      <c r="F3755" t="s">
        <v>12</v>
      </c>
      <c r="G3755" t="s">
        <v>15</v>
      </c>
      <c r="H3755" s="2">
        <v>926.4</v>
      </c>
    </row>
    <row r="3756" spans="1:8">
      <c r="A3756" t="s">
        <v>100</v>
      </c>
      <c r="B3756" t="s">
        <v>101</v>
      </c>
      <c r="C3756" t="s">
        <v>10</v>
      </c>
      <c r="D3756" t="s">
        <v>11</v>
      </c>
      <c r="E3756">
        <v>1999</v>
      </c>
      <c r="F3756" t="s">
        <v>20</v>
      </c>
      <c r="G3756" t="s">
        <v>15</v>
      </c>
      <c r="H3756" s="2">
        <v>305.16000000000003</v>
      </c>
    </row>
    <row r="3757" spans="1:8">
      <c r="A3757" t="s">
        <v>100</v>
      </c>
      <c r="B3757" t="s">
        <v>101</v>
      </c>
      <c r="C3757" t="s">
        <v>10</v>
      </c>
      <c r="D3757" t="s">
        <v>11</v>
      </c>
      <c r="E3757">
        <v>1999</v>
      </c>
      <c r="F3757" t="s">
        <v>20</v>
      </c>
      <c r="G3757" t="s">
        <v>19</v>
      </c>
      <c r="H3757" s="2">
        <v>0</v>
      </c>
    </row>
    <row r="3758" spans="1:8">
      <c r="A3758" t="s">
        <v>100</v>
      </c>
      <c r="B3758" t="s">
        <v>101</v>
      </c>
      <c r="C3758" t="s">
        <v>10</v>
      </c>
      <c r="D3758" t="s">
        <v>11</v>
      </c>
      <c r="E3758">
        <v>2000</v>
      </c>
      <c r="F3758" t="s">
        <v>22</v>
      </c>
      <c r="G3758" t="s">
        <v>19</v>
      </c>
      <c r="H3758" s="2">
        <v>0</v>
      </c>
    </row>
    <row r="3759" spans="1:8">
      <c r="A3759" t="s">
        <v>100</v>
      </c>
      <c r="B3759" t="s">
        <v>101</v>
      </c>
      <c r="C3759" t="s">
        <v>10</v>
      </c>
      <c r="D3759" t="s">
        <v>11</v>
      </c>
      <c r="E3759">
        <v>2000</v>
      </c>
      <c r="F3759" t="s">
        <v>20</v>
      </c>
      <c r="G3759" t="s">
        <v>17</v>
      </c>
      <c r="H3759" s="2">
        <v>347.05</v>
      </c>
    </row>
    <row r="3760" spans="1:8">
      <c r="A3760" t="s">
        <v>100</v>
      </c>
      <c r="B3760" t="s">
        <v>101</v>
      </c>
      <c r="C3760" t="s">
        <v>10</v>
      </c>
      <c r="D3760" t="s">
        <v>11</v>
      </c>
      <c r="E3760">
        <v>2000</v>
      </c>
      <c r="F3760" t="s">
        <v>16</v>
      </c>
      <c r="G3760" t="s">
        <v>19</v>
      </c>
      <c r="H3760" s="2">
        <v>0</v>
      </c>
    </row>
    <row r="3761" spans="1:8">
      <c r="A3761" t="s">
        <v>100</v>
      </c>
      <c r="B3761" t="s">
        <v>101</v>
      </c>
      <c r="C3761" t="s">
        <v>10</v>
      </c>
      <c r="D3761" t="s">
        <v>11</v>
      </c>
      <c r="E3761">
        <v>2001</v>
      </c>
      <c r="F3761" t="s">
        <v>18</v>
      </c>
      <c r="G3761" t="s">
        <v>13</v>
      </c>
      <c r="H3761" s="2">
        <v>24843.599999999999</v>
      </c>
    </row>
    <row r="3762" spans="1:8">
      <c r="A3762" t="s">
        <v>100</v>
      </c>
      <c r="B3762" t="s">
        <v>101</v>
      </c>
      <c r="C3762" t="s">
        <v>10</v>
      </c>
      <c r="D3762" t="s">
        <v>11</v>
      </c>
      <c r="E3762">
        <v>2001</v>
      </c>
      <c r="F3762" t="s">
        <v>20</v>
      </c>
      <c r="G3762" t="s">
        <v>15</v>
      </c>
      <c r="H3762" s="2">
        <v>310.89999999999998</v>
      </c>
    </row>
    <row r="3763" spans="1:8">
      <c r="A3763" t="s">
        <v>100</v>
      </c>
      <c r="B3763" t="s">
        <v>101</v>
      </c>
      <c r="C3763" t="s">
        <v>10</v>
      </c>
      <c r="D3763" t="s">
        <v>11</v>
      </c>
      <c r="E3763">
        <v>2001</v>
      </c>
      <c r="F3763" t="s">
        <v>20</v>
      </c>
      <c r="G3763" t="s">
        <v>17</v>
      </c>
      <c r="H3763" s="2">
        <v>362.63</v>
      </c>
    </row>
    <row r="3764" spans="1:8">
      <c r="A3764" t="s">
        <v>100</v>
      </c>
      <c r="B3764" t="s">
        <v>101</v>
      </c>
      <c r="C3764" t="s">
        <v>10</v>
      </c>
      <c r="D3764" t="s">
        <v>11</v>
      </c>
      <c r="E3764">
        <v>2001</v>
      </c>
      <c r="F3764" t="s">
        <v>14</v>
      </c>
      <c r="G3764" t="s">
        <v>17</v>
      </c>
      <c r="H3764" s="2">
        <v>4952.5</v>
      </c>
    </row>
    <row r="3765" spans="1:8">
      <c r="A3765" t="s">
        <v>100</v>
      </c>
      <c r="B3765" t="s">
        <v>101</v>
      </c>
      <c r="C3765" t="s">
        <v>10</v>
      </c>
      <c r="D3765" t="s">
        <v>11</v>
      </c>
      <c r="E3765">
        <v>2002</v>
      </c>
      <c r="F3765" t="s">
        <v>12</v>
      </c>
      <c r="G3765" t="s">
        <v>15</v>
      </c>
      <c r="H3765" s="2">
        <v>1125.28</v>
      </c>
    </row>
    <row r="3766" spans="1:8">
      <c r="A3766" t="s">
        <v>100</v>
      </c>
      <c r="B3766" t="s">
        <v>101</v>
      </c>
      <c r="C3766" t="s">
        <v>10</v>
      </c>
      <c r="D3766" t="s">
        <v>11</v>
      </c>
      <c r="E3766">
        <v>2002</v>
      </c>
      <c r="F3766" t="s">
        <v>20</v>
      </c>
      <c r="G3766" t="s">
        <v>19</v>
      </c>
      <c r="H3766" s="2">
        <v>0</v>
      </c>
    </row>
    <row r="3767" spans="1:8">
      <c r="A3767" t="s">
        <v>100</v>
      </c>
      <c r="B3767" t="s">
        <v>101</v>
      </c>
      <c r="C3767" t="s">
        <v>10</v>
      </c>
      <c r="D3767" t="s">
        <v>11</v>
      </c>
      <c r="E3767">
        <v>2002</v>
      </c>
      <c r="F3767" t="s">
        <v>20</v>
      </c>
      <c r="G3767" t="s">
        <v>17</v>
      </c>
      <c r="H3767" s="2">
        <v>366.12</v>
      </c>
    </row>
    <row r="3768" spans="1:8">
      <c r="A3768" t="s">
        <v>100</v>
      </c>
      <c r="B3768" t="s">
        <v>101</v>
      </c>
      <c r="C3768" t="s">
        <v>10</v>
      </c>
      <c r="D3768" t="s">
        <v>11</v>
      </c>
      <c r="E3768">
        <v>2002</v>
      </c>
      <c r="F3768" t="s">
        <v>16</v>
      </c>
      <c r="G3768" t="s">
        <v>19</v>
      </c>
      <c r="H3768" s="2">
        <v>0</v>
      </c>
    </row>
    <row r="3769" spans="1:8">
      <c r="A3769" t="s">
        <v>100</v>
      </c>
      <c r="B3769" t="s">
        <v>101</v>
      </c>
      <c r="C3769" t="s">
        <v>10</v>
      </c>
      <c r="D3769" t="s">
        <v>11</v>
      </c>
      <c r="E3769">
        <v>2003</v>
      </c>
      <c r="F3769" t="s">
        <v>20</v>
      </c>
      <c r="G3769" t="s">
        <v>19</v>
      </c>
      <c r="H3769" s="2">
        <v>0</v>
      </c>
    </row>
    <row r="3770" spans="1:8">
      <c r="A3770" t="s">
        <v>100</v>
      </c>
      <c r="B3770" t="s">
        <v>101</v>
      </c>
      <c r="C3770" t="s">
        <v>10</v>
      </c>
      <c r="D3770" t="s">
        <v>11</v>
      </c>
      <c r="E3770">
        <v>2003</v>
      </c>
      <c r="F3770" t="s">
        <v>16</v>
      </c>
      <c r="G3770" t="s">
        <v>13</v>
      </c>
      <c r="H3770" s="2">
        <v>52733.11</v>
      </c>
    </row>
    <row r="3771" spans="1:8">
      <c r="A3771" t="s">
        <v>100</v>
      </c>
      <c r="B3771" t="s">
        <v>101</v>
      </c>
      <c r="C3771" t="s">
        <v>10</v>
      </c>
      <c r="D3771" t="s">
        <v>11</v>
      </c>
      <c r="E3771">
        <v>2004</v>
      </c>
      <c r="F3771" t="s">
        <v>20</v>
      </c>
      <c r="G3771" t="s">
        <v>15</v>
      </c>
      <c r="H3771" s="2">
        <v>348.88</v>
      </c>
    </row>
    <row r="3772" spans="1:8">
      <c r="A3772" t="s">
        <v>100</v>
      </c>
      <c r="B3772" t="s">
        <v>101</v>
      </c>
      <c r="C3772" t="s">
        <v>10</v>
      </c>
      <c r="D3772" t="s">
        <v>11</v>
      </c>
      <c r="E3772">
        <v>2005</v>
      </c>
      <c r="F3772" t="s">
        <v>22</v>
      </c>
      <c r="G3772" t="s">
        <v>13</v>
      </c>
      <c r="H3772" s="2">
        <v>2078.71</v>
      </c>
    </row>
    <row r="3773" spans="1:8">
      <c r="A3773" t="s">
        <v>100</v>
      </c>
      <c r="B3773" t="s">
        <v>101</v>
      </c>
      <c r="C3773" t="s">
        <v>10</v>
      </c>
      <c r="D3773" t="s">
        <v>11</v>
      </c>
      <c r="E3773">
        <v>2005</v>
      </c>
      <c r="F3773" t="s">
        <v>20</v>
      </c>
      <c r="G3773" t="s">
        <v>19</v>
      </c>
      <c r="H3773" s="2">
        <v>0</v>
      </c>
    </row>
    <row r="3774" spans="1:8">
      <c r="A3774" t="s">
        <v>100</v>
      </c>
      <c r="B3774" t="s">
        <v>101</v>
      </c>
      <c r="C3774" t="s">
        <v>10</v>
      </c>
      <c r="D3774" t="s">
        <v>11</v>
      </c>
      <c r="E3774">
        <v>2005</v>
      </c>
      <c r="F3774" t="s">
        <v>16</v>
      </c>
      <c r="G3774" t="s">
        <v>19</v>
      </c>
      <c r="H3774" s="2">
        <v>0</v>
      </c>
    </row>
    <row r="3775" spans="1:8">
      <c r="A3775" t="s">
        <v>100</v>
      </c>
      <c r="B3775" t="s">
        <v>101</v>
      </c>
      <c r="C3775" t="s">
        <v>10</v>
      </c>
      <c r="D3775" t="s">
        <v>11</v>
      </c>
      <c r="E3775">
        <v>2006</v>
      </c>
      <c r="F3775" t="s">
        <v>18</v>
      </c>
      <c r="G3775" t="s">
        <v>13</v>
      </c>
      <c r="H3775" s="2">
        <v>29674.5</v>
      </c>
    </row>
    <row r="3776" spans="1:8">
      <c r="A3776" t="s">
        <v>100</v>
      </c>
      <c r="B3776" t="s">
        <v>101</v>
      </c>
      <c r="C3776" t="s">
        <v>10</v>
      </c>
      <c r="D3776" t="s">
        <v>11</v>
      </c>
      <c r="E3776">
        <v>2006</v>
      </c>
      <c r="F3776" t="s">
        <v>18</v>
      </c>
      <c r="G3776" t="s">
        <v>19</v>
      </c>
      <c r="H3776" s="2">
        <v>1803.97</v>
      </c>
    </row>
    <row r="3777" spans="1:8">
      <c r="A3777" t="s">
        <v>100</v>
      </c>
      <c r="B3777" t="s">
        <v>101</v>
      </c>
      <c r="C3777" t="s">
        <v>10</v>
      </c>
      <c r="D3777" t="s">
        <v>11</v>
      </c>
      <c r="E3777">
        <v>2007</v>
      </c>
      <c r="F3777" t="s">
        <v>22</v>
      </c>
      <c r="G3777" t="s">
        <v>15</v>
      </c>
      <c r="H3777" s="2">
        <v>15560.57</v>
      </c>
    </row>
    <row r="3778" spans="1:8">
      <c r="A3778" t="s">
        <v>100</v>
      </c>
      <c r="B3778" t="s">
        <v>101</v>
      </c>
      <c r="C3778" t="s">
        <v>10</v>
      </c>
      <c r="D3778" t="s">
        <v>11</v>
      </c>
      <c r="E3778">
        <v>2007</v>
      </c>
      <c r="F3778" t="s">
        <v>12</v>
      </c>
      <c r="G3778" t="s">
        <v>13</v>
      </c>
      <c r="H3778" s="2">
        <v>14881.32</v>
      </c>
    </row>
    <row r="3779" spans="1:8">
      <c r="A3779" t="s">
        <v>100</v>
      </c>
      <c r="B3779" t="s">
        <v>101</v>
      </c>
      <c r="C3779" t="s">
        <v>10</v>
      </c>
      <c r="D3779" t="s">
        <v>11</v>
      </c>
      <c r="E3779">
        <v>2007</v>
      </c>
      <c r="F3779" t="s">
        <v>18</v>
      </c>
      <c r="G3779" t="s">
        <v>19</v>
      </c>
      <c r="H3779" s="2">
        <v>1829.58</v>
      </c>
    </row>
    <row r="3780" spans="1:8">
      <c r="A3780" t="s">
        <v>100</v>
      </c>
      <c r="B3780" t="s">
        <v>101</v>
      </c>
      <c r="C3780" t="s">
        <v>10</v>
      </c>
      <c r="D3780" t="s">
        <v>11</v>
      </c>
      <c r="E3780">
        <v>2008</v>
      </c>
      <c r="F3780" t="s">
        <v>20</v>
      </c>
      <c r="G3780" t="s">
        <v>17</v>
      </c>
      <c r="H3780" s="2">
        <v>430.95</v>
      </c>
    </row>
    <row r="3781" spans="1:8">
      <c r="A3781" t="s">
        <v>100</v>
      </c>
      <c r="B3781" t="s">
        <v>101</v>
      </c>
      <c r="C3781" t="s">
        <v>10</v>
      </c>
      <c r="D3781" t="s">
        <v>11</v>
      </c>
      <c r="E3781">
        <v>2008</v>
      </c>
      <c r="F3781" t="s">
        <v>14</v>
      </c>
      <c r="G3781" t="s">
        <v>15</v>
      </c>
      <c r="H3781" s="2">
        <v>8254.2900000000009</v>
      </c>
    </row>
    <row r="3782" spans="1:8">
      <c r="A3782" t="s">
        <v>100</v>
      </c>
      <c r="B3782" t="s">
        <v>101</v>
      </c>
      <c r="C3782" t="s">
        <v>10</v>
      </c>
      <c r="D3782" t="s">
        <v>11</v>
      </c>
      <c r="E3782">
        <v>2008</v>
      </c>
      <c r="F3782" t="s">
        <v>16</v>
      </c>
      <c r="G3782" t="s">
        <v>13</v>
      </c>
      <c r="H3782" s="2">
        <v>47664.98</v>
      </c>
    </row>
    <row r="3783" spans="1:8">
      <c r="A3783" t="s">
        <v>100</v>
      </c>
      <c r="B3783" t="s">
        <v>101</v>
      </c>
      <c r="C3783" t="s">
        <v>10</v>
      </c>
      <c r="D3783" t="s">
        <v>11</v>
      </c>
      <c r="E3783">
        <v>2009</v>
      </c>
      <c r="F3783" t="s">
        <v>14</v>
      </c>
      <c r="G3783" t="s">
        <v>15</v>
      </c>
      <c r="H3783" s="2">
        <v>6997.78</v>
      </c>
    </row>
    <row r="3784" spans="1:8">
      <c r="A3784" t="s">
        <v>100</v>
      </c>
      <c r="B3784" t="s">
        <v>101</v>
      </c>
      <c r="C3784" t="s">
        <v>10</v>
      </c>
      <c r="D3784" t="s">
        <v>11</v>
      </c>
      <c r="E3784">
        <v>2009</v>
      </c>
      <c r="F3784" t="s">
        <v>21</v>
      </c>
      <c r="G3784" t="s">
        <v>13</v>
      </c>
      <c r="H3784" s="2">
        <v>151863.97</v>
      </c>
    </row>
    <row r="3785" spans="1:8">
      <c r="A3785" t="s">
        <v>100</v>
      </c>
      <c r="B3785" t="s">
        <v>101</v>
      </c>
      <c r="C3785" t="s">
        <v>10</v>
      </c>
      <c r="D3785" t="s">
        <v>11</v>
      </c>
      <c r="E3785">
        <v>2009</v>
      </c>
      <c r="F3785" t="s">
        <v>16</v>
      </c>
      <c r="G3785" t="s">
        <v>15</v>
      </c>
      <c r="H3785" s="2">
        <v>280204.84000000003</v>
      </c>
    </row>
    <row r="3786" spans="1:8">
      <c r="A3786" t="s">
        <v>100</v>
      </c>
      <c r="B3786" t="s">
        <v>101</v>
      </c>
      <c r="C3786" t="s">
        <v>10</v>
      </c>
      <c r="D3786" t="s">
        <v>11</v>
      </c>
      <c r="E3786">
        <v>2009</v>
      </c>
      <c r="F3786" t="s">
        <v>16</v>
      </c>
      <c r="G3786" t="s">
        <v>13</v>
      </c>
      <c r="H3786" s="2">
        <v>47147.55</v>
      </c>
    </row>
    <row r="3787" spans="1:8">
      <c r="A3787" t="s">
        <v>100</v>
      </c>
      <c r="B3787" t="s">
        <v>101</v>
      </c>
      <c r="C3787" t="s">
        <v>10</v>
      </c>
      <c r="D3787" t="s">
        <v>11</v>
      </c>
      <c r="E3787">
        <v>2009</v>
      </c>
      <c r="F3787" t="s">
        <v>16</v>
      </c>
      <c r="G3787" t="s">
        <v>19</v>
      </c>
      <c r="H3787" s="2">
        <v>0</v>
      </c>
    </row>
    <row r="3788" spans="1:8">
      <c r="A3788" t="s">
        <v>100</v>
      </c>
      <c r="B3788" t="s">
        <v>101</v>
      </c>
      <c r="C3788" t="s">
        <v>10</v>
      </c>
      <c r="D3788" t="s">
        <v>11</v>
      </c>
      <c r="E3788">
        <v>2010</v>
      </c>
      <c r="F3788" t="s">
        <v>20</v>
      </c>
      <c r="G3788" t="s">
        <v>15</v>
      </c>
      <c r="H3788" s="2">
        <v>396.18</v>
      </c>
    </row>
    <row r="3789" spans="1:8">
      <c r="A3789" t="s">
        <v>100</v>
      </c>
      <c r="B3789" t="s">
        <v>101</v>
      </c>
      <c r="C3789" t="s">
        <v>10</v>
      </c>
      <c r="D3789" t="s">
        <v>11</v>
      </c>
      <c r="E3789">
        <v>2010</v>
      </c>
      <c r="F3789" t="s">
        <v>14</v>
      </c>
      <c r="G3789" t="s">
        <v>13</v>
      </c>
      <c r="H3789" s="2">
        <v>271358.40000000002</v>
      </c>
    </row>
    <row r="3790" spans="1:8">
      <c r="A3790" t="s">
        <v>100</v>
      </c>
      <c r="B3790" t="s">
        <v>101</v>
      </c>
      <c r="C3790" t="s">
        <v>10</v>
      </c>
      <c r="D3790" t="s">
        <v>11</v>
      </c>
      <c r="E3790">
        <v>2011</v>
      </c>
      <c r="F3790" t="s">
        <v>22</v>
      </c>
      <c r="G3790" t="s">
        <v>13</v>
      </c>
      <c r="H3790" s="2">
        <v>2346.59</v>
      </c>
    </row>
    <row r="3791" spans="1:8">
      <c r="A3791" t="s">
        <v>100</v>
      </c>
      <c r="B3791" t="s">
        <v>101</v>
      </c>
      <c r="C3791" t="s">
        <v>10</v>
      </c>
      <c r="D3791" t="s">
        <v>11</v>
      </c>
      <c r="E3791">
        <v>2011</v>
      </c>
      <c r="F3791" t="s">
        <v>22</v>
      </c>
      <c r="G3791" t="s">
        <v>19</v>
      </c>
      <c r="H3791" s="2">
        <v>0</v>
      </c>
    </row>
    <row r="3792" spans="1:8">
      <c r="A3792" t="s">
        <v>100</v>
      </c>
      <c r="B3792" t="s">
        <v>101</v>
      </c>
      <c r="C3792" t="s">
        <v>10</v>
      </c>
      <c r="D3792" t="s">
        <v>11</v>
      </c>
      <c r="E3792">
        <v>2011</v>
      </c>
      <c r="F3792" t="s">
        <v>21</v>
      </c>
      <c r="G3792" t="s">
        <v>15</v>
      </c>
      <c r="H3792" s="2">
        <v>3274.57</v>
      </c>
    </row>
    <row r="3793" spans="1:8">
      <c r="A3793" t="s">
        <v>100</v>
      </c>
      <c r="B3793" t="s">
        <v>101</v>
      </c>
      <c r="C3793" t="s">
        <v>10</v>
      </c>
      <c r="D3793" t="s">
        <v>11</v>
      </c>
      <c r="E3793">
        <v>2011</v>
      </c>
      <c r="F3793" t="s">
        <v>21</v>
      </c>
      <c r="G3793" t="s">
        <v>13</v>
      </c>
      <c r="H3793" s="2">
        <v>159003.78</v>
      </c>
    </row>
    <row r="3794" spans="1:8">
      <c r="A3794" t="s">
        <v>100</v>
      </c>
      <c r="B3794" t="s">
        <v>101</v>
      </c>
      <c r="C3794" t="s">
        <v>10</v>
      </c>
      <c r="D3794" t="s">
        <v>11</v>
      </c>
      <c r="E3794">
        <v>2011</v>
      </c>
      <c r="F3794" t="s">
        <v>16</v>
      </c>
      <c r="G3794" t="s">
        <v>17</v>
      </c>
      <c r="H3794" s="2">
        <v>19068.86</v>
      </c>
    </row>
    <row r="3795" spans="1:8">
      <c r="A3795" t="s">
        <v>100</v>
      </c>
      <c r="B3795" t="s">
        <v>101</v>
      </c>
      <c r="C3795" t="s">
        <v>10</v>
      </c>
      <c r="D3795" t="s">
        <v>11</v>
      </c>
      <c r="E3795">
        <v>2012</v>
      </c>
      <c r="F3795" t="s">
        <v>18</v>
      </c>
      <c r="G3795" t="s">
        <v>19</v>
      </c>
      <c r="H3795" s="2">
        <v>1661.75</v>
      </c>
    </row>
    <row r="3796" spans="1:8">
      <c r="A3796" t="s">
        <v>100</v>
      </c>
      <c r="B3796" t="s">
        <v>101</v>
      </c>
      <c r="C3796" t="s">
        <v>10</v>
      </c>
      <c r="D3796" t="s">
        <v>11</v>
      </c>
      <c r="E3796">
        <v>2012</v>
      </c>
      <c r="F3796" t="s">
        <v>14</v>
      </c>
      <c r="G3796" t="s">
        <v>15</v>
      </c>
      <c r="H3796" s="2">
        <v>7430.75</v>
      </c>
    </row>
    <row r="3797" spans="1:8">
      <c r="A3797" t="s">
        <v>100</v>
      </c>
      <c r="B3797" t="s">
        <v>101</v>
      </c>
      <c r="C3797" t="s">
        <v>10</v>
      </c>
      <c r="D3797" t="s">
        <v>11</v>
      </c>
      <c r="E3797">
        <v>2013</v>
      </c>
      <c r="F3797" t="s">
        <v>16</v>
      </c>
      <c r="G3797" t="s">
        <v>13</v>
      </c>
      <c r="H3797" s="2">
        <v>55494.400000000001</v>
      </c>
    </row>
    <row r="3798" spans="1:8">
      <c r="A3798" t="s">
        <v>100</v>
      </c>
      <c r="B3798" t="s">
        <v>101</v>
      </c>
      <c r="C3798" t="s">
        <v>10</v>
      </c>
      <c r="D3798" t="s">
        <v>11</v>
      </c>
      <c r="E3798">
        <v>2015</v>
      </c>
      <c r="F3798" t="s">
        <v>22</v>
      </c>
      <c r="G3798" t="s">
        <v>13</v>
      </c>
      <c r="H3798" s="2">
        <v>2185.46</v>
      </c>
    </row>
    <row r="3799" spans="1:8">
      <c r="A3799" t="s">
        <v>100</v>
      </c>
      <c r="B3799" t="s">
        <v>101</v>
      </c>
      <c r="C3799" t="s">
        <v>10</v>
      </c>
      <c r="D3799" t="s">
        <v>11</v>
      </c>
      <c r="E3799">
        <v>2015</v>
      </c>
      <c r="F3799" t="s">
        <v>22</v>
      </c>
      <c r="G3799" t="s">
        <v>19</v>
      </c>
      <c r="H3799" s="2">
        <v>0</v>
      </c>
    </row>
    <row r="3800" spans="1:8">
      <c r="A3800" t="s">
        <v>100</v>
      </c>
      <c r="B3800" t="s">
        <v>101</v>
      </c>
      <c r="C3800" t="s">
        <v>10</v>
      </c>
      <c r="D3800" t="s">
        <v>11</v>
      </c>
      <c r="E3800">
        <v>2015</v>
      </c>
      <c r="F3800" t="s">
        <v>18</v>
      </c>
      <c r="G3800" t="s">
        <v>17</v>
      </c>
      <c r="H3800" s="2">
        <v>1837.95</v>
      </c>
    </row>
    <row r="3801" spans="1:8">
      <c r="A3801" t="s">
        <v>100</v>
      </c>
      <c r="B3801" t="s">
        <v>101</v>
      </c>
      <c r="C3801" t="s">
        <v>10</v>
      </c>
      <c r="D3801" t="s">
        <v>11</v>
      </c>
      <c r="E3801">
        <v>2016</v>
      </c>
      <c r="F3801" t="s">
        <v>12</v>
      </c>
      <c r="G3801" t="s">
        <v>19</v>
      </c>
      <c r="H3801" s="2">
        <v>0</v>
      </c>
    </row>
    <row r="3802" spans="1:8">
      <c r="A3802" t="s">
        <v>100</v>
      </c>
      <c r="B3802" t="s">
        <v>101</v>
      </c>
      <c r="C3802" t="s">
        <v>10</v>
      </c>
      <c r="D3802" t="s">
        <v>11</v>
      </c>
      <c r="E3802">
        <v>2016</v>
      </c>
      <c r="F3802" t="s">
        <v>18</v>
      </c>
      <c r="G3802" t="s">
        <v>15</v>
      </c>
      <c r="H3802" s="2">
        <v>1986.48</v>
      </c>
    </row>
    <row r="3803" spans="1:8">
      <c r="A3803" t="s">
        <v>100</v>
      </c>
      <c r="B3803" t="s">
        <v>101</v>
      </c>
      <c r="C3803" t="s">
        <v>10</v>
      </c>
      <c r="D3803" t="s">
        <v>11</v>
      </c>
      <c r="E3803">
        <v>2016</v>
      </c>
      <c r="F3803" t="s">
        <v>20</v>
      </c>
      <c r="G3803" t="s">
        <v>13</v>
      </c>
      <c r="H3803" s="2">
        <v>41770.54</v>
      </c>
    </row>
    <row r="3804" spans="1:8">
      <c r="A3804" t="s">
        <v>100</v>
      </c>
      <c r="B3804" t="s">
        <v>101</v>
      </c>
      <c r="C3804" t="s">
        <v>10</v>
      </c>
      <c r="D3804" t="s">
        <v>11</v>
      </c>
      <c r="E3804">
        <v>2016</v>
      </c>
      <c r="F3804" t="s">
        <v>14</v>
      </c>
      <c r="G3804" t="s">
        <v>13</v>
      </c>
      <c r="H3804" s="2">
        <v>231653.79</v>
      </c>
    </row>
    <row r="3805" spans="1:8">
      <c r="A3805" t="s">
        <v>100</v>
      </c>
      <c r="B3805" t="s">
        <v>101</v>
      </c>
      <c r="C3805" t="s">
        <v>10</v>
      </c>
      <c r="D3805" t="s">
        <v>11</v>
      </c>
      <c r="E3805">
        <v>2016</v>
      </c>
      <c r="F3805" t="s">
        <v>21</v>
      </c>
      <c r="G3805" t="s">
        <v>13</v>
      </c>
      <c r="H3805" s="2">
        <v>165131.82999999999</v>
      </c>
    </row>
    <row r="3806" spans="1:8">
      <c r="A3806" t="s">
        <v>100</v>
      </c>
      <c r="B3806" t="s">
        <v>101</v>
      </c>
      <c r="C3806" t="s">
        <v>10</v>
      </c>
      <c r="D3806" t="s">
        <v>11</v>
      </c>
      <c r="E3806">
        <v>2017</v>
      </c>
      <c r="F3806" t="s">
        <v>14</v>
      </c>
      <c r="G3806" t="s">
        <v>13</v>
      </c>
      <c r="H3806" s="2">
        <v>263002.40999999997</v>
      </c>
    </row>
    <row r="3807" spans="1:8">
      <c r="A3807" t="s">
        <v>100</v>
      </c>
      <c r="B3807" t="s">
        <v>101</v>
      </c>
      <c r="C3807" t="s">
        <v>10</v>
      </c>
      <c r="D3807" t="s">
        <v>11</v>
      </c>
      <c r="E3807">
        <v>2017</v>
      </c>
      <c r="F3807" t="s">
        <v>16</v>
      </c>
      <c r="G3807" t="s">
        <v>17</v>
      </c>
      <c r="H3807" s="2">
        <v>18299.59</v>
      </c>
    </row>
    <row r="3808" spans="1:8">
      <c r="A3808" t="s">
        <v>100</v>
      </c>
      <c r="B3808" t="s">
        <v>101</v>
      </c>
      <c r="C3808" t="s">
        <v>10</v>
      </c>
      <c r="D3808" t="s">
        <v>11</v>
      </c>
      <c r="E3808">
        <v>2018</v>
      </c>
      <c r="F3808" t="s">
        <v>12</v>
      </c>
      <c r="G3808" t="s">
        <v>13</v>
      </c>
      <c r="H3808" s="2">
        <v>16053.53</v>
      </c>
    </row>
    <row r="3809" spans="1:8">
      <c r="A3809" t="s">
        <v>100</v>
      </c>
      <c r="B3809" t="s">
        <v>101</v>
      </c>
      <c r="C3809" t="s">
        <v>10</v>
      </c>
      <c r="D3809" t="s">
        <v>11</v>
      </c>
      <c r="E3809">
        <v>2018</v>
      </c>
      <c r="F3809" t="s">
        <v>16</v>
      </c>
      <c r="G3809" t="s">
        <v>15</v>
      </c>
      <c r="H3809" s="2">
        <v>286520.01</v>
      </c>
    </row>
    <row r="3810" spans="1:8">
      <c r="A3810" t="s">
        <v>100</v>
      </c>
      <c r="B3810" t="s">
        <v>101</v>
      </c>
      <c r="C3810" t="s">
        <v>10</v>
      </c>
      <c r="D3810" t="s">
        <v>11</v>
      </c>
      <c r="E3810">
        <v>2019</v>
      </c>
      <c r="F3810" t="s">
        <v>12</v>
      </c>
      <c r="G3810" t="s">
        <v>19</v>
      </c>
      <c r="H3810" s="2">
        <v>0</v>
      </c>
    </row>
    <row r="3811" spans="1:8">
      <c r="A3811" t="s">
        <v>100</v>
      </c>
      <c r="B3811" t="s">
        <v>101</v>
      </c>
      <c r="C3811" t="s">
        <v>10</v>
      </c>
      <c r="D3811" t="s">
        <v>11</v>
      </c>
      <c r="E3811">
        <v>2019</v>
      </c>
      <c r="F3811" t="s">
        <v>20</v>
      </c>
      <c r="G3811" t="s">
        <v>17</v>
      </c>
      <c r="H3811" s="2">
        <v>409.48</v>
      </c>
    </row>
    <row r="3812" spans="1:8">
      <c r="A3812" t="s">
        <v>100</v>
      </c>
      <c r="B3812" t="s">
        <v>101</v>
      </c>
      <c r="C3812" t="s">
        <v>10</v>
      </c>
      <c r="D3812" t="s">
        <v>11</v>
      </c>
      <c r="E3812">
        <v>2019</v>
      </c>
      <c r="F3812" t="s">
        <v>14</v>
      </c>
      <c r="G3812" t="s">
        <v>15</v>
      </c>
      <c r="H3812" s="2">
        <v>8470.17</v>
      </c>
    </row>
    <row r="3813" spans="1:8">
      <c r="A3813" t="s">
        <v>100</v>
      </c>
      <c r="B3813" t="s">
        <v>101</v>
      </c>
      <c r="C3813" t="s">
        <v>10</v>
      </c>
      <c r="D3813" t="s">
        <v>11</v>
      </c>
      <c r="E3813">
        <v>2019</v>
      </c>
      <c r="F3813" t="s">
        <v>21</v>
      </c>
      <c r="G3813" t="s">
        <v>19</v>
      </c>
      <c r="H3813" s="2">
        <v>0</v>
      </c>
    </row>
    <row r="3814" spans="1:8">
      <c r="A3814" t="s">
        <v>100</v>
      </c>
      <c r="B3814" t="s">
        <v>101</v>
      </c>
      <c r="C3814" t="s">
        <v>10</v>
      </c>
      <c r="D3814" t="s">
        <v>11</v>
      </c>
      <c r="E3814">
        <v>2019</v>
      </c>
      <c r="F3814" t="s">
        <v>16</v>
      </c>
      <c r="G3814" t="s">
        <v>19</v>
      </c>
      <c r="H3814" s="2">
        <v>0</v>
      </c>
    </row>
    <row r="3815" spans="1:8">
      <c r="A3815" t="s">
        <v>100</v>
      </c>
      <c r="B3815" t="s">
        <v>101</v>
      </c>
      <c r="C3815" t="s">
        <v>10</v>
      </c>
      <c r="D3815" t="s">
        <v>11</v>
      </c>
      <c r="E3815">
        <v>2020</v>
      </c>
      <c r="F3815" t="s">
        <v>18</v>
      </c>
      <c r="G3815" t="s">
        <v>19</v>
      </c>
      <c r="H3815" s="2">
        <v>1959.62</v>
      </c>
    </row>
    <row r="3816" spans="1:8">
      <c r="A3816" t="s">
        <v>100</v>
      </c>
      <c r="B3816" t="s">
        <v>101</v>
      </c>
      <c r="C3816" t="s">
        <v>10</v>
      </c>
      <c r="D3816" t="s">
        <v>11</v>
      </c>
      <c r="E3816">
        <v>2020</v>
      </c>
      <c r="F3816" t="s">
        <v>21</v>
      </c>
      <c r="G3816" t="s">
        <v>19</v>
      </c>
      <c r="H3816" s="2">
        <v>0</v>
      </c>
    </row>
    <row r="3817" spans="1:8">
      <c r="A3817" t="s">
        <v>100</v>
      </c>
      <c r="B3817" t="s">
        <v>101</v>
      </c>
      <c r="C3817" t="s">
        <v>10</v>
      </c>
      <c r="D3817" t="s">
        <v>11</v>
      </c>
      <c r="E3817">
        <v>2021</v>
      </c>
      <c r="F3817" t="s">
        <v>22</v>
      </c>
      <c r="G3817" t="s">
        <v>13</v>
      </c>
      <c r="H3817" s="2">
        <v>2592.65</v>
      </c>
    </row>
    <row r="3818" spans="1:8">
      <c r="A3818" t="s">
        <v>100</v>
      </c>
      <c r="B3818" t="s">
        <v>101</v>
      </c>
      <c r="C3818" t="s">
        <v>10</v>
      </c>
      <c r="D3818" t="s">
        <v>11</v>
      </c>
      <c r="E3818">
        <v>2021</v>
      </c>
      <c r="F3818" t="s">
        <v>20</v>
      </c>
      <c r="G3818" t="s">
        <v>19</v>
      </c>
      <c r="H3818" s="2">
        <v>0</v>
      </c>
    </row>
    <row r="3819" spans="1:8">
      <c r="A3819" t="s">
        <v>100</v>
      </c>
      <c r="B3819" t="s">
        <v>101</v>
      </c>
      <c r="C3819" t="s">
        <v>10</v>
      </c>
      <c r="D3819" t="s">
        <v>11</v>
      </c>
      <c r="E3819">
        <v>2021</v>
      </c>
      <c r="F3819" t="s">
        <v>21</v>
      </c>
      <c r="G3819" t="s">
        <v>19</v>
      </c>
      <c r="H3819" s="2">
        <v>0</v>
      </c>
    </row>
    <row r="3820" spans="1:8">
      <c r="A3820" t="s">
        <v>100</v>
      </c>
      <c r="B3820" t="s">
        <v>101</v>
      </c>
      <c r="C3820" t="s">
        <v>10</v>
      </c>
      <c r="D3820" t="s">
        <v>11</v>
      </c>
      <c r="E3820">
        <v>2021</v>
      </c>
      <c r="F3820" t="s">
        <v>16</v>
      </c>
      <c r="G3820" t="s">
        <v>13</v>
      </c>
      <c r="H3820" s="2">
        <v>55873.96</v>
      </c>
    </row>
    <row r="3821" spans="1:8">
      <c r="A3821" t="s">
        <v>100</v>
      </c>
      <c r="B3821" t="s">
        <v>101</v>
      </c>
      <c r="C3821" t="s">
        <v>10</v>
      </c>
      <c r="D3821" t="s">
        <v>11</v>
      </c>
      <c r="E3821">
        <v>2022</v>
      </c>
      <c r="F3821" t="s">
        <v>18</v>
      </c>
      <c r="G3821" t="s">
        <v>13</v>
      </c>
      <c r="H3821" s="2">
        <v>32868.480000000003</v>
      </c>
    </row>
    <row r="3822" spans="1:8">
      <c r="A3822" t="s">
        <v>100</v>
      </c>
      <c r="B3822" t="s">
        <v>101</v>
      </c>
      <c r="C3822" t="s">
        <v>10</v>
      </c>
      <c r="D3822" t="s">
        <v>11</v>
      </c>
      <c r="E3822">
        <v>2022</v>
      </c>
      <c r="F3822" t="s">
        <v>14</v>
      </c>
      <c r="G3822" t="s">
        <v>13</v>
      </c>
      <c r="H3822" s="2">
        <v>287813.09999999998</v>
      </c>
    </row>
    <row r="3823" spans="1:8">
      <c r="A3823" t="s">
        <v>100</v>
      </c>
      <c r="B3823" t="s">
        <v>101</v>
      </c>
      <c r="C3823" t="s">
        <v>10</v>
      </c>
      <c r="D3823" t="s">
        <v>11</v>
      </c>
      <c r="E3823">
        <v>2022</v>
      </c>
      <c r="F3823" t="s">
        <v>14</v>
      </c>
      <c r="G3823" t="s">
        <v>17</v>
      </c>
      <c r="H3823" s="2">
        <v>5662.07</v>
      </c>
    </row>
    <row r="3824" spans="1:8">
      <c r="A3824" t="s">
        <v>100</v>
      </c>
      <c r="B3824" t="s">
        <v>101</v>
      </c>
      <c r="C3824" t="s">
        <v>10</v>
      </c>
      <c r="D3824" t="s">
        <v>11</v>
      </c>
      <c r="E3824">
        <v>2022</v>
      </c>
      <c r="F3824" t="s">
        <v>21</v>
      </c>
      <c r="G3824" t="s">
        <v>13</v>
      </c>
      <c r="H3824" s="2">
        <v>180062.78</v>
      </c>
    </row>
    <row r="3825" spans="1:8">
      <c r="A3825" t="s">
        <v>100</v>
      </c>
      <c r="B3825" t="s">
        <v>101</v>
      </c>
      <c r="C3825" t="s">
        <v>10</v>
      </c>
      <c r="D3825" t="s">
        <v>11</v>
      </c>
      <c r="E3825">
        <v>2023</v>
      </c>
      <c r="F3825" t="s">
        <v>22</v>
      </c>
      <c r="G3825" t="s">
        <v>19</v>
      </c>
      <c r="H3825" s="2">
        <v>0</v>
      </c>
    </row>
    <row r="3826" spans="1:8">
      <c r="A3826" t="s">
        <v>100</v>
      </c>
      <c r="B3826" t="s">
        <v>101</v>
      </c>
      <c r="C3826" t="s">
        <v>10</v>
      </c>
      <c r="D3826" t="s">
        <v>11</v>
      </c>
      <c r="E3826">
        <v>2023</v>
      </c>
      <c r="F3826" t="s">
        <v>18</v>
      </c>
      <c r="G3826" t="s">
        <v>15</v>
      </c>
      <c r="H3826" s="2">
        <v>2046.27</v>
      </c>
    </row>
    <row r="3827" spans="1:8">
      <c r="A3827" t="s">
        <v>100</v>
      </c>
      <c r="B3827" t="s">
        <v>101</v>
      </c>
      <c r="C3827" t="s">
        <v>10</v>
      </c>
      <c r="D3827" t="s">
        <v>11</v>
      </c>
      <c r="E3827">
        <v>2023</v>
      </c>
      <c r="F3827" t="s">
        <v>18</v>
      </c>
      <c r="G3827" t="s">
        <v>17</v>
      </c>
      <c r="H3827" s="2">
        <v>2021.72</v>
      </c>
    </row>
    <row r="3828" spans="1:8">
      <c r="A3828" t="s">
        <v>100</v>
      </c>
      <c r="B3828" t="s">
        <v>101</v>
      </c>
      <c r="C3828" t="s">
        <v>10</v>
      </c>
      <c r="D3828" t="s">
        <v>11</v>
      </c>
      <c r="E3828">
        <v>2023</v>
      </c>
      <c r="F3828" t="s">
        <v>16</v>
      </c>
      <c r="G3828" t="s">
        <v>13</v>
      </c>
      <c r="H3828" s="2">
        <v>55587.11</v>
      </c>
    </row>
    <row r="3829" spans="1:8">
      <c r="A3829" t="s">
        <v>100</v>
      </c>
      <c r="B3829" t="s">
        <v>101</v>
      </c>
      <c r="C3829" t="s">
        <v>10</v>
      </c>
      <c r="D3829" t="s">
        <v>11</v>
      </c>
      <c r="E3829">
        <v>2024</v>
      </c>
      <c r="F3829" t="s">
        <v>12</v>
      </c>
      <c r="G3829" t="s">
        <v>13</v>
      </c>
      <c r="H3829" s="2">
        <v>15138.39</v>
      </c>
    </row>
    <row r="3830" spans="1:8">
      <c r="A3830" t="s">
        <v>100</v>
      </c>
      <c r="B3830" t="s">
        <v>101</v>
      </c>
      <c r="C3830" t="s">
        <v>10</v>
      </c>
      <c r="D3830" t="s">
        <v>11</v>
      </c>
      <c r="E3830">
        <v>2024</v>
      </c>
      <c r="F3830" t="s">
        <v>12</v>
      </c>
      <c r="G3830" t="s">
        <v>17</v>
      </c>
      <c r="H3830" s="2">
        <v>490.9</v>
      </c>
    </row>
    <row r="3831" spans="1:8">
      <c r="A3831" t="s">
        <v>100</v>
      </c>
      <c r="B3831" t="s">
        <v>101</v>
      </c>
      <c r="C3831" t="s">
        <v>10</v>
      </c>
      <c r="D3831" t="s">
        <v>11</v>
      </c>
      <c r="E3831">
        <v>2024</v>
      </c>
      <c r="F3831" t="s">
        <v>14</v>
      </c>
      <c r="G3831" t="s">
        <v>13</v>
      </c>
      <c r="H3831" s="2">
        <v>245333.53</v>
      </c>
    </row>
    <row r="3832" spans="1:8">
      <c r="A3832" t="s">
        <v>100</v>
      </c>
      <c r="B3832" t="s">
        <v>101</v>
      </c>
      <c r="C3832" t="s">
        <v>10</v>
      </c>
      <c r="D3832" t="s">
        <v>11</v>
      </c>
      <c r="E3832">
        <v>2024</v>
      </c>
      <c r="F3832" t="s">
        <v>16</v>
      </c>
      <c r="G3832" t="s">
        <v>19</v>
      </c>
      <c r="H3832" s="2">
        <v>0</v>
      </c>
    </row>
    <row r="3833" spans="1:8">
      <c r="A3833" t="s">
        <v>102</v>
      </c>
      <c r="B3833" t="s">
        <v>103</v>
      </c>
      <c r="C3833" t="s">
        <v>32</v>
      </c>
      <c r="D3833" t="s">
        <v>29</v>
      </c>
      <c r="E3833">
        <v>1990</v>
      </c>
      <c r="F3833" t="s">
        <v>20</v>
      </c>
      <c r="G3833" t="s">
        <v>13</v>
      </c>
      <c r="H3833" s="2">
        <v>-58658.27</v>
      </c>
    </row>
    <row r="3834" spans="1:8">
      <c r="A3834" t="s">
        <v>102</v>
      </c>
      <c r="B3834" t="s">
        <v>103</v>
      </c>
      <c r="C3834" t="s">
        <v>32</v>
      </c>
      <c r="D3834" t="s">
        <v>29</v>
      </c>
      <c r="E3834">
        <v>1990</v>
      </c>
      <c r="F3834" t="s">
        <v>20</v>
      </c>
      <c r="G3834" t="s">
        <v>17</v>
      </c>
      <c r="H3834" s="2">
        <v>-610.01</v>
      </c>
    </row>
    <row r="3835" spans="1:8">
      <c r="A3835" t="s">
        <v>102</v>
      </c>
      <c r="B3835" t="s">
        <v>103</v>
      </c>
      <c r="C3835" t="s">
        <v>32</v>
      </c>
      <c r="D3835" t="s">
        <v>29</v>
      </c>
      <c r="E3835">
        <v>1991</v>
      </c>
      <c r="F3835" t="s">
        <v>22</v>
      </c>
      <c r="G3835" t="s">
        <v>15</v>
      </c>
      <c r="H3835" s="2">
        <v>109316.17</v>
      </c>
    </row>
    <row r="3836" spans="1:8">
      <c r="A3836" t="s">
        <v>102</v>
      </c>
      <c r="B3836" t="s">
        <v>103</v>
      </c>
      <c r="C3836" t="s">
        <v>32</v>
      </c>
      <c r="D3836" t="s">
        <v>29</v>
      </c>
      <c r="E3836">
        <v>1991</v>
      </c>
      <c r="F3836" t="s">
        <v>21</v>
      </c>
      <c r="G3836" t="s">
        <v>19</v>
      </c>
      <c r="H3836" s="2">
        <v>0</v>
      </c>
    </row>
    <row r="3837" spans="1:8">
      <c r="A3837" t="s">
        <v>102</v>
      </c>
      <c r="B3837" t="s">
        <v>103</v>
      </c>
      <c r="C3837" t="s">
        <v>32</v>
      </c>
      <c r="D3837" t="s">
        <v>29</v>
      </c>
      <c r="E3837">
        <v>1992</v>
      </c>
      <c r="F3837" t="s">
        <v>20</v>
      </c>
      <c r="G3837" t="s">
        <v>15</v>
      </c>
      <c r="H3837" s="2">
        <v>-556.89</v>
      </c>
    </row>
    <row r="3838" spans="1:8">
      <c r="A3838" t="s">
        <v>102</v>
      </c>
      <c r="B3838" t="s">
        <v>103</v>
      </c>
      <c r="C3838" t="s">
        <v>32</v>
      </c>
      <c r="D3838" t="s">
        <v>29</v>
      </c>
      <c r="E3838">
        <v>1992</v>
      </c>
      <c r="F3838" t="s">
        <v>20</v>
      </c>
      <c r="G3838" t="s">
        <v>17</v>
      </c>
      <c r="H3838" s="2">
        <v>-627.29999999999995</v>
      </c>
    </row>
    <row r="3839" spans="1:8">
      <c r="A3839" t="s">
        <v>102</v>
      </c>
      <c r="B3839" t="s">
        <v>103</v>
      </c>
      <c r="C3839" t="s">
        <v>32</v>
      </c>
      <c r="D3839" t="s">
        <v>29</v>
      </c>
      <c r="E3839">
        <v>1993</v>
      </c>
      <c r="F3839" t="s">
        <v>12</v>
      </c>
      <c r="G3839" t="s">
        <v>19</v>
      </c>
      <c r="H3839" s="2">
        <v>0</v>
      </c>
    </row>
    <row r="3840" spans="1:8">
      <c r="A3840" t="s">
        <v>102</v>
      </c>
      <c r="B3840" t="s">
        <v>103</v>
      </c>
      <c r="C3840" t="s">
        <v>32</v>
      </c>
      <c r="D3840" t="s">
        <v>29</v>
      </c>
      <c r="E3840">
        <v>1993</v>
      </c>
      <c r="F3840" t="s">
        <v>14</v>
      </c>
      <c r="G3840" t="s">
        <v>17</v>
      </c>
      <c r="H3840" s="2">
        <v>4040.41</v>
      </c>
    </row>
    <row r="3841" spans="1:8">
      <c r="A3841" t="s">
        <v>102</v>
      </c>
      <c r="B3841" t="s">
        <v>103</v>
      </c>
      <c r="C3841" t="s">
        <v>32</v>
      </c>
      <c r="D3841" t="s">
        <v>29</v>
      </c>
      <c r="E3841">
        <v>1993</v>
      </c>
      <c r="F3841" t="s">
        <v>16</v>
      </c>
      <c r="G3841" t="s">
        <v>17</v>
      </c>
      <c r="H3841" s="2">
        <v>62.14</v>
      </c>
    </row>
    <row r="3842" spans="1:8">
      <c r="A3842" t="s">
        <v>102</v>
      </c>
      <c r="B3842" t="s">
        <v>103</v>
      </c>
      <c r="C3842" t="s">
        <v>32</v>
      </c>
      <c r="D3842" t="s">
        <v>29</v>
      </c>
      <c r="E3842">
        <v>1994</v>
      </c>
      <c r="F3842" t="s">
        <v>12</v>
      </c>
      <c r="G3842" t="s">
        <v>13</v>
      </c>
      <c r="H3842" s="2">
        <v>32108.7</v>
      </c>
    </row>
    <row r="3843" spans="1:8">
      <c r="A3843" t="s">
        <v>102</v>
      </c>
      <c r="B3843" t="s">
        <v>103</v>
      </c>
      <c r="C3843" t="s">
        <v>32</v>
      </c>
      <c r="D3843" t="s">
        <v>29</v>
      </c>
      <c r="E3843">
        <v>1994</v>
      </c>
      <c r="F3843" t="s">
        <v>16</v>
      </c>
      <c r="G3843" t="s">
        <v>15</v>
      </c>
      <c r="H3843" s="2">
        <v>1010.78</v>
      </c>
    </row>
    <row r="3844" spans="1:8">
      <c r="A3844" t="s">
        <v>102</v>
      </c>
      <c r="B3844" t="s">
        <v>103</v>
      </c>
      <c r="C3844" t="s">
        <v>32</v>
      </c>
      <c r="D3844" t="s">
        <v>29</v>
      </c>
      <c r="E3844">
        <v>1995</v>
      </c>
      <c r="F3844" t="s">
        <v>18</v>
      </c>
      <c r="G3844" t="s">
        <v>17</v>
      </c>
      <c r="H3844" s="2">
        <v>639.28</v>
      </c>
    </row>
    <row r="3845" spans="1:8">
      <c r="A3845" t="s">
        <v>102</v>
      </c>
      <c r="B3845" t="s">
        <v>103</v>
      </c>
      <c r="C3845" t="s">
        <v>32</v>
      </c>
      <c r="D3845" t="s">
        <v>29</v>
      </c>
      <c r="E3845">
        <v>1995</v>
      </c>
      <c r="F3845" t="s">
        <v>16</v>
      </c>
      <c r="G3845" t="s">
        <v>15</v>
      </c>
      <c r="H3845" s="2">
        <v>1071.22</v>
      </c>
    </row>
    <row r="3846" spans="1:8">
      <c r="A3846" t="s">
        <v>102</v>
      </c>
      <c r="B3846" t="s">
        <v>103</v>
      </c>
      <c r="C3846" t="s">
        <v>32</v>
      </c>
      <c r="D3846" t="s">
        <v>29</v>
      </c>
      <c r="E3846">
        <v>1996</v>
      </c>
      <c r="F3846" t="s">
        <v>18</v>
      </c>
      <c r="G3846" t="s">
        <v>15</v>
      </c>
      <c r="H3846" s="2">
        <v>638.04</v>
      </c>
    </row>
    <row r="3847" spans="1:8">
      <c r="A3847" t="s">
        <v>102</v>
      </c>
      <c r="B3847" t="s">
        <v>103</v>
      </c>
      <c r="C3847" t="s">
        <v>32</v>
      </c>
      <c r="D3847" t="s">
        <v>29</v>
      </c>
      <c r="E3847">
        <v>1997</v>
      </c>
      <c r="F3847" t="s">
        <v>22</v>
      </c>
      <c r="G3847" t="s">
        <v>17</v>
      </c>
      <c r="H3847" s="2">
        <v>30930.07</v>
      </c>
    </row>
    <row r="3848" spans="1:8">
      <c r="A3848" t="s">
        <v>102</v>
      </c>
      <c r="B3848" t="s">
        <v>103</v>
      </c>
      <c r="C3848" t="s">
        <v>32</v>
      </c>
      <c r="D3848" t="s">
        <v>29</v>
      </c>
      <c r="E3848">
        <v>1997</v>
      </c>
      <c r="F3848" t="s">
        <v>12</v>
      </c>
      <c r="G3848" t="s">
        <v>13</v>
      </c>
      <c r="H3848" s="2">
        <v>35888.19</v>
      </c>
    </row>
    <row r="3849" spans="1:8">
      <c r="A3849" t="s">
        <v>102</v>
      </c>
      <c r="B3849" t="s">
        <v>103</v>
      </c>
      <c r="C3849" t="s">
        <v>32</v>
      </c>
      <c r="D3849" t="s">
        <v>29</v>
      </c>
      <c r="E3849">
        <v>1997</v>
      </c>
      <c r="F3849" t="s">
        <v>18</v>
      </c>
      <c r="G3849" t="s">
        <v>15</v>
      </c>
      <c r="H3849" s="2">
        <v>699.42</v>
      </c>
    </row>
    <row r="3850" spans="1:8">
      <c r="A3850" t="s">
        <v>102</v>
      </c>
      <c r="B3850" t="s">
        <v>103</v>
      </c>
      <c r="C3850" t="s">
        <v>32</v>
      </c>
      <c r="D3850" t="s">
        <v>29</v>
      </c>
      <c r="E3850">
        <v>1997</v>
      </c>
      <c r="F3850" t="s">
        <v>18</v>
      </c>
      <c r="G3850" t="s">
        <v>19</v>
      </c>
      <c r="H3850" s="2">
        <v>668.06</v>
      </c>
    </row>
    <row r="3851" spans="1:8">
      <c r="A3851" t="s">
        <v>102</v>
      </c>
      <c r="B3851" t="s">
        <v>103</v>
      </c>
      <c r="C3851" t="s">
        <v>32</v>
      </c>
      <c r="D3851" t="s">
        <v>29</v>
      </c>
      <c r="E3851">
        <v>1997</v>
      </c>
      <c r="F3851" t="s">
        <v>20</v>
      </c>
      <c r="G3851" t="s">
        <v>13</v>
      </c>
      <c r="H3851" s="2">
        <v>-62567.97</v>
      </c>
    </row>
    <row r="3852" spans="1:8">
      <c r="A3852" t="s">
        <v>102</v>
      </c>
      <c r="B3852" t="s">
        <v>103</v>
      </c>
      <c r="C3852" t="s">
        <v>32</v>
      </c>
      <c r="D3852" t="s">
        <v>29</v>
      </c>
      <c r="E3852">
        <v>1997</v>
      </c>
      <c r="F3852" t="s">
        <v>21</v>
      </c>
      <c r="G3852" t="s">
        <v>17</v>
      </c>
      <c r="H3852" s="2">
        <v>1337.52</v>
      </c>
    </row>
    <row r="3853" spans="1:8">
      <c r="A3853" t="s">
        <v>102</v>
      </c>
      <c r="B3853" t="s">
        <v>103</v>
      </c>
      <c r="C3853" t="s">
        <v>32</v>
      </c>
      <c r="D3853" t="s">
        <v>29</v>
      </c>
      <c r="E3853">
        <v>1997</v>
      </c>
      <c r="F3853" t="s">
        <v>16</v>
      </c>
      <c r="G3853" t="s">
        <v>13</v>
      </c>
      <c r="H3853" s="2">
        <v>204.51</v>
      </c>
    </row>
    <row r="3854" spans="1:8">
      <c r="A3854" t="s">
        <v>102</v>
      </c>
      <c r="B3854" t="s">
        <v>103</v>
      </c>
      <c r="C3854" t="s">
        <v>32</v>
      </c>
      <c r="D3854" t="s">
        <v>29</v>
      </c>
      <c r="E3854">
        <v>1998</v>
      </c>
      <c r="F3854" t="s">
        <v>12</v>
      </c>
      <c r="G3854" t="s">
        <v>13</v>
      </c>
      <c r="H3854" s="2">
        <v>31522.54</v>
      </c>
    </row>
    <row r="3855" spans="1:8">
      <c r="A3855" t="s">
        <v>102</v>
      </c>
      <c r="B3855" t="s">
        <v>103</v>
      </c>
      <c r="C3855" t="s">
        <v>32</v>
      </c>
      <c r="D3855" t="s">
        <v>29</v>
      </c>
      <c r="E3855">
        <v>1998</v>
      </c>
      <c r="F3855" t="s">
        <v>14</v>
      </c>
      <c r="G3855" t="s">
        <v>13</v>
      </c>
      <c r="H3855" s="2">
        <v>194585.05</v>
      </c>
    </row>
    <row r="3856" spans="1:8">
      <c r="A3856" t="s">
        <v>102</v>
      </c>
      <c r="B3856" t="s">
        <v>103</v>
      </c>
      <c r="C3856" t="s">
        <v>32</v>
      </c>
      <c r="D3856" t="s">
        <v>29</v>
      </c>
      <c r="E3856">
        <v>1999</v>
      </c>
      <c r="F3856" t="s">
        <v>21</v>
      </c>
      <c r="G3856" t="s">
        <v>19</v>
      </c>
      <c r="H3856" s="2">
        <v>0</v>
      </c>
    </row>
    <row r="3857" spans="1:8">
      <c r="A3857" t="s">
        <v>102</v>
      </c>
      <c r="B3857" t="s">
        <v>103</v>
      </c>
      <c r="C3857" t="s">
        <v>32</v>
      </c>
      <c r="D3857" t="s">
        <v>29</v>
      </c>
      <c r="E3857">
        <v>1999</v>
      </c>
      <c r="F3857" t="s">
        <v>16</v>
      </c>
      <c r="G3857" t="s">
        <v>13</v>
      </c>
      <c r="H3857" s="2">
        <v>210.92</v>
      </c>
    </row>
    <row r="3858" spans="1:8">
      <c r="A3858" t="s">
        <v>102</v>
      </c>
      <c r="B3858" t="s">
        <v>103</v>
      </c>
      <c r="C3858" t="s">
        <v>32</v>
      </c>
      <c r="D3858" t="s">
        <v>29</v>
      </c>
      <c r="E3858">
        <v>2000</v>
      </c>
      <c r="F3858" t="s">
        <v>18</v>
      </c>
      <c r="G3858" t="s">
        <v>15</v>
      </c>
      <c r="H3858" s="2">
        <v>602.57000000000005</v>
      </c>
    </row>
    <row r="3859" spans="1:8">
      <c r="A3859" t="s">
        <v>102</v>
      </c>
      <c r="B3859" t="s">
        <v>103</v>
      </c>
      <c r="C3859" t="s">
        <v>32</v>
      </c>
      <c r="D3859" t="s">
        <v>29</v>
      </c>
      <c r="E3859">
        <v>2000</v>
      </c>
      <c r="F3859" t="s">
        <v>14</v>
      </c>
      <c r="G3859" t="s">
        <v>13</v>
      </c>
      <c r="H3859" s="2">
        <v>193529</v>
      </c>
    </row>
    <row r="3860" spans="1:8">
      <c r="A3860" t="s">
        <v>102</v>
      </c>
      <c r="B3860" t="s">
        <v>103</v>
      </c>
      <c r="C3860" t="s">
        <v>32</v>
      </c>
      <c r="D3860" t="s">
        <v>29</v>
      </c>
      <c r="E3860">
        <v>2001</v>
      </c>
      <c r="F3860" t="s">
        <v>21</v>
      </c>
      <c r="G3860" t="s">
        <v>17</v>
      </c>
      <c r="H3860" s="2">
        <v>1273.81</v>
      </c>
    </row>
    <row r="3861" spans="1:8">
      <c r="A3861" t="s">
        <v>102</v>
      </c>
      <c r="B3861" t="s">
        <v>103</v>
      </c>
      <c r="C3861" t="s">
        <v>32</v>
      </c>
      <c r="D3861" t="s">
        <v>29</v>
      </c>
      <c r="E3861">
        <v>2001</v>
      </c>
      <c r="F3861" t="s">
        <v>16</v>
      </c>
      <c r="G3861" t="s">
        <v>13</v>
      </c>
      <c r="H3861" s="2">
        <v>203.79</v>
      </c>
    </row>
    <row r="3862" spans="1:8">
      <c r="A3862" t="s">
        <v>102</v>
      </c>
      <c r="B3862" t="s">
        <v>103</v>
      </c>
      <c r="C3862" t="s">
        <v>32</v>
      </c>
      <c r="D3862" t="s">
        <v>29</v>
      </c>
      <c r="E3862">
        <v>2002</v>
      </c>
      <c r="F3862" t="s">
        <v>12</v>
      </c>
      <c r="G3862" t="s">
        <v>13</v>
      </c>
      <c r="H3862" s="2">
        <v>36502.35</v>
      </c>
    </row>
    <row r="3863" spans="1:8">
      <c r="A3863" t="s">
        <v>102</v>
      </c>
      <c r="B3863" t="s">
        <v>103</v>
      </c>
      <c r="C3863" t="s">
        <v>32</v>
      </c>
      <c r="D3863" t="s">
        <v>29</v>
      </c>
      <c r="E3863">
        <v>2002</v>
      </c>
      <c r="F3863" t="s">
        <v>20</v>
      </c>
      <c r="G3863" t="s">
        <v>15</v>
      </c>
      <c r="H3863" s="2">
        <v>-634.94000000000005</v>
      </c>
    </row>
    <row r="3864" spans="1:8">
      <c r="A3864" t="s">
        <v>102</v>
      </c>
      <c r="B3864" t="s">
        <v>103</v>
      </c>
      <c r="C3864" t="s">
        <v>32</v>
      </c>
      <c r="D3864" t="s">
        <v>29</v>
      </c>
      <c r="E3864">
        <v>2003</v>
      </c>
      <c r="F3864" t="s">
        <v>22</v>
      </c>
      <c r="G3864" t="s">
        <v>15</v>
      </c>
      <c r="H3864" s="2">
        <v>109618.35</v>
      </c>
    </row>
    <row r="3865" spans="1:8">
      <c r="A3865" t="s">
        <v>102</v>
      </c>
      <c r="B3865" t="s">
        <v>103</v>
      </c>
      <c r="C3865" t="s">
        <v>32</v>
      </c>
      <c r="D3865" t="s">
        <v>29</v>
      </c>
      <c r="E3865">
        <v>2003</v>
      </c>
      <c r="F3865" t="s">
        <v>18</v>
      </c>
      <c r="G3865" t="s">
        <v>19</v>
      </c>
      <c r="H3865" s="2">
        <v>662.56</v>
      </c>
    </row>
    <row r="3866" spans="1:8">
      <c r="A3866" t="s">
        <v>102</v>
      </c>
      <c r="B3866" t="s">
        <v>103</v>
      </c>
      <c r="C3866" t="s">
        <v>32</v>
      </c>
      <c r="D3866" t="s">
        <v>29</v>
      </c>
      <c r="E3866">
        <v>2004</v>
      </c>
      <c r="F3866" t="s">
        <v>20</v>
      </c>
      <c r="G3866" t="s">
        <v>13</v>
      </c>
      <c r="H3866" s="2">
        <v>-59800.22</v>
      </c>
    </row>
    <row r="3867" spans="1:8">
      <c r="A3867" t="s">
        <v>102</v>
      </c>
      <c r="B3867" t="s">
        <v>103</v>
      </c>
      <c r="C3867" t="s">
        <v>32</v>
      </c>
      <c r="D3867" t="s">
        <v>29</v>
      </c>
      <c r="E3867">
        <v>2004</v>
      </c>
      <c r="F3867" t="s">
        <v>14</v>
      </c>
      <c r="G3867" t="s">
        <v>13</v>
      </c>
      <c r="H3867" s="2">
        <v>223675.31</v>
      </c>
    </row>
    <row r="3868" spans="1:8">
      <c r="A3868" t="s">
        <v>102</v>
      </c>
      <c r="B3868" t="s">
        <v>103</v>
      </c>
      <c r="C3868" t="s">
        <v>32</v>
      </c>
      <c r="D3868" t="s">
        <v>29</v>
      </c>
      <c r="E3868">
        <v>2004</v>
      </c>
      <c r="F3868" t="s">
        <v>21</v>
      </c>
      <c r="G3868" t="s">
        <v>19</v>
      </c>
      <c r="H3868" s="2">
        <v>0</v>
      </c>
    </row>
    <row r="3869" spans="1:8">
      <c r="A3869" t="s">
        <v>102</v>
      </c>
      <c r="B3869" t="s">
        <v>103</v>
      </c>
      <c r="C3869" t="s">
        <v>32</v>
      </c>
      <c r="D3869" t="s">
        <v>29</v>
      </c>
      <c r="E3869">
        <v>2005</v>
      </c>
      <c r="F3869" t="s">
        <v>22</v>
      </c>
      <c r="G3869" t="s">
        <v>13</v>
      </c>
      <c r="H3869" s="2">
        <v>15537.87</v>
      </c>
    </row>
    <row r="3870" spans="1:8">
      <c r="A3870" t="s">
        <v>102</v>
      </c>
      <c r="B3870" t="s">
        <v>103</v>
      </c>
      <c r="C3870" t="s">
        <v>32</v>
      </c>
      <c r="D3870" t="s">
        <v>29</v>
      </c>
      <c r="E3870">
        <v>2005</v>
      </c>
      <c r="F3870" t="s">
        <v>20</v>
      </c>
      <c r="G3870" t="s">
        <v>17</v>
      </c>
      <c r="H3870" s="2">
        <v>-615.12</v>
      </c>
    </row>
    <row r="3871" spans="1:8">
      <c r="A3871" t="s">
        <v>102</v>
      </c>
      <c r="B3871" t="s">
        <v>103</v>
      </c>
      <c r="C3871" t="s">
        <v>32</v>
      </c>
      <c r="D3871" t="s">
        <v>29</v>
      </c>
      <c r="E3871">
        <v>2005</v>
      </c>
      <c r="F3871" t="s">
        <v>14</v>
      </c>
      <c r="G3871" t="s">
        <v>19</v>
      </c>
      <c r="H3871" s="2">
        <v>0</v>
      </c>
    </row>
    <row r="3872" spans="1:8">
      <c r="A3872" t="s">
        <v>102</v>
      </c>
      <c r="B3872" t="s">
        <v>103</v>
      </c>
      <c r="C3872" t="s">
        <v>32</v>
      </c>
      <c r="D3872" t="s">
        <v>29</v>
      </c>
      <c r="E3872">
        <v>2006</v>
      </c>
      <c r="F3872" t="s">
        <v>18</v>
      </c>
      <c r="G3872" t="s">
        <v>13</v>
      </c>
      <c r="H3872" s="2">
        <v>11178.11</v>
      </c>
    </row>
    <row r="3873" spans="1:8">
      <c r="A3873" t="s">
        <v>102</v>
      </c>
      <c r="B3873" t="s">
        <v>103</v>
      </c>
      <c r="C3873" t="s">
        <v>32</v>
      </c>
      <c r="D3873" t="s">
        <v>29</v>
      </c>
      <c r="E3873">
        <v>2006</v>
      </c>
      <c r="F3873" t="s">
        <v>18</v>
      </c>
      <c r="G3873" t="s">
        <v>19</v>
      </c>
      <c r="H3873" s="2">
        <v>633.91999999999996</v>
      </c>
    </row>
    <row r="3874" spans="1:8">
      <c r="A3874" t="s">
        <v>102</v>
      </c>
      <c r="B3874" t="s">
        <v>103</v>
      </c>
      <c r="C3874" t="s">
        <v>32</v>
      </c>
      <c r="D3874" t="s">
        <v>29</v>
      </c>
      <c r="E3874">
        <v>2007</v>
      </c>
      <c r="F3874" t="s">
        <v>22</v>
      </c>
      <c r="G3874" t="s">
        <v>17</v>
      </c>
      <c r="H3874" s="2">
        <v>30160.66</v>
      </c>
    </row>
    <row r="3875" spans="1:8">
      <c r="A3875" t="s">
        <v>102</v>
      </c>
      <c r="B3875" t="s">
        <v>103</v>
      </c>
      <c r="C3875" t="s">
        <v>32</v>
      </c>
      <c r="D3875" t="s">
        <v>29</v>
      </c>
      <c r="E3875">
        <v>2007</v>
      </c>
      <c r="F3875" t="s">
        <v>14</v>
      </c>
      <c r="G3875" t="s">
        <v>15</v>
      </c>
      <c r="H3875" s="2">
        <v>7093.35</v>
      </c>
    </row>
    <row r="3876" spans="1:8">
      <c r="A3876" t="s">
        <v>102</v>
      </c>
      <c r="B3876" t="s">
        <v>103</v>
      </c>
      <c r="C3876" t="s">
        <v>32</v>
      </c>
      <c r="D3876" t="s">
        <v>29</v>
      </c>
      <c r="E3876">
        <v>2008</v>
      </c>
      <c r="F3876" t="s">
        <v>22</v>
      </c>
      <c r="G3876" t="s">
        <v>15</v>
      </c>
      <c r="H3876" s="2">
        <v>96797.71</v>
      </c>
    </row>
    <row r="3877" spans="1:8">
      <c r="A3877" t="s">
        <v>102</v>
      </c>
      <c r="B3877" t="s">
        <v>103</v>
      </c>
      <c r="C3877" t="s">
        <v>32</v>
      </c>
      <c r="D3877" t="s">
        <v>29</v>
      </c>
      <c r="E3877">
        <v>2008</v>
      </c>
      <c r="F3877" t="s">
        <v>22</v>
      </c>
      <c r="G3877" t="s">
        <v>13</v>
      </c>
      <c r="H3877" s="2">
        <v>13893.06</v>
      </c>
    </row>
    <row r="3878" spans="1:8">
      <c r="A3878" t="s">
        <v>102</v>
      </c>
      <c r="B3878" t="s">
        <v>103</v>
      </c>
      <c r="C3878" t="s">
        <v>32</v>
      </c>
      <c r="D3878" t="s">
        <v>29</v>
      </c>
      <c r="E3878">
        <v>2009</v>
      </c>
      <c r="F3878" t="s">
        <v>20</v>
      </c>
      <c r="G3878" t="s">
        <v>17</v>
      </c>
      <c r="H3878" s="2">
        <v>-556.76</v>
      </c>
    </row>
    <row r="3879" spans="1:8">
      <c r="A3879" t="s">
        <v>102</v>
      </c>
      <c r="B3879" t="s">
        <v>103</v>
      </c>
      <c r="C3879" t="s">
        <v>32</v>
      </c>
      <c r="D3879" t="s">
        <v>29</v>
      </c>
      <c r="E3879">
        <v>2009</v>
      </c>
      <c r="F3879" t="s">
        <v>21</v>
      </c>
      <c r="G3879" t="s">
        <v>13</v>
      </c>
      <c r="H3879" s="2">
        <v>104194.48</v>
      </c>
    </row>
    <row r="3880" spans="1:8">
      <c r="A3880" t="s">
        <v>102</v>
      </c>
      <c r="B3880" t="s">
        <v>103</v>
      </c>
      <c r="C3880" t="s">
        <v>32</v>
      </c>
      <c r="D3880" t="s">
        <v>29</v>
      </c>
      <c r="E3880">
        <v>2009</v>
      </c>
      <c r="F3880" t="s">
        <v>16</v>
      </c>
      <c r="G3880" t="s">
        <v>15</v>
      </c>
      <c r="H3880" s="2">
        <v>1022.83</v>
      </c>
    </row>
    <row r="3881" spans="1:8">
      <c r="A3881" t="s">
        <v>102</v>
      </c>
      <c r="B3881" t="s">
        <v>103</v>
      </c>
      <c r="C3881" t="s">
        <v>32</v>
      </c>
      <c r="D3881" t="s">
        <v>29</v>
      </c>
      <c r="E3881">
        <v>2009</v>
      </c>
      <c r="F3881" t="s">
        <v>16</v>
      </c>
      <c r="G3881" t="s">
        <v>17</v>
      </c>
      <c r="H3881" s="2">
        <v>66.17</v>
      </c>
    </row>
    <row r="3882" spans="1:8">
      <c r="A3882" t="s">
        <v>102</v>
      </c>
      <c r="B3882" t="s">
        <v>103</v>
      </c>
      <c r="C3882" t="s">
        <v>32</v>
      </c>
      <c r="D3882" t="s">
        <v>29</v>
      </c>
      <c r="E3882">
        <v>2010</v>
      </c>
      <c r="F3882" t="s">
        <v>18</v>
      </c>
      <c r="G3882" t="s">
        <v>13</v>
      </c>
      <c r="H3882" s="2">
        <v>10814.98</v>
      </c>
    </row>
    <row r="3883" spans="1:8">
      <c r="A3883" t="s">
        <v>102</v>
      </c>
      <c r="B3883" t="s">
        <v>103</v>
      </c>
      <c r="C3883" t="s">
        <v>32</v>
      </c>
      <c r="D3883" t="s">
        <v>29</v>
      </c>
      <c r="E3883">
        <v>2010</v>
      </c>
      <c r="F3883" t="s">
        <v>20</v>
      </c>
      <c r="G3883" t="s">
        <v>19</v>
      </c>
      <c r="H3883" s="2">
        <v>0</v>
      </c>
    </row>
    <row r="3884" spans="1:8">
      <c r="A3884" t="s">
        <v>102</v>
      </c>
      <c r="B3884" t="s">
        <v>103</v>
      </c>
      <c r="C3884" t="s">
        <v>32</v>
      </c>
      <c r="D3884" t="s">
        <v>29</v>
      </c>
      <c r="E3884">
        <v>2011</v>
      </c>
      <c r="F3884" t="s">
        <v>12</v>
      </c>
      <c r="G3884" t="s">
        <v>17</v>
      </c>
      <c r="H3884" s="2">
        <v>1083.6500000000001</v>
      </c>
    </row>
    <row r="3885" spans="1:8">
      <c r="A3885" t="s">
        <v>102</v>
      </c>
      <c r="B3885" t="s">
        <v>103</v>
      </c>
      <c r="C3885" t="s">
        <v>32</v>
      </c>
      <c r="D3885" t="s">
        <v>29</v>
      </c>
      <c r="E3885">
        <v>2012</v>
      </c>
      <c r="F3885" t="s">
        <v>18</v>
      </c>
      <c r="G3885" t="s">
        <v>17</v>
      </c>
      <c r="H3885" s="2">
        <v>657.98</v>
      </c>
    </row>
    <row r="3886" spans="1:8">
      <c r="A3886" t="s">
        <v>102</v>
      </c>
      <c r="B3886" t="s">
        <v>103</v>
      </c>
      <c r="C3886" t="s">
        <v>32</v>
      </c>
      <c r="D3886" t="s">
        <v>29</v>
      </c>
      <c r="E3886">
        <v>2012</v>
      </c>
      <c r="F3886" t="s">
        <v>20</v>
      </c>
      <c r="G3886" t="s">
        <v>19</v>
      </c>
      <c r="H3886" s="2">
        <v>0</v>
      </c>
    </row>
    <row r="3887" spans="1:8">
      <c r="A3887" t="s">
        <v>102</v>
      </c>
      <c r="B3887" t="s">
        <v>103</v>
      </c>
      <c r="C3887" t="s">
        <v>32</v>
      </c>
      <c r="D3887" t="s">
        <v>29</v>
      </c>
      <c r="E3887">
        <v>2013</v>
      </c>
      <c r="F3887" t="s">
        <v>22</v>
      </c>
      <c r="G3887" t="s">
        <v>15</v>
      </c>
      <c r="H3887" s="2">
        <v>101659.14</v>
      </c>
    </row>
    <row r="3888" spans="1:8">
      <c r="A3888" t="s">
        <v>102</v>
      </c>
      <c r="B3888" t="s">
        <v>103</v>
      </c>
      <c r="C3888" t="s">
        <v>32</v>
      </c>
      <c r="D3888" t="s">
        <v>29</v>
      </c>
      <c r="E3888">
        <v>2013</v>
      </c>
      <c r="F3888" t="s">
        <v>16</v>
      </c>
      <c r="G3888" t="s">
        <v>15</v>
      </c>
      <c r="H3888" s="2">
        <v>922.09</v>
      </c>
    </row>
    <row r="3889" spans="1:8">
      <c r="A3889" t="s">
        <v>102</v>
      </c>
      <c r="B3889" t="s">
        <v>103</v>
      </c>
      <c r="C3889" t="s">
        <v>32</v>
      </c>
      <c r="D3889" t="s">
        <v>29</v>
      </c>
      <c r="E3889">
        <v>2014</v>
      </c>
      <c r="F3889" t="s">
        <v>22</v>
      </c>
      <c r="G3889" t="s">
        <v>17</v>
      </c>
      <c r="H3889" s="2">
        <v>30205.82</v>
      </c>
    </row>
    <row r="3890" spans="1:8">
      <c r="A3890" t="s">
        <v>102</v>
      </c>
      <c r="B3890" t="s">
        <v>103</v>
      </c>
      <c r="C3890" t="s">
        <v>32</v>
      </c>
      <c r="D3890" t="s">
        <v>29</v>
      </c>
      <c r="E3890">
        <v>2015</v>
      </c>
      <c r="F3890" t="s">
        <v>22</v>
      </c>
      <c r="G3890" t="s">
        <v>17</v>
      </c>
      <c r="H3890" s="2">
        <v>27547.55</v>
      </c>
    </row>
    <row r="3891" spans="1:8">
      <c r="A3891" t="s">
        <v>102</v>
      </c>
      <c r="B3891" t="s">
        <v>103</v>
      </c>
      <c r="C3891" t="s">
        <v>32</v>
      </c>
      <c r="D3891" t="s">
        <v>29</v>
      </c>
      <c r="E3891">
        <v>2015</v>
      </c>
      <c r="F3891" t="s">
        <v>20</v>
      </c>
      <c r="G3891" t="s">
        <v>13</v>
      </c>
      <c r="H3891" s="2">
        <v>-51406.879999999997</v>
      </c>
    </row>
    <row r="3892" spans="1:8">
      <c r="A3892" t="s">
        <v>102</v>
      </c>
      <c r="B3892" t="s">
        <v>103</v>
      </c>
      <c r="C3892" t="s">
        <v>32</v>
      </c>
      <c r="D3892" t="s">
        <v>29</v>
      </c>
      <c r="E3892">
        <v>2016</v>
      </c>
      <c r="F3892" t="s">
        <v>22</v>
      </c>
      <c r="G3892" t="s">
        <v>19</v>
      </c>
      <c r="H3892" s="2">
        <v>0</v>
      </c>
    </row>
    <row r="3893" spans="1:8">
      <c r="A3893" t="s">
        <v>102</v>
      </c>
      <c r="B3893" t="s">
        <v>103</v>
      </c>
      <c r="C3893" t="s">
        <v>32</v>
      </c>
      <c r="D3893" t="s">
        <v>29</v>
      </c>
      <c r="E3893">
        <v>2016</v>
      </c>
      <c r="F3893" t="s">
        <v>18</v>
      </c>
      <c r="G3893" t="s">
        <v>19</v>
      </c>
      <c r="H3893" s="2">
        <v>558.94000000000005</v>
      </c>
    </row>
    <row r="3894" spans="1:8">
      <c r="A3894" t="s">
        <v>102</v>
      </c>
      <c r="B3894" t="s">
        <v>103</v>
      </c>
      <c r="C3894" t="s">
        <v>32</v>
      </c>
      <c r="D3894" t="s">
        <v>29</v>
      </c>
      <c r="E3894">
        <v>2016</v>
      </c>
      <c r="F3894" t="s">
        <v>14</v>
      </c>
      <c r="G3894" t="s">
        <v>19</v>
      </c>
      <c r="H3894" s="2">
        <v>0</v>
      </c>
    </row>
    <row r="3895" spans="1:8">
      <c r="A3895" t="s">
        <v>102</v>
      </c>
      <c r="B3895" t="s">
        <v>103</v>
      </c>
      <c r="C3895" t="s">
        <v>32</v>
      </c>
      <c r="D3895" t="s">
        <v>29</v>
      </c>
      <c r="E3895">
        <v>2016</v>
      </c>
      <c r="F3895" t="s">
        <v>16</v>
      </c>
      <c r="G3895" t="s">
        <v>13</v>
      </c>
      <c r="H3895" s="2">
        <v>180.52</v>
      </c>
    </row>
    <row r="3896" spans="1:8">
      <c r="A3896" t="s">
        <v>102</v>
      </c>
      <c r="B3896" t="s">
        <v>103</v>
      </c>
      <c r="C3896" t="s">
        <v>32</v>
      </c>
      <c r="D3896" t="s">
        <v>29</v>
      </c>
      <c r="E3896">
        <v>2017</v>
      </c>
      <c r="F3896" t="s">
        <v>12</v>
      </c>
      <c r="G3896" t="s">
        <v>17</v>
      </c>
      <c r="H3896" s="2">
        <v>1041.08</v>
      </c>
    </row>
    <row r="3897" spans="1:8">
      <c r="A3897" t="s">
        <v>102</v>
      </c>
      <c r="B3897" t="s">
        <v>103</v>
      </c>
      <c r="C3897" t="s">
        <v>32</v>
      </c>
      <c r="D3897" t="s">
        <v>29</v>
      </c>
      <c r="E3897">
        <v>2017</v>
      </c>
      <c r="F3897" t="s">
        <v>18</v>
      </c>
      <c r="G3897" t="s">
        <v>13</v>
      </c>
      <c r="H3897" s="2">
        <v>10047.64</v>
      </c>
    </row>
    <row r="3898" spans="1:8">
      <c r="A3898" t="s">
        <v>102</v>
      </c>
      <c r="B3898" t="s">
        <v>103</v>
      </c>
      <c r="C3898" t="s">
        <v>32</v>
      </c>
      <c r="D3898" t="s">
        <v>29</v>
      </c>
      <c r="E3898">
        <v>2017</v>
      </c>
      <c r="F3898" t="s">
        <v>18</v>
      </c>
      <c r="G3898" t="s">
        <v>19</v>
      </c>
      <c r="H3898" s="2">
        <v>608.65</v>
      </c>
    </row>
    <row r="3899" spans="1:8">
      <c r="A3899" t="s">
        <v>102</v>
      </c>
      <c r="B3899" t="s">
        <v>103</v>
      </c>
      <c r="C3899" t="s">
        <v>32</v>
      </c>
      <c r="D3899" t="s">
        <v>29</v>
      </c>
      <c r="E3899">
        <v>2017</v>
      </c>
      <c r="F3899" t="s">
        <v>20</v>
      </c>
      <c r="G3899" t="s">
        <v>13</v>
      </c>
      <c r="H3899" s="2">
        <v>-63181.120000000003</v>
      </c>
    </row>
    <row r="3900" spans="1:8">
      <c r="A3900" t="s">
        <v>102</v>
      </c>
      <c r="B3900" t="s">
        <v>103</v>
      </c>
      <c r="C3900" t="s">
        <v>32</v>
      </c>
      <c r="D3900" t="s">
        <v>29</v>
      </c>
      <c r="E3900">
        <v>2017</v>
      </c>
      <c r="F3900" t="s">
        <v>20</v>
      </c>
      <c r="G3900" t="s">
        <v>19</v>
      </c>
      <c r="H3900" s="2">
        <v>0</v>
      </c>
    </row>
    <row r="3901" spans="1:8">
      <c r="A3901" t="s">
        <v>102</v>
      </c>
      <c r="B3901" t="s">
        <v>103</v>
      </c>
      <c r="C3901" t="s">
        <v>32</v>
      </c>
      <c r="D3901" t="s">
        <v>29</v>
      </c>
      <c r="E3901">
        <v>2017</v>
      </c>
      <c r="F3901" t="s">
        <v>14</v>
      </c>
      <c r="G3901" t="s">
        <v>13</v>
      </c>
      <c r="H3901" s="2">
        <v>200617.41</v>
      </c>
    </row>
    <row r="3902" spans="1:8">
      <c r="A3902" t="s">
        <v>102</v>
      </c>
      <c r="B3902" t="s">
        <v>103</v>
      </c>
      <c r="C3902" t="s">
        <v>32</v>
      </c>
      <c r="D3902" t="s">
        <v>29</v>
      </c>
      <c r="E3902">
        <v>2017</v>
      </c>
      <c r="F3902" t="s">
        <v>16</v>
      </c>
      <c r="G3902" t="s">
        <v>19</v>
      </c>
      <c r="H3902" s="2">
        <v>0</v>
      </c>
    </row>
    <row r="3903" spans="1:8">
      <c r="A3903" t="s">
        <v>102</v>
      </c>
      <c r="B3903" t="s">
        <v>103</v>
      </c>
      <c r="C3903" t="s">
        <v>32</v>
      </c>
      <c r="D3903" t="s">
        <v>29</v>
      </c>
      <c r="E3903">
        <v>2018</v>
      </c>
      <c r="F3903" t="s">
        <v>20</v>
      </c>
      <c r="G3903" t="s">
        <v>13</v>
      </c>
      <c r="H3903" s="2">
        <v>-55034.1</v>
      </c>
    </row>
    <row r="3904" spans="1:8">
      <c r="A3904" t="s">
        <v>102</v>
      </c>
      <c r="B3904" t="s">
        <v>103</v>
      </c>
      <c r="C3904" t="s">
        <v>32</v>
      </c>
      <c r="D3904" t="s">
        <v>29</v>
      </c>
      <c r="E3904">
        <v>2018</v>
      </c>
      <c r="F3904" t="s">
        <v>16</v>
      </c>
      <c r="G3904" t="s">
        <v>13</v>
      </c>
      <c r="H3904" s="2">
        <v>188.75</v>
      </c>
    </row>
    <row r="3905" spans="1:8">
      <c r="A3905" t="s">
        <v>102</v>
      </c>
      <c r="B3905" t="s">
        <v>103</v>
      </c>
      <c r="C3905" t="s">
        <v>32</v>
      </c>
      <c r="D3905" t="s">
        <v>29</v>
      </c>
      <c r="E3905">
        <v>2019</v>
      </c>
      <c r="F3905" t="s">
        <v>14</v>
      </c>
      <c r="G3905" t="s">
        <v>19</v>
      </c>
      <c r="H3905" s="2">
        <v>0</v>
      </c>
    </row>
    <row r="3906" spans="1:8">
      <c r="A3906" t="s">
        <v>102</v>
      </c>
      <c r="B3906" t="s">
        <v>103</v>
      </c>
      <c r="C3906" t="s">
        <v>32</v>
      </c>
      <c r="D3906" t="s">
        <v>29</v>
      </c>
      <c r="E3906">
        <v>2019</v>
      </c>
      <c r="F3906" t="s">
        <v>21</v>
      </c>
      <c r="G3906" t="s">
        <v>15</v>
      </c>
      <c r="H3906" s="2">
        <v>2121.85</v>
      </c>
    </row>
    <row r="3907" spans="1:8">
      <c r="A3907" t="s">
        <v>102</v>
      </c>
      <c r="B3907" t="s">
        <v>103</v>
      </c>
      <c r="C3907" t="s">
        <v>32</v>
      </c>
      <c r="D3907" t="s">
        <v>29</v>
      </c>
      <c r="E3907">
        <v>2019</v>
      </c>
      <c r="F3907" t="s">
        <v>21</v>
      </c>
      <c r="G3907" t="s">
        <v>17</v>
      </c>
      <c r="H3907" s="2">
        <v>1117.3</v>
      </c>
    </row>
    <row r="3908" spans="1:8">
      <c r="A3908" t="s">
        <v>102</v>
      </c>
      <c r="B3908" t="s">
        <v>103</v>
      </c>
      <c r="C3908" t="s">
        <v>32</v>
      </c>
      <c r="D3908" t="s">
        <v>29</v>
      </c>
      <c r="E3908">
        <v>2020</v>
      </c>
      <c r="F3908" t="s">
        <v>22</v>
      </c>
      <c r="G3908" t="s">
        <v>15</v>
      </c>
      <c r="H3908" s="2">
        <v>93018.27</v>
      </c>
    </row>
    <row r="3909" spans="1:8">
      <c r="A3909" t="s">
        <v>102</v>
      </c>
      <c r="B3909" t="s">
        <v>103</v>
      </c>
      <c r="C3909" t="s">
        <v>32</v>
      </c>
      <c r="D3909" t="s">
        <v>29</v>
      </c>
      <c r="E3909">
        <v>2020</v>
      </c>
      <c r="F3909" t="s">
        <v>20</v>
      </c>
      <c r="G3909" t="s">
        <v>15</v>
      </c>
      <c r="H3909" s="2">
        <v>-537.82000000000005</v>
      </c>
    </row>
    <row r="3910" spans="1:8">
      <c r="A3910" t="s">
        <v>102</v>
      </c>
      <c r="B3910" t="s">
        <v>103</v>
      </c>
      <c r="C3910" t="s">
        <v>32</v>
      </c>
      <c r="D3910" t="s">
        <v>29</v>
      </c>
      <c r="E3910">
        <v>2020</v>
      </c>
      <c r="F3910" t="s">
        <v>20</v>
      </c>
      <c r="G3910" t="s">
        <v>19</v>
      </c>
      <c r="H3910" s="2">
        <v>0</v>
      </c>
    </row>
    <row r="3911" spans="1:8">
      <c r="A3911" t="s">
        <v>102</v>
      </c>
      <c r="B3911" t="s">
        <v>103</v>
      </c>
      <c r="C3911" t="s">
        <v>32</v>
      </c>
      <c r="D3911" t="s">
        <v>29</v>
      </c>
      <c r="E3911">
        <v>2020</v>
      </c>
      <c r="F3911" t="s">
        <v>21</v>
      </c>
      <c r="G3911" t="s">
        <v>15</v>
      </c>
      <c r="H3911" s="2">
        <v>2318.2399999999998</v>
      </c>
    </row>
    <row r="3912" spans="1:8">
      <c r="A3912" t="s">
        <v>102</v>
      </c>
      <c r="B3912" t="s">
        <v>103</v>
      </c>
      <c r="C3912" t="s">
        <v>32</v>
      </c>
      <c r="D3912" t="s">
        <v>29</v>
      </c>
      <c r="E3912">
        <v>2021</v>
      </c>
      <c r="F3912" t="s">
        <v>22</v>
      </c>
      <c r="G3912" t="s">
        <v>19</v>
      </c>
      <c r="H3912" s="2">
        <v>0</v>
      </c>
    </row>
    <row r="3913" spans="1:8">
      <c r="A3913" t="s">
        <v>102</v>
      </c>
      <c r="B3913" t="s">
        <v>103</v>
      </c>
      <c r="C3913" t="s">
        <v>32</v>
      </c>
      <c r="D3913" t="s">
        <v>29</v>
      </c>
      <c r="E3913">
        <v>2021</v>
      </c>
      <c r="F3913" t="s">
        <v>22</v>
      </c>
      <c r="G3913" t="s">
        <v>17</v>
      </c>
      <c r="H3913" s="2">
        <v>23019.55</v>
      </c>
    </row>
    <row r="3914" spans="1:8">
      <c r="A3914" t="s">
        <v>102</v>
      </c>
      <c r="B3914" t="s">
        <v>103</v>
      </c>
      <c r="C3914" t="s">
        <v>32</v>
      </c>
      <c r="D3914" t="s">
        <v>29</v>
      </c>
      <c r="E3914">
        <v>2021</v>
      </c>
      <c r="F3914" t="s">
        <v>18</v>
      </c>
      <c r="G3914" t="s">
        <v>13</v>
      </c>
      <c r="H3914" s="2">
        <v>9464.99</v>
      </c>
    </row>
    <row r="3915" spans="1:8">
      <c r="A3915" t="s">
        <v>102</v>
      </c>
      <c r="B3915" t="s">
        <v>103</v>
      </c>
      <c r="C3915" t="s">
        <v>32</v>
      </c>
      <c r="D3915" t="s">
        <v>29</v>
      </c>
      <c r="E3915">
        <v>2021</v>
      </c>
      <c r="F3915" t="s">
        <v>14</v>
      </c>
      <c r="G3915" t="s">
        <v>13</v>
      </c>
      <c r="H3915" s="2">
        <v>165462.04999999999</v>
      </c>
    </row>
    <row r="3916" spans="1:8">
      <c r="A3916" t="s">
        <v>102</v>
      </c>
      <c r="B3916" t="s">
        <v>103</v>
      </c>
      <c r="C3916" t="s">
        <v>32</v>
      </c>
      <c r="D3916" t="s">
        <v>29</v>
      </c>
      <c r="E3916">
        <v>2021</v>
      </c>
      <c r="F3916" t="s">
        <v>21</v>
      </c>
      <c r="G3916" t="s">
        <v>19</v>
      </c>
      <c r="H3916" s="2">
        <v>0</v>
      </c>
    </row>
    <row r="3917" spans="1:8">
      <c r="A3917" t="s">
        <v>102</v>
      </c>
      <c r="B3917" t="s">
        <v>103</v>
      </c>
      <c r="C3917" t="s">
        <v>32</v>
      </c>
      <c r="D3917" t="s">
        <v>29</v>
      </c>
      <c r="E3917">
        <v>2022</v>
      </c>
      <c r="F3917" t="s">
        <v>18</v>
      </c>
      <c r="G3917" t="s">
        <v>15</v>
      </c>
      <c r="H3917" s="2">
        <v>415.3</v>
      </c>
    </row>
    <row r="3918" spans="1:8">
      <c r="A3918" t="s">
        <v>102</v>
      </c>
      <c r="B3918" t="s">
        <v>103</v>
      </c>
      <c r="C3918" t="s">
        <v>32</v>
      </c>
      <c r="D3918" t="s">
        <v>29</v>
      </c>
      <c r="E3918">
        <v>2022</v>
      </c>
      <c r="F3918" t="s">
        <v>14</v>
      </c>
      <c r="G3918" t="s">
        <v>17</v>
      </c>
      <c r="H3918" s="2">
        <v>3422.23</v>
      </c>
    </row>
    <row r="3919" spans="1:8">
      <c r="A3919" t="s">
        <v>102</v>
      </c>
      <c r="B3919" t="s">
        <v>103</v>
      </c>
      <c r="C3919" t="s">
        <v>32</v>
      </c>
      <c r="D3919" t="s">
        <v>29</v>
      </c>
      <c r="E3919">
        <v>2022</v>
      </c>
      <c r="F3919" t="s">
        <v>21</v>
      </c>
      <c r="G3919" t="s">
        <v>13</v>
      </c>
      <c r="H3919" s="2">
        <v>94453.22</v>
      </c>
    </row>
    <row r="3920" spans="1:8">
      <c r="A3920" t="s">
        <v>102</v>
      </c>
      <c r="B3920" t="s">
        <v>103</v>
      </c>
      <c r="C3920" t="s">
        <v>32</v>
      </c>
      <c r="D3920" t="s">
        <v>29</v>
      </c>
      <c r="E3920">
        <v>2023</v>
      </c>
      <c r="F3920" t="s">
        <v>20</v>
      </c>
      <c r="G3920" t="s">
        <v>15</v>
      </c>
      <c r="H3920" s="2">
        <v>-485.08</v>
      </c>
    </row>
    <row r="3921" spans="1:8">
      <c r="A3921" t="s">
        <v>102</v>
      </c>
      <c r="B3921" t="s">
        <v>103</v>
      </c>
      <c r="C3921" t="s">
        <v>32</v>
      </c>
      <c r="D3921" t="s">
        <v>29</v>
      </c>
      <c r="E3921">
        <v>2023</v>
      </c>
      <c r="F3921" t="s">
        <v>14</v>
      </c>
      <c r="G3921" t="s">
        <v>17</v>
      </c>
      <c r="H3921" s="2">
        <v>3148.49</v>
      </c>
    </row>
    <row r="3922" spans="1:8">
      <c r="A3922" t="s">
        <v>102</v>
      </c>
      <c r="B3922" t="s">
        <v>103</v>
      </c>
      <c r="C3922" t="s">
        <v>32</v>
      </c>
      <c r="D3922" t="s">
        <v>29</v>
      </c>
      <c r="E3922">
        <v>2023</v>
      </c>
      <c r="F3922" t="s">
        <v>21</v>
      </c>
      <c r="G3922" t="s">
        <v>13</v>
      </c>
      <c r="H3922" s="2">
        <v>91262.25</v>
      </c>
    </row>
    <row r="3923" spans="1:8">
      <c r="A3923" t="s">
        <v>102</v>
      </c>
      <c r="B3923" t="s">
        <v>103</v>
      </c>
      <c r="C3923" t="s">
        <v>32</v>
      </c>
      <c r="D3923" t="s">
        <v>29</v>
      </c>
      <c r="E3923">
        <v>2024</v>
      </c>
      <c r="F3923" t="s">
        <v>12</v>
      </c>
      <c r="G3923" t="s">
        <v>13</v>
      </c>
      <c r="H3923" s="2">
        <v>27491.07</v>
      </c>
    </row>
    <row r="3924" spans="1:8">
      <c r="A3924" t="s">
        <v>102</v>
      </c>
      <c r="B3924" t="s">
        <v>103</v>
      </c>
      <c r="C3924" t="s">
        <v>32</v>
      </c>
      <c r="D3924" t="s">
        <v>29</v>
      </c>
      <c r="E3924">
        <v>2024</v>
      </c>
      <c r="F3924" t="s">
        <v>18</v>
      </c>
      <c r="G3924" t="s">
        <v>15</v>
      </c>
      <c r="H3924" s="2">
        <v>510.1</v>
      </c>
    </row>
    <row r="3925" spans="1:8">
      <c r="A3925" t="s">
        <v>104</v>
      </c>
      <c r="B3925" t="s">
        <v>105</v>
      </c>
      <c r="C3925" t="s">
        <v>51</v>
      </c>
      <c r="D3925" t="s">
        <v>29</v>
      </c>
      <c r="E3925">
        <v>1990</v>
      </c>
      <c r="F3925" t="s">
        <v>12</v>
      </c>
      <c r="G3925" t="s">
        <v>15</v>
      </c>
      <c r="H3925" s="2">
        <v>2313.7199999999998</v>
      </c>
    </row>
    <row r="3926" spans="1:8">
      <c r="A3926" t="s">
        <v>104</v>
      </c>
      <c r="B3926" t="s">
        <v>105</v>
      </c>
      <c r="C3926" t="s">
        <v>51</v>
      </c>
      <c r="D3926" t="s">
        <v>29</v>
      </c>
      <c r="E3926">
        <v>1991</v>
      </c>
      <c r="F3926" t="s">
        <v>12</v>
      </c>
      <c r="G3926" t="s">
        <v>19</v>
      </c>
      <c r="H3926" s="2">
        <v>0</v>
      </c>
    </row>
    <row r="3927" spans="1:8">
      <c r="A3927" t="s">
        <v>104</v>
      </c>
      <c r="B3927" t="s">
        <v>105</v>
      </c>
      <c r="C3927" t="s">
        <v>51</v>
      </c>
      <c r="D3927" t="s">
        <v>29</v>
      </c>
      <c r="E3927">
        <v>1991</v>
      </c>
      <c r="F3927" t="s">
        <v>21</v>
      </c>
      <c r="G3927" t="s">
        <v>13</v>
      </c>
      <c r="H3927" s="2">
        <v>550944.5</v>
      </c>
    </row>
    <row r="3928" spans="1:8">
      <c r="A3928" t="s">
        <v>104</v>
      </c>
      <c r="B3928" t="s">
        <v>105</v>
      </c>
      <c r="C3928" t="s">
        <v>51</v>
      </c>
      <c r="D3928" t="s">
        <v>29</v>
      </c>
      <c r="E3928">
        <v>1991</v>
      </c>
      <c r="F3928" t="s">
        <v>21</v>
      </c>
      <c r="G3928" t="s">
        <v>17</v>
      </c>
      <c r="H3928" s="2">
        <v>6294.57</v>
      </c>
    </row>
    <row r="3929" spans="1:8">
      <c r="A3929" t="s">
        <v>104</v>
      </c>
      <c r="B3929" t="s">
        <v>105</v>
      </c>
      <c r="C3929" t="s">
        <v>51</v>
      </c>
      <c r="D3929" t="s">
        <v>29</v>
      </c>
      <c r="E3929">
        <v>1992</v>
      </c>
      <c r="F3929" t="s">
        <v>22</v>
      </c>
      <c r="G3929" t="s">
        <v>13</v>
      </c>
      <c r="H3929" s="2">
        <v>14268.31</v>
      </c>
    </row>
    <row r="3930" spans="1:8">
      <c r="A3930" t="s">
        <v>104</v>
      </c>
      <c r="B3930" t="s">
        <v>105</v>
      </c>
      <c r="C3930" t="s">
        <v>51</v>
      </c>
      <c r="D3930" t="s">
        <v>29</v>
      </c>
      <c r="E3930">
        <v>1992</v>
      </c>
      <c r="F3930" t="s">
        <v>12</v>
      </c>
      <c r="G3930" t="s">
        <v>19</v>
      </c>
      <c r="H3930" s="2">
        <v>0</v>
      </c>
    </row>
    <row r="3931" spans="1:8">
      <c r="A3931" t="s">
        <v>104</v>
      </c>
      <c r="B3931" t="s">
        <v>105</v>
      </c>
      <c r="C3931" t="s">
        <v>51</v>
      </c>
      <c r="D3931" t="s">
        <v>29</v>
      </c>
      <c r="E3931">
        <v>1993</v>
      </c>
      <c r="F3931" t="s">
        <v>12</v>
      </c>
      <c r="G3931" t="s">
        <v>15</v>
      </c>
      <c r="H3931" s="2">
        <v>2368.69</v>
      </c>
    </row>
    <row r="3932" spans="1:8">
      <c r="A3932" t="s">
        <v>104</v>
      </c>
      <c r="B3932" t="s">
        <v>105</v>
      </c>
      <c r="C3932" t="s">
        <v>51</v>
      </c>
      <c r="D3932" t="s">
        <v>29</v>
      </c>
      <c r="E3932">
        <v>1994</v>
      </c>
      <c r="F3932" t="s">
        <v>18</v>
      </c>
      <c r="G3932" t="s">
        <v>15</v>
      </c>
      <c r="H3932" s="2">
        <v>11770.17</v>
      </c>
    </row>
    <row r="3933" spans="1:8">
      <c r="A3933" t="s">
        <v>104</v>
      </c>
      <c r="B3933" t="s">
        <v>105</v>
      </c>
      <c r="C3933" t="s">
        <v>51</v>
      </c>
      <c r="D3933" t="s">
        <v>29</v>
      </c>
      <c r="E3933">
        <v>1994</v>
      </c>
      <c r="F3933" t="s">
        <v>14</v>
      </c>
      <c r="G3933" t="s">
        <v>13</v>
      </c>
      <c r="H3933" s="2">
        <v>80942.960000000006</v>
      </c>
    </row>
    <row r="3934" spans="1:8">
      <c r="A3934" t="s">
        <v>104</v>
      </c>
      <c r="B3934" t="s">
        <v>105</v>
      </c>
      <c r="C3934" t="s">
        <v>51</v>
      </c>
      <c r="D3934" t="s">
        <v>29</v>
      </c>
      <c r="E3934">
        <v>1994</v>
      </c>
      <c r="F3934" t="s">
        <v>14</v>
      </c>
      <c r="G3934" t="s">
        <v>17</v>
      </c>
      <c r="H3934" s="2">
        <v>1722.01</v>
      </c>
    </row>
    <row r="3935" spans="1:8">
      <c r="A3935" t="s">
        <v>104</v>
      </c>
      <c r="B3935" t="s">
        <v>105</v>
      </c>
      <c r="C3935" t="s">
        <v>51</v>
      </c>
      <c r="D3935" t="s">
        <v>29</v>
      </c>
      <c r="E3935">
        <v>1994</v>
      </c>
      <c r="F3935" t="s">
        <v>21</v>
      </c>
      <c r="G3935" t="s">
        <v>19</v>
      </c>
      <c r="H3935" s="2">
        <v>0</v>
      </c>
    </row>
    <row r="3936" spans="1:8">
      <c r="A3936" t="s">
        <v>104</v>
      </c>
      <c r="B3936" t="s">
        <v>105</v>
      </c>
      <c r="C3936" t="s">
        <v>51</v>
      </c>
      <c r="D3936" t="s">
        <v>29</v>
      </c>
      <c r="E3936">
        <v>1995</v>
      </c>
      <c r="F3936" t="s">
        <v>14</v>
      </c>
      <c r="G3936" t="s">
        <v>17</v>
      </c>
      <c r="H3936" s="2">
        <v>1886.92</v>
      </c>
    </row>
    <row r="3937" spans="1:8">
      <c r="A3937" t="s">
        <v>104</v>
      </c>
      <c r="B3937" t="s">
        <v>105</v>
      </c>
      <c r="C3937" t="s">
        <v>51</v>
      </c>
      <c r="D3937" t="s">
        <v>29</v>
      </c>
      <c r="E3937">
        <v>1995</v>
      </c>
      <c r="F3937" t="s">
        <v>16</v>
      </c>
      <c r="G3937" t="s">
        <v>17</v>
      </c>
      <c r="H3937" s="2">
        <v>9683.27</v>
      </c>
    </row>
    <row r="3938" spans="1:8">
      <c r="A3938" t="s">
        <v>104</v>
      </c>
      <c r="B3938" t="s">
        <v>105</v>
      </c>
      <c r="C3938" t="s">
        <v>51</v>
      </c>
      <c r="D3938" t="s">
        <v>29</v>
      </c>
      <c r="E3938">
        <v>1996</v>
      </c>
      <c r="F3938" t="s">
        <v>22</v>
      </c>
      <c r="G3938" t="s">
        <v>15</v>
      </c>
      <c r="H3938" s="2">
        <v>111096.25</v>
      </c>
    </row>
    <row r="3939" spans="1:8">
      <c r="A3939" t="s">
        <v>104</v>
      </c>
      <c r="B3939" t="s">
        <v>105</v>
      </c>
      <c r="C3939" t="s">
        <v>51</v>
      </c>
      <c r="D3939" t="s">
        <v>29</v>
      </c>
      <c r="E3939">
        <v>1996</v>
      </c>
      <c r="F3939" t="s">
        <v>12</v>
      </c>
      <c r="G3939" t="s">
        <v>17</v>
      </c>
      <c r="H3939" s="2">
        <v>1118.55</v>
      </c>
    </row>
    <row r="3940" spans="1:8">
      <c r="A3940" t="s">
        <v>104</v>
      </c>
      <c r="B3940" t="s">
        <v>105</v>
      </c>
      <c r="C3940" t="s">
        <v>51</v>
      </c>
      <c r="D3940" t="s">
        <v>29</v>
      </c>
      <c r="E3940">
        <v>1996</v>
      </c>
      <c r="F3940" t="s">
        <v>20</v>
      </c>
      <c r="G3940" t="s">
        <v>19</v>
      </c>
      <c r="H3940" s="2">
        <v>0</v>
      </c>
    </row>
    <row r="3941" spans="1:8">
      <c r="A3941" t="s">
        <v>104</v>
      </c>
      <c r="B3941" t="s">
        <v>105</v>
      </c>
      <c r="C3941" t="s">
        <v>51</v>
      </c>
      <c r="D3941" t="s">
        <v>29</v>
      </c>
      <c r="E3941">
        <v>1997</v>
      </c>
      <c r="F3941" t="s">
        <v>22</v>
      </c>
      <c r="G3941" t="s">
        <v>19</v>
      </c>
      <c r="H3941" s="2">
        <v>0</v>
      </c>
    </row>
    <row r="3942" spans="1:8">
      <c r="A3942" t="s">
        <v>104</v>
      </c>
      <c r="B3942" t="s">
        <v>105</v>
      </c>
      <c r="C3942" t="s">
        <v>51</v>
      </c>
      <c r="D3942" t="s">
        <v>29</v>
      </c>
      <c r="E3942">
        <v>1997</v>
      </c>
      <c r="F3942" t="s">
        <v>22</v>
      </c>
      <c r="G3942" t="s">
        <v>17</v>
      </c>
      <c r="H3942" s="2">
        <v>34342.28</v>
      </c>
    </row>
    <row r="3943" spans="1:8">
      <c r="A3943" t="s">
        <v>104</v>
      </c>
      <c r="B3943" t="s">
        <v>105</v>
      </c>
      <c r="C3943" t="s">
        <v>51</v>
      </c>
      <c r="D3943" t="s">
        <v>29</v>
      </c>
      <c r="E3943">
        <v>1997</v>
      </c>
      <c r="F3943" t="s">
        <v>16</v>
      </c>
      <c r="G3943" t="s">
        <v>15</v>
      </c>
      <c r="H3943" s="2">
        <v>152681.82999999999</v>
      </c>
    </row>
    <row r="3944" spans="1:8">
      <c r="A3944" t="s">
        <v>104</v>
      </c>
      <c r="B3944" t="s">
        <v>105</v>
      </c>
      <c r="C3944" t="s">
        <v>51</v>
      </c>
      <c r="D3944" t="s">
        <v>29</v>
      </c>
      <c r="E3944">
        <v>1998</v>
      </c>
      <c r="F3944" t="s">
        <v>22</v>
      </c>
      <c r="G3944" t="s">
        <v>17</v>
      </c>
      <c r="H3944" s="2">
        <v>37330.769999999997</v>
      </c>
    </row>
    <row r="3945" spans="1:8">
      <c r="A3945" t="s">
        <v>104</v>
      </c>
      <c r="B3945" t="s">
        <v>105</v>
      </c>
      <c r="C3945" t="s">
        <v>51</v>
      </c>
      <c r="D3945" t="s">
        <v>29</v>
      </c>
      <c r="E3945">
        <v>1998</v>
      </c>
      <c r="F3945" t="s">
        <v>14</v>
      </c>
      <c r="G3945" t="s">
        <v>17</v>
      </c>
      <c r="H3945" s="2">
        <v>2065.66</v>
      </c>
    </row>
    <row r="3946" spans="1:8">
      <c r="A3946" t="s">
        <v>104</v>
      </c>
      <c r="B3946" t="s">
        <v>105</v>
      </c>
      <c r="C3946" t="s">
        <v>51</v>
      </c>
      <c r="D3946" t="s">
        <v>29</v>
      </c>
      <c r="E3946">
        <v>1999</v>
      </c>
      <c r="F3946" t="s">
        <v>22</v>
      </c>
      <c r="G3946" t="s">
        <v>17</v>
      </c>
      <c r="H3946" s="2">
        <v>31736.84</v>
      </c>
    </row>
    <row r="3947" spans="1:8">
      <c r="A3947" t="s">
        <v>104</v>
      </c>
      <c r="B3947" t="s">
        <v>105</v>
      </c>
      <c r="C3947" t="s">
        <v>51</v>
      </c>
      <c r="D3947" t="s">
        <v>29</v>
      </c>
      <c r="E3947">
        <v>1999</v>
      </c>
      <c r="F3947" t="s">
        <v>14</v>
      </c>
      <c r="G3947" t="s">
        <v>17</v>
      </c>
      <c r="H3947" s="2">
        <v>1993.53</v>
      </c>
    </row>
    <row r="3948" spans="1:8">
      <c r="A3948" t="s">
        <v>104</v>
      </c>
      <c r="B3948" t="s">
        <v>105</v>
      </c>
      <c r="C3948" t="s">
        <v>51</v>
      </c>
      <c r="D3948" t="s">
        <v>29</v>
      </c>
      <c r="E3948">
        <v>1999</v>
      </c>
      <c r="F3948" t="s">
        <v>16</v>
      </c>
      <c r="G3948" t="s">
        <v>17</v>
      </c>
      <c r="H3948" s="2">
        <v>9877.33</v>
      </c>
    </row>
    <row r="3949" spans="1:8">
      <c r="A3949" t="s">
        <v>104</v>
      </c>
      <c r="B3949" t="s">
        <v>105</v>
      </c>
      <c r="C3949" t="s">
        <v>51</v>
      </c>
      <c r="D3949" t="s">
        <v>29</v>
      </c>
      <c r="E3949">
        <v>2000</v>
      </c>
      <c r="F3949" t="s">
        <v>16</v>
      </c>
      <c r="G3949" t="s">
        <v>13</v>
      </c>
      <c r="H3949" s="2">
        <v>35511.129999999997</v>
      </c>
    </row>
    <row r="3950" spans="1:8">
      <c r="A3950" t="s">
        <v>104</v>
      </c>
      <c r="B3950" t="s">
        <v>105</v>
      </c>
      <c r="C3950" t="s">
        <v>51</v>
      </c>
      <c r="D3950" t="s">
        <v>29</v>
      </c>
      <c r="E3950">
        <v>2001</v>
      </c>
      <c r="F3950" t="s">
        <v>22</v>
      </c>
      <c r="G3950" t="s">
        <v>15</v>
      </c>
      <c r="H3950" s="2">
        <v>122662.05</v>
      </c>
    </row>
    <row r="3951" spans="1:8">
      <c r="A3951" t="s">
        <v>104</v>
      </c>
      <c r="B3951" t="s">
        <v>105</v>
      </c>
      <c r="C3951" t="s">
        <v>51</v>
      </c>
      <c r="D3951" t="s">
        <v>29</v>
      </c>
      <c r="E3951">
        <v>2001</v>
      </c>
      <c r="F3951" t="s">
        <v>20</v>
      </c>
      <c r="G3951" t="s">
        <v>17</v>
      </c>
      <c r="H3951" s="2">
        <v>307.87</v>
      </c>
    </row>
    <row r="3952" spans="1:8">
      <c r="A3952" t="s">
        <v>104</v>
      </c>
      <c r="B3952" t="s">
        <v>105</v>
      </c>
      <c r="C3952" t="s">
        <v>51</v>
      </c>
      <c r="D3952" t="s">
        <v>29</v>
      </c>
      <c r="E3952">
        <v>2002</v>
      </c>
      <c r="F3952" t="s">
        <v>12</v>
      </c>
      <c r="G3952" t="s">
        <v>13</v>
      </c>
      <c r="H3952" s="2">
        <v>31771.24</v>
      </c>
    </row>
    <row r="3953" spans="1:8">
      <c r="A3953" t="s">
        <v>104</v>
      </c>
      <c r="B3953" t="s">
        <v>105</v>
      </c>
      <c r="C3953" t="s">
        <v>51</v>
      </c>
      <c r="D3953" t="s">
        <v>29</v>
      </c>
      <c r="E3953">
        <v>2002</v>
      </c>
      <c r="F3953" t="s">
        <v>12</v>
      </c>
      <c r="G3953" t="s">
        <v>17</v>
      </c>
      <c r="H3953" s="2">
        <v>1085.96</v>
      </c>
    </row>
    <row r="3954" spans="1:8">
      <c r="A3954" t="s">
        <v>104</v>
      </c>
      <c r="B3954" t="s">
        <v>105</v>
      </c>
      <c r="C3954" t="s">
        <v>51</v>
      </c>
      <c r="D3954" t="s">
        <v>29</v>
      </c>
      <c r="E3954">
        <v>2002</v>
      </c>
      <c r="F3954" t="s">
        <v>18</v>
      </c>
      <c r="G3954" t="s">
        <v>19</v>
      </c>
      <c r="H3954" s="2">
        <v>14577.78</v>
      </c>
    </row>
    <row r="3955" spans="1:8">
      <c r="A3955" t="s">
        <v>104</v>
      </c>
      <c r="B3955" t="s">
        <v>105</v>
      </c>
      <c r="C3955" t="s">
        <v>51</v>
      </c>
      <c r="D3955" t="s">
        <v>29</v>
      </c>
      <c r="E3955">
        <v>2002</v>
      </c>
      <c r="F3955" t="s">
        <v>20</v>
      </c>
      <c r="G3955" t="s">
        <v>13</v>
      </c>
      <c r="H3955" s="2">
        <v>28043.83</v>
      </c>
    </row>
    <row r="3956" spans="1:8">
      <c r="A3956" t="s">
        <v>104</v>
      </c>
      <c r="B3956" t="s">
        <v>105</v>
      </c>
      <c r="C3956" t="s">
        <v>51</v>
      </c>
      <c r="D3956" t="s">
        <v>29</v>
      </c>
      <c r="E3956">
        <v>2002</v>
      </c>
      <c r="F3956" t="s">
        <v>16</v>
      </c>
      <c r="G3956" t="s">
        <v>15</v>
      </c>
      <c r="H3956" s="2">
        <v>179569.5</v>
      </c>
    </row>
    <row r="3957" spans="1:8">
      <c r="A3957" t="s">
        <v>104</v>
      </c>
      <c r="B3957" t="s">
        <v>105</v>
      </c>
      <c r="C3957" t="s">
        <v>51</v>
      </c>
      <c r="D3957" t="s">
        <v>29</v>
      </c>
      <c r="E3957">
        <v>2003</v>
      </c>
      <c r="F3957" t="s">
        <v>16</v>
      </c>
      <c r="G3957" t="s">
        <v>19</v>
      </c>
      <c r="H3957" s="2">
        <v>0</v>
      </c>
    </row>
    <row r="3958" spans="1:8">
      <c r="A3958" t="s">
        <v>104</v>
      </c>
      <c r="B3958" t="s">
        <v>105</v>
      </c>
      <c r="C3958" t="s">
        <v>51</v>
      </c>
      <c r="D3958" t="s">
        <v>29</v>
      </c>
      <c r="E3958">
        <v>2006</v>
      </c>
      <c r="F3958" t="s">
        <v>14</v>
      </c>
      <c r="G3958" t="s">
        <v>17</v>
      </c>
      <c r="H3958" s="2">
        <v>2114.29</v>
      </c>
    </row>
    <row r="3959" spans="1:8">
      <c r="A3959" t="s">
        <v>104</v>
      </c>
      <c r="B3959" t="s">
        <v>105</v>
      </c>
      <c r="C3959" t="s">
        <v>51</v>
      </c>
      <c r="D3959" t="s">
        <v>29</v>
      </c>
      <c r="E3959">
        <v>2006</v>
      </c>
      <c r="F3959" t="s">
        <v>16</v>
      </c>
      <c r="G3959" t="s">
        <v>15</v>
      </c>
      <c r="H3959" s="2">
        <v>174016.78</v>
      </c>
    </row>
    <row r="3960" spans="1:8">
      <c r="A3960" t="s">
        <v>104</v>
      </c>
      <c r="B3960" t="s">
        <v>105</v>
      </c>
      <c r="C3960" t="s">
        <v>51</v>
      </c>
      <c r="D3960" t="s">
        <v>29</v>
      </c>
      <c r="E3960">
        <v>2006</v>
      </c>
      <c r="F3960" t="s">
        <v>16</v>
      </c>
      <c r="G3960" t="s">
        <v>17</v>
      </c>
      <c r="H3960" s="2">
        <v>10840.77</v>
      </c>
    </row>
    <row r="3961" spans="1:8">
      <c r="A3961" t="s">
        <v>104</v>
      </c>
      <c r="B3961" t="s">
        <v>105</v>
      </c>
      <c r="C3961" t="s">
        <v>51</v>
      </c>
      <c r="D3961" t="s">
        <v>29</v>
      </c>
      <c r="E3961">
        <v>2007</v>
      </c>
      <c r="F3961" t="s">
        <v>12</v>
      </c>
      <c r="G3961" t="s">
        <v>19</v>
      </c>
      <c r="H3961" s="2">
        <v>0</v>
      </c>
    </row>
    <row r="3962" spans="1:8">
      <c r="A3962" t="s">
        <v>104</v>
      </c>
      <c r="B3962" t="s">
        <v>105</v>
      </c>
      <c r="C3962" t="s">
        <v>51</v>
      </c>
      <c r="D3962" t="s">
        <v>29</v>
      </c>
      <c r="E3962">
        <v>2007</v>
      </c>
      <c r="F3962" t="s">
        <v>14</v>
      </c>
      <c r="G3962" t="s">
        <v>15</v>
      </c>
      <c r="H3962" s="2">
        <v>3507.99</v>
      </c>
    </row>
    <row r="3963" spans="1:8">
      <c r="A3963" t="s">
        <v>104</v>
      </c>
      <c r="B3963" t="s">
        <v>105</v>
      </c>
      <c r="C3963" t="s">
        <v>51</v>
      </c>
      <c r="D3963" t="s">
        <v>29</v>
      </c>
      <c r="E3963">
        <v>2009</v>
      </c>
      <c r="F3963" t="s">
        <v>18</v>
      </c>
      <c r="G3963" t="s">
        <v>15</v>
      </c>
      <c r="H3963" s="2">
        <v>15645.89</v>
      </c>
    </row>
    <row r="3964" spans="1:8">
      <c r="A3964" t="s">
        <v>104</v>
      </c>
      <c r="B3964" t="s">
        <v>105</v>
      </c>
      <c r="C3964" t="s">
        <v>51</v>
      </c>
      <c r="D3964" t="s">
        <v>29</v>
      </c>
      <c r="E3964">
        <v>2009</v>
      </c>
      <c r="F3964" t="s">
        <v>18</v>
      </c>
      <c r="G3964" t="s">
        <v>19</v>
      </c>
      <c r="H3964" s="2">
        <v>13670.28</v>
      </c>
    </row>
    <row r="3965" spans="1:8">
      <c r="A3965" t="s">
        <v>104</v>
      </c>
      <c r="B3965" t="s">
        <v>105</v>
      </c>
      <c r="C3965" t="s">
        <v>51</v>
      </c>
      <c r="D3965" t="s">
        <v>29</v>
      </c>
      <c r="E3965">
        <v>2009</v>
      </c>
      <c r="F3965" t="s">
        <v>14</v>
      </c>
      <c r="G3965" t="s">
        <v>19</v>
      </c>
      <c r="H3965" s="2">
        <v>0</v>
      </c>
    </row>
    <row r="3966" spans="1:8">
      <c r="A3966" t="s">
        <v>104</v>
      </c>
      <c r="B3966" t="s">
        <v>105</v>
      </c>
      <c r="C3966" t="s">
        <v>51</v>
      </c>
      <c r="D3966" t="s">
        <v>29</v>
      </c>
      <c r="E3966">
        <v>2009</v>
      </c>
      <c r="F3966" t="s">
        <v>21</v>
      </c>
      <c r="G3966" t="s">
        <v>17</v>
      </c>
      <c r="H3966" s="2">
        <v>6649.8</v>
      </c>
    </row>
    <row r="3967" spans="1:8">
      <c r="A3967" t="s">
        <v>104</v>
      </c>
      <c r="B3967" t="s">
        <v>105</v>
      </c>
      <c r="C3967" t="s">
        <v>51</v>
      </c>
      <c r="D3967" t="s">
        <v>29</v>
      </c>
      <c r="E3967">
        <v>2009</v>
      </c>
      <c r="F3967" t="s">
        <v>16</v>
      </c>
      <c r="G3967" t="s">
        <v>17</v>
      </c>
      <c r="H3967" s="2">
        <v>10458</v>
      </c>
    </row>
    <row r="3968" spans="1:8">
      <c r="A3968" t="s">
        <v>104</v>
      </c>
      <c r="B3968" t="s">
        <v>105</v>
      </c>
      <c r="C3968" t="s">
        <v>51</v>
      </c>
      <c r="D3968" t="s">
        <v>29</v>
      </c>
      <c r="E3968">
        <v>2010</v>
      </c>
      <c r="F3968" t="s">
        <v>12</v>
      </c>
      <c r="G3968" t="s">
        <v>19</v>
      </c>
      <c r="H3968" s="2">
        <v>0</v>
      </c>
    </row>
    <row r="3969" spans="1:8">
      <c r="A3969" t="s">
        <v>104</v>
      </c>
      <c r="B3969" t="s">
        <v>105</v>
      </c>
      <c r="C3969" t="s">
        <v>51</v>
      </c>
      <c r="D3969" t="s">
        <v>29</v>
      </c>
      <c r="E3969">
        <v>2010</v>
      </c>
      <c r="F3969" t="s">
        <v>18</v>
      </c>
      <c r="G3969" t="s">
        <v>17</v>
      </c>
      <c r="H3969" s="2">
        <v>12477.32</v>
      </c>
    </row>
    <row r="3970" spans="1:8">
      <c r="A3970" t="s">
        <v>104</v>
      </c>
      <c r="B3970" t="s">
        <v>105</v>
      </c>
      <c r="C3970" t="s">
        <v>51</v>
      </c>
      <c r="D3970" t="s">
        <v>29</v>
      </c>
      <c r="E3970">
        <v>2010</v>
      </c>
      <c r="F3970" t="s">
        <v>20</v>
      </c>
      <c r="G3970" t="s">
        <v>13</v>
      </c>
      <c r="H3970" s="2">
        <v>28053.62</v>
      </c>
    </row>
    <row r="3971" spans="1:8">
      <c r="A3971" t="s">
        <v>104</v>
      </c>
      <c r="B3971" t="s">
        <v>105</v>
      </c>
      <c r="C3971" t="s">
        <v>51</v>
      </c>
      <c r="D3971" t="s">
        <v>29</v>
      </c>
      <c r="E3971">
        <v>2010</v>
      </c>
      <c r="F3971" t="s">
        <v>14</v>
      </c>
      <c r="G3971" t="s">
        <v>15</v>
      </c>
      <c r="H3971" s="2">
        <v>3006.45</v>
      </c>
    </row>
    <row r="3972" spans="1:8">
      <c r="A3972" t="s">
        <v>104</v>
      </c>
      <c r="B3972" t="s">
        <v>105</v>
      </c>
      <c r="C3972" t="s">
        <v>51</v>
      </c>
      <c r="D3972" t="s">
        <v>29</v>
      </c>
      <c r="E3972">
        <v>2011</v>
      </c>
      <c r="F3972" t="s">
        <v>12</v>
      </c>
      <c r="G3972" t="s">
        <v>13</v>
      </c>
      <c r="H3972" s="2">
        <v>32964.79</v>
      </c>
    </row>
    <row r="3973" spans="1:8">
      <c r="A3973" t="s">
        <v>104</v>
      </c>
      <c r="B3973" t="s">
        <v>105</v>
      </c>
      <c r="C3973" t="s">
        <v>51</v>
      </c>
      <c r="D3973" t="s">
        <v>29</v>
      </c>
      <c r="E3973">
        <v>2011</v>
      </c>
      <c r="F3973" t="s">
        <v>12</v>
      </c>
      <c r="G3973" t="s">
        <v>17</v>
      </c>
      <c r="H3973" s="2">
        <v>1036.98</v>
      </c>
    </row>
    <row r="3974" spans="1:8">
      <c r="A3974" t="s">
        <v>104</v>
      </c>
      <c r="B3974" t="s">
        <v>105</v>
      </c>
      <c r="C3974" t="s">
        <v>51</v>
      </c>
      <c r="D3974" t="s">
        <v>29</v>
      </c>
      <c r="E3974">
        <v>2011</v>
      </c>
      <c r="F3974" t="s">
        <v>18</v>
      </c>
      <c r="G3974" t="s">
        <v>19</v>
      </c>
      <c r="H3974" s="2">
        <v>14079.54</v>
      </c>
    </row>
    <row r="3975" spans="1:8">
      <c r="A3975" t="s">
        <v>104</v>
      </c>
      <c r="B3975" t="s">
        <v>105</v>
      </c>
      <c r="C3975" t="s">
        <v>51</v>
      </c>
      <c r="D3975" t="s">
        <v>29</v>
      </c>
      <c r="E3975">
        <v>2011</v>
      </c>
      <c r="F3975" t="s">
        <v>16</v>
      </c>
      <c r="G3975" t="s">
        <v>17</v>
      </c>
      <c r="H3975" s="2">
        <v>9642.66</v>
      </c>
    </row>
    <row r="3976" spans="1:8">
      <c r="A3976" t="s">
        <v>104</v>
      </c>
      <c r="B3976" t="s">
        <v>105</v>
      </c>
      <c r="C3976" t="s">
        <v>51</v>
      </c>
      <c r="D3976" t="s">
        <v>29</v>
      </c>
      <c r="E3976">
        <v>2012</v>
      </c>
      <c r="F3976" t="s">
        <v>22</v>
      </c>
      <c r="G3976" t="s">
        <v>13</v>
      </c>
      <c r="H3976" s="2">
        <v>15327.3</v>
      </c>
    </row>
    <row r="3977" spans="1:8">
      <c r="A3977" t="s">
        <v>104</v>
      </c>
      <c r="B3977" t="s">
        <v>105</v>
      </c>
      <c r="C3977" t="s">
        <v>51</v>
      </c>
      <c r="D3977" t="s">
        <v>29</v>
      </c>
      <c r="E3977">
        <v>2012</v>
      </c>
      <c r="F3977" t="s">
        <v>18</v>
      </c>
      <c r="G3977" t="s">
        <v>15</v>
      </c>
      <c r="H3977" s="2">
        <v>13377.5</v>
      </c>
    </row>
    <row r="3978" spans="1:8">
      <c r="A3978" t="s">
        <v>104</v>
      </c>
      <c r="B3978" t="s">
        <v>105</v>
      </c>
      <c r="C3978" t="s">
        <v>51</v>
      </c>
      <c r="D3978" t="s">
        <v>29</v>
      </c>
      <c r="E3978">
        <v>2012</v>
      </c>
      <c r="F3978" t="s">
        <v>18</v>
      </c>
      <c r="G3978" t="s">
        <v>17</v>
      </c>
      <c r="H3978" s="2">
        <v>12687.92</v>
      </c>
    </row>
    <row r="3979" spans="1:8">
      <c r="A3979" t="s">
        <v>104</v>
      </c>
      <c r="B3979" t="s">
        <v>105</v>
      </c>
      <c r="C3979" t="s">
        <v>51</v>
      </c>
      <c r="D3979" t="s">
        <v>29</v>
      </c>
      <c r="E3979">
        <v>2012</v>
      </c>
      <c r="F3979" t="s">
        <v>21</v>
      </c>
      <c r="G3979" t="s">
        <v>15</v>
      </c>
      <c r="H3979" s="2">
        <v>12065.65</v>
      </c>
    </row>
    <row r="3980" spans="1:8">
      <c r="A3980" t="s">
        <v>104</v>
      </c>
      <c r="B3980" t="s">
        <v>105</v>
      </c>
      <c r="C3980" t="s">
        <v>51</v>
      </c>
      <c r="D3980" t="s">
        <v>29</v>
      </c>
      <c r="E3980">
        <v>2012</v>
      </c>
      <c r="F3980" t="s">
        <v>16</v>
      </c>
      <c r="G3980" t="s">
        <v>17</v>
      </c>
      <c r="H3980" s="2">
        <v>11016.68</v>
      </c>
    </row>
    <row r="3981" spans="1:8">
      <c r="A3981" t="s">
        <v>104</v>
      </c>
      <c r="B3981" t="s">
        <v>105</v>
      </c>
      <c r="C3981" t="s">
        <v>51</v>
      </c>
      <c r="D3981" t="s">
        <v>29</v>
      </c>
      <c r="E3981">
        <v>2013</v>
      </c>
      <c r="F3981" t="s">
        <v>22</v>
      </c>
      <c r="G3981" t="s">
        <v>13</v>
      </c>
      <c r="H3981" s="2">
        <v>15125.71</v>
      </c>
    </row>
    <row r="3982" spans="1:8">
      <c r="A3982" t="s">
        <v>104</v>
      </c>
      <c r="B3982" t="s">
        <v>105</v>
      </c>
      <c r="C3982" t="s">
        <v>51</v>
      </c>
      <c r="D3982" t="s">
        <v>29</v>
      </c>
      <c r="E3982">
        <v>2013</v>
      </c>
      <c r="F3982" t="s">
        <v>12</v>
      </c>
      <c r="G3982" t="s">
        <v>15</v>
      </c>
      <c r="H3982" s="2">
        <v>2577.12</v>
      </c>
    </row>
    <row r="3983" spans="1:8">
      <c r="A3983" t="s">
        <v>104</v>
      </c>
      <c r="B3983" t="s">
        <v>105</v>
      </c>
      <c r="C3983" t="s">
        <v>51</v>
      </c>
      <c r="D3983" t="s">
        <v>29</v>
      </c>
      <c r="E3983">
        <v>2013</v>
      </c>
      <c r="F3983" t="s">
        <v>18</v>
      </c>
      <c r="G3983" t="s">
        <v>17</v>
      </c>
      <c r="H3983" s="2">
        <v>12465.68</v>
      </c>
    </row>
    <row r="3984" spans="1:8">
      <c r="A3984" t="s">
        <v>104</v>
      </c>
      <c r="B3984" t="s">
        <v>105</v>
      </c>
      <c r="C3984" t="s">
        <v>51</v>
      </c>
      <c r="D3984" t="s">
        <v>29</v>
      </c>
      <c r="E3984">
        <v>2013</v>
      </c>
      <c r="F3984" t="s">
        <v>21</v>
      </c>
      <c r="G3984" t="s">
        <v>13</v>
      </c>
      <c r="H3984" s="2">
        <v>552842.91</v>
      </c>
    </row>
    <row r="3985" spans="1:8">
      <c r="A3985" t="s">
        <v>104</v>
      </c>
      <c r="B3985" t="s">
        <v>105</v>
      </c>
      <c r="C3985" t="s">
        <v>51</v>
      </c>
      <c r="D3985" t="s">
        <v>29</v>
      </c>
      <c r="E3985">
        <v>2013</v>
      </c>
      <c r="F3985" t="s">
        <v>21</v>
      </c>
      <c r="G3985" t="s">
        <v>17</v>
      </c>
      <c r="H3985" s="2">
        <v>5985.51</v>
      </c>
    </row>
    <row r="3986" spans="1:8">
      <c r="A3986" t="s">
        <v>104</v>
      </c>
      <c r="B3986" t="s">
        <v>105</v>
      </c>
      <c r="C3986" t="s">
        <v>51</v>
      </c>
      <c r="D3986" t="s">
        <v>29</v>
      </c>
      <c r="E3986">
        <v>2015</v>
      </c>
      <c r="F3986" t="s">
        <v>18</v>
      </c>
      <c r="G3986" t="s">
        <v>17</v>
      </c>
      <c r="H3986" s="2">
        <v>12488.88</v>
      </c>
    </row>
    <row r="3987" spans="1:8">
      <c r="A3987" t="s">
        <v>104</v>
      </c>
      <c r="B3987" t="s">
        <v>105</v>
      </c>
      <c r="C3987" t="s">
        <v>51</v>
      </c>
      <c r="D3987" t="s">
        <v>29</v>
      </c>
      <c r="E3987">
        <v>2015</v>
      </c>
      <c r="F3987" t="s">
        <v>20</v>
      </c>
      <c r="G3987" t="s">
        <v>15</v>
      </c>
      <c r="H3987" s="2">
        <v>277.61</v>
      </c>
    </row>
    <row r="3988" spans="1:8">
      <c r="A3988" t="s">
        <v>104</v>
      </c>
      <c r="B3988" t="s">
        <v>105</v>
      </c>
      <c r="C3988" t="s">
        <v>51</v>
      </c>
      <c r="D3988" t="s">
        <v>29</v>
      </c>
      <c r="E3988">
        <v>2015</v>
      </c>
      <c r="F3988" t="s">
        <v>14</v>
      </c>
      <c r="G3988" t="s">
        <v>15</v>
      </c>
      <c r="H3988" s="2">
        <v>3080.98</v>
      </c>
    </row>
    <row r="3989" spans="1:8">
      <c r="A3989" t="s">
        <v>104</v>
      </c>
      <c r="B3989" t="s">
        <v>105</v>
      </c>
      <c r="C3989" t="s">
        <v>51</v>
      </c>
      <c r="D3989" t="s">
        <v>29</v>
      </c>
      <c r="E3989">
        <v>2015</v>
      </c>
      <c r="F3989" t="s">
        <v>14</v>
      </c>
      <c r="G3989" t="s">
        <v>17</v>
      </c>
      <c r="H3989" s="2">
        <v>1840.31</v>
      </c>
    </row>
    <row r="3990" spans="1:8">
      <c r="A3990" t="s">
        <v>104</v>
      </c>
      <c r="B3990" t="s">
        <v>105</v>
      </c>
      <c r="C3990" t="s">
        <v>51</v>
      </c>
      <c r="D3990" t="s">
        <v>29</v>
      </c>
      <c r="E3990">
        <v>2016</v>
      </c>
      <c r="F3990" t="s">
        <v>22</v>
      </c>
      <c r="G3990" t="s">
        <v>15</v>
      </c>
      <c r="H3990" s="2">
        <v>104640.39</v>
      </c>
    </row>
    <row r="3991" spans="1:8">
      <c r="A3991" t="s">
        <v>104</v>
      </c>
      <c r="B3991" t="s">
        <v>105</v>
      </c>
      <c r="C3991" t="s">
        <v>51</v>
      </c>
      <c r="D3991" t="s">
        <v>29</v>
      </c>
      <c r="E3991">
        <v>2016</v>
      </c>
      <c r="F3991" t="s">
        <v>12</v>
      </c>
      <c r="G3991" t="s">
        <v>13</v>
      </c>
      <c r="H3991" s="2">
        <v>29581.23</v>
      </c>
    </row>
    <row r="3992" spans="1:8">
      <c r="A3992" t="s">
        <v>104</v>
      </c>
      <c r="B3992" t="s">
        <v>105</v>
      </c>
      <c r="C3992" t="s">
        <v>51</v>
      </c>
      <c r="D3992" t="s">
        <v>29</v>
      </c>
      <c r="E3992">
        <v>2016</v>
      </c>
      <c r="F3992" t="s">
        <v>18</v>
      </c>
      <c r="G3992" t="s">
        <v>13</v>
      </c>
      <c r="H3992" s="2">
        <v>197549.87</v>
      </c>
    </row>
    <row r="3993" spans="1:8">
      <c r="A3993" t="s">
        <v>104</v>
      </c>
      <c r="B3993" t="s">
        <v>105</v>
      </c>
      <c r="C3993" t="s">
        <v>51</v>
      </c>
      <c r="D3993" t="s">
        <v>29</v>
      </c>
      <c r="E3993">
        <v>2016</v>
      </c>
      <c r="F3993" t="s">
        <v>20</v>
      </c>
      <c r="G3993" t="s">
        <v>15</v>
      </c>
      <c r="H3993" s="2">
        <v>270.98</v>
      </c>
    </row>
    <row r="3994" spans="1:8">
      <c r="A3994" t="s">
        <v>104</v>
      </c>
      <c r="B3994" t="s">
        <v>105</v>
      </c>
      <c r="C3994" t="s">
        <v>51</v>
      </c>
      <c r="D3994" t="s">
        <v>29</v>
      </c>
      <c r="E3994">
        <v>2016</v>
      </c>
      <c r="F3994" t="s">
        <v>20</v>
      </c>
      <c r="G3994" t="s">
        <v>19</v>
      </c>
      <c r="H3994" s="2">
        <v>0</v>
      </c>
    </row>
    <row r="3995" spans="1:8">
      <c r="A3995" t="s">
        <v>104</v>
      </c>
      <c r="B3995" t="s">
        <v>105</v>
      </c>
      <c r="C3995" t="s">
        <v>51</v>
      </c>
      <c r="D3995" t="s">
        <v>29</v>
      </c>
      <c r="E3995">
        <v>2016</v>
      </c>
      <c r="F3995" t="s">
        <v>21</v>
      </c>
      <c r="G3995" t="s">
        <v>13</v>
      </c>
      <c r="H3995" s="2">
        <v>530010.15</v>
      </c>
    </row>
    <row r="3996" spans="1:8">
      <c r="A3996" t="s">
        <v>104</v>
      </c>
      <c r="B3996" t="s">
        <v>105</v>
      </c>
      <c r="C3996" t="s">
        <v>51</v>
      </c>
      <c r="D3996" t="s">
        <v>29</v>
      </c>
      <c r="E3996">
        <v>2016</v>
      </c>
      <c r="F3996" t="s">
        <v>16</v>
      </c>
      <c r="G3996" t="s">
        <v>19</v>
      </c>
      <c r="H3996" s="2">
        <v>0</v>
      </c>
    </row>
    <row r="3997" spans="1:8">
      <c r="A3997" t="s">
        <v>104</v>
      </c>
      <c r="B3997" t="s">
        <v>105</v>
      </c>
      <c r="C3997" t="s">
        <v>51</v>
      </c>
      <c r="D3997" t="s">
        <v>29</v>
      </c>
      <c r="E3997">
        <v>2017</v>
      </c>
      <c r="F3997" t="s">
        <v>12</v>
      </c>
      <c r="G3997" t="s">
        <v>17</v>
      </c>
      <c r="H3997" s="2">
        <v>894.44</v>
      </c>
    </row>
    <row r="3998" spans="1:8">
      <c r="A3998" t="s">
        <v>104</v>
      </c>
      <c r="B3998" t="s">
        <v>105</v>
      </c>
      <c r="C3998" t="s">
        <v>51</v>
      </c>
      <c r="D3998" t="s">
        <v>29</v>
      </c>
      <c r="E3998">
        <v>2018</v>
      </c>
      <c r="F3998" t="s">
        <v>20</v>
      </c>
      <c r="G3998" t="s">
        <v>17</v>
      </c>
      <c r="H3998" s="2">
        <v>232.49</v>
      </c>
    </row>
    <row r="3999" spans="1:8">
      <c r="A3999" t="s">
        <v>104</v>
      </c>
      <c r="B3999" t="s">
        <v>105</v>
      </c>
      <c r="C3999" t="s">
        <v>51</v>
      </c>
      <c r="D3999" t="s">
        <v>29</v>
      </c>
      <c r="E3999">
        <v>2018</v>
      </c>
      <c r="F3999" t="s">
        <v>21</v>
      </c>
      <c r="G3999" t="s">
        <v>19</v>
      </c>
      <c r="H3999" s="2">
        <v>0</v>
      </c>
    </row>
    <row r="4000" spans="1:8">
      <c r="A4000" t="s">
        <v>104</v>
      </c>
      <c r="B4000" t="s">
        <v>105</v>
      </c>
      <c r="C4000" t="s">
        <v>51</v>
      </c>
      <c r="D4000" t="s">
        <v>29</v>
      </c>
      <c r="E4000">
        <v>2018</v>
      </c>
      <c r="F4000" t="s">
        <v>16</v>
      </c>
      <c r="G4000" t="s">
        <v>19</v>
      </c>
      <c r="H4000" s="2">
        <v>0</v>
      </c>
    </row>
    <row r="4001" spans="1:8">
      <c r="A4001" t="s">
        <v>104</v>
      </c>
      <c r="B4001" t="s">
        <v>105</v>
      </c>
      <c r="C4001" t="s">
        <v>51</v>
      </c>
      <c r="D4001" t="s">
        <v>29</v>
      </c>
      <c r="E4001">
        <v>2019</v>
      </c>
      <c r="F4001" t="s">
        <v>21</v>
      </c>
      <c r="G4001" t="s">
        <v>15</v>
      </c>
      <c r="H4001" s="2">
        <v>10340.17</v>
      </c>
    </row>
    <row r="4002" spans="1:8">
      <c r="A4002" t="s">
        <v>104</v>
      </c>
      <c r="B4002" t="s">
        <v>105</v>
      </c>
      <c r="C4002" t="s">
        <v>51</v>
      </c>
      <c r="D4002" t="s">
        <v>29</v>
      </c>
      <c r="E4002">
        <v>2020</v>
      </c>
      <c r="F4002" t="s">
        <v>14</v>
      </c>
      <c r="G4002" t="s">
        <v>15</v>
      </c>
      <c r="H4002" s="2">
        <v>2452.58</v>
      </c>
    </row>
    <row r="4003" spans="1:8">
      <c r="A4003" t="s">
        <v>104</v>
      </c>
      <c r="B4003" t="s">
        <v>105</v>
      </c>
      <c r="C4003" t="s">
        <v>51</v>
      </c>
      <c r="D4003" t="s">
        <v>29</v>
      </c>
      <c r="E4003">
        <v>2021</v>
      </c>
      <c r="F4003" t="s">
        <v>22</v>
      </c>
      <c r="G4003" t="s">
        <v>15</v>
      </c>
      <c r="H4003" s="2">
        <v>87512.83</v>
      </c>
    </row>
    <row r="4004" spans="1:8">
      <c r="A4004" t="s">
        <v>104</v>
      </c>
      <c r="B4004" t="s">
        <v>105</v>
      </c>
      <c r="C4004" t="s">
        <v>51</v>
      </c>
      <c r="D4004" t="s">
        <v>29</v>
      </c>
      <c r="E4004">
        <v>2021</v>
      </c>
      <c r="F4004" t="s">
        <v>22</v>
      </c>
      <c r="G4004" t="s">
        <v>13</v>
      </c>
      <c r="H4004" s="2">
        <v>12489.86</v>
      </c>
    </row>
    <row r="4005" spans="1:8">
      <c r="A4005" t="s">
        <v>104</v>
      </c>
      <c r="B4005" t="s">
        <v>105</v>
      </c>
      <c r="C4005" t="s">
        <v>51</v>
      </c>
      <c r="D4005" t="s">
        <v>29</v>
      </c>
      <c r="E4005">
        <v>2021</v>
      </c>
      <c r="F4005" t="s">
        <v>21</v>
      </c>
      <c r="G4005" t="s">
        <v>13</v>
      </c>
      <c r="H4005" s="2">
        <v>482273.74</v>
      </c>
    </row>
    <row r="4006" spans="1:8">
      <c r="A4006" t="s">
        <v>104</v>
      </c>
      <c r="B4006" t="s">
        <v>105</v>
      </c>
      <c r="C4006" t="s">
        <v>51</v>
      </c>
      <c r="D4006" t="s">
        <v>29</v>
      </c>
      <c r="E4006">
        <v>2022</v>
      </c>
      <c r="F4006" t="s">
        <v>18</v>
      </c>
      <c r="G4006" t="s">
        <v>13</v>
      </c>
      <c r="H4006" s="2">
        <v>154654.12</v>
      </c>
    </row>
    <row r="4007" spans="1:8">
      <c r="A4007" t="s">
        <v>104</v>
      </c>
      <c r="B4007" t="s">
        <v>105</v>
      </c>
      <c r="C4007" t="s">
        <v>51</v>
      </c>
      <c r="D4007" t="s">
        <v>29</v>
      </c>
      <c r="E4007">
        <v>2022</v>
      </c>
      <c r="F4007" t="s">
        <v>18</v>
      </c>
      <c r="G4007" t="s">
        <v>17</v>
      </c>
      <c r="H4007" s="2">
        <v>9808.67</v>
      </c>
    </row>
    <row r="4008" spans="1:8">
      <c r="A4008" t="s">
        <v>104</v>
      </c>
      <c r="B4008" t="s">
        <v>105</v>
      </c>
      <c r="C4008" t="s">
        <v>51</v>
      </c>
      <c r="D4008" t="s">
        <v>29</v>
      </c>
      <c r="E4008">
        <v>2022</v>
      </c>
      <c r="F4008" t="s">
        <v>20</v>
      </c>
      <c r="G4008" t="s">
        <v>13</v>
      </c>
      <c r="H4008" s="2">
        <v>22025.34</v>
      </c>
    </row>
    <row r="4009" spans="1:8">
      <c r="A4009" t="s">
        <v>104</v>
      </c>
      <c r="B4009" t="s">
        <v>105</v>
      </c>
      <c r="C4009" t="s">
        <v>51</v>
      </c>
      <c r="D4009" t="s">
        <v>29</v>
      </c>
      <c r="E4009">
        <v>2022</v>
      </c>
      <c r="F4009" t="s">
        <v>21</v>
      </c>
      <c r="G4009" t="s">
        <v>17</v>
      </c>
      <c r="H4009" s="2">
        <v>4465.08</v>
      </c>
    </row>
    <row r="4010" spans="1:8">
      <c r="A4010" t="s">
        <v>104</v>
      </c>
      <c r="B4010" t="s">
        <v>105</v>
      </c>
      <c r="C4010" t="s">
        <v>51</v>
      </c>
      <c r="D4010" t="s">
        <v>29</v>
      </c>
      <c r="E4010">
        <v>2023</v>
      </c>
      <c r="F4010" t="s">
        <v>18</v>
      </c>
      <c r="G4010" t="s">
        <v>15</v>
      </c>
      <c r="H4010" s="2">
        <v>10740.89</v>
      </c>
    </row>
    <row r="4011" spans="1:8">
      <c r="A4011" t="s">
        <v>104</v>
      </c>
      <c r="B4011" t="s">
        <v>105</v>
      </c>
      <c r="C4011" t="s">
        <v>51</v>
      </c>
      <c r="D4011" t="s">
        <v>29</v>
      </c>
      <c r="E4011">
        <v>2024</v>
      </c>
      <c r="F4011" t="s">
        <v>12</v>
      </c>
      <c r="G4011" t="s">
        <v>19</v>
      </c>
      <c r="H4011" s="2">
        <v>0</v>
      </c>
    </row>
    <row r="4012" spans="1:8">
      <c r="A4012" t="s">
        <v>104</v>
      </c>
      <c r="B4012" t="s">
        <v>105</v>
      </c>
      <c r="C4012" t="s">
        <v>51</v>
      </c>
      <c r="D4012" t="s">
        <v>29</v>
      </c>
      <c r="E4012">
        <v>2024</v>
      </c>
      <c r="F4012" t="s">
        <v>18</v>
      </c>
      <c r="G4012" t="s">
        <v>15</v>
      </c>
      <c r="H4012" s="2">
        <v>10054.07</v>
      </c>
    </row>
    <row r="4013" spans="1:8">
      <c r="A4013" t="s">
        <v>104</v>
      </c>
      <c r="B4013" t="s">
        <v>105</v>
      </c>
      <c r="C4013" t="s">
        <v>51</v>
      </c>
      <c r="D4013" t="s">
        <v>29</v>
      </c>
      <c r="E4013">
        <v>2024</v>
      </c>
      <c r="F4013" t="s">
        <v>16</v>
      </c>
      <c r="G4013" t="s">
        <v>19</v>
      </c>
      <c r="H4013" s="2">
        <v>0</v>
      </c>
    </row>
    <row r="4014" spans="1:8">
      <c r="A4014" t="s">
        <v>106</v>
      </c>
      <c r="B4014" t="s">
        <v>107</v>
      </c>
      <c r="C4014" t="s">
        <v>51</v>
      </c>
      <c r="D4014" t="s">
        <v>29</v>
      </c>
      <c r="E4014">
        <v>1990</v>
      </c>
      <c r="F4014" t="s">
        <v>18</v>
      </c>
      <c r="G4014" t="s">
        <v>15</v>
      </c>
      <c r="H4014" s="2">
        <v>2446.73</v>
      </c>
    </row>
    <row r="4015" spans="1:8">
      <c r="A4015" t="s">
        <v>106</v>
      </c>
      <c r="B4015" t="s">
        <v>107</v>
      </c>
      <c r="C4015" t="s">
        <v>51</v>
      </c>
      <c r="D4015" t="s">
        <v>29</v>
      </c>
      <c r="E4015">
        <v>1991</v>
      </c>
      <c r="F4015" t="s">
        <v>22</v>
      </c>
      <c r="G4015" t="s">
        <v>19</v>
      </c>
      <c r="H4015" s="2">
        <v>0</v>
      </c>
    </row>
    <row r="4016" spans="1:8">
      <c r="A4016" t="s">
        <v>106</v>
      </c>
      <c r="B4016" t="s">
        <v>107</v>
      </c>
      <c r="C4016" t="s">
        <v>51</v>
      </c>
      <c r="D4016" t="s">
        <v>29</v>
      </c>
      <c r="E4016">
        <v>1991</v>
      </c>
      <c r="F4016" t="s">
        <v>21</v>
      </c>
      <c r="G4016" t="s">
        <v>17</v>
      </c>
      <c r="H4016" s="2">
        <v>1247.01</v>
      </c>
    </row>
    <row r="4017" spans="1:8">
      <c r="A4017" t="s">
        <v>106</v>
      </c>
      <c r="B4017" t="s">
        <v>107</v>
      </c>
      <c r="C4017" t="s">
        <v>51</v>
      </c>
      <c r="D4017" t="s">
        <v>29</v>
      </c>
      <c r="E4017">
        <v>1991</v>
      </c>
      <c r="F4017" t="s">
        <v>16</v>
      </c>
      <c r="G4017" t="s">
        <v>15</v>
      </c>
      <c r="H4017" s="2">
        <v>32619.41</v>
      </c>
    </row>
    <row r="4018" spans="1:8">
      <c r="A4018" t="s">
        <v>106</v>
      </c>
      <c r="B4018" t="s">
        <v>107</v>
      </c>
      <c r="C4018" t="s">
        <v>51</v>
      </c>
      <c r="D4018" t="s">
        <v>29</v>
      </c>
      <c r="E4018">
        <v>1991</v>
      </c>
      <c r="F4018" t="s">
        <v>16</v>
      </c>
      <c r="G4018" t="s">
        <v>13</v>
      </c>
      <c r="H4018" s="2">
        <v>7354.94</v>
      </c>
    </row>
    <row r="4019" spans="1:8">
      <c r="A4019" t="s">
        <v>106</v>
      </c>
      <c r="B4019" t="s">
        <v>107</v>
      </c>
      <c r="C4019" t="s">
        <v>51</v>
      </c>
      <c r="D4019" t="s">
        <v>29</v>
      </c>
      <c r="E4019">
        <v>1992</v>
      </c>
      <c r="F4019" t="s">
        <v>18</v>
      </c>
      <c r="G4019" t="s">
        <v>19</v>
      </c>
      <c r="H4019" s="2">
        <v>2458.4</v>
      </c>
    </row>
    <row r="4020" spans="1:8">
      <c r="A4020" t="s">
        <v>106</v>
      </c>
      <c r="B4020" t="s">
        <v>107</v>
      </c>
      <c r="C4020" t="s">
        <v>51</v>
      </c>
      <c r="D4020" t="s">
        <v>29</v>
      </c>
      <c r="E4020">
        <v>1992</v>
      </c>
      <c r="F4020" t="s">
        <v>21</v>
      </c>
      <c r="G4020" t="s">
        <v>15</v>
      </c>
      <c r="H4020" s="2">
        <v>2543.5100000000002</v>
      </c>
    </row>
    <row r="4021" spans="1:8">
      <c r="A4021" t="s">
        <v>106</v>
      </c>
      <c r="B4021" t="s">
        <v>107</v>
      </c>
      <c r="C4021" t="s">
        <v>51</v>
      </c>
      <c r="D4021" t="s">
        <v>29</v>
      </c>
      <c r="E4021">
        <v>1992</v>
      </c>
      <c r="F4021" t="s">
        <v>16</v>
      </c>
      <c r="G4021" t="s">
        <v>17</v>
      </c>
      <c r="H4021" s="2">
        <v>2572.5</v>
      </c>
    </row>
    <row r="4022" spans="1:8">
      <c r="A4022" t="s">
        <v>106</v>
      </c>
      <c r="B4022" t="s">
        <v>107</v>
      </c>
      <c r="C4022" t="s">
        <v>51</v>
      </c>
      <c r="D4022" t="s">
        <v>29</v>
      </c>
      <c r="E4022">
        <v>1993</v>
      </c>
      <c r="F4022" t="s">
        <v>12</v>
      </c>
      <c r="G4022" t="s">
        <v>15</v>
      </c>
      <c r="H4022" s="2">
        <v>4546.91</v>
      </c>
    </row>
    <row r="4023" spans="1:8">
      <c r="A4023" t="s">
        <v>106</v>
      </c>
      <c r="B4023" t="s">
        <v>107</v>
      </c>
      <c r="C4023" t="s">
        <v>51</v>
      </c>
      <c r="D4023" t="s">
        <v>29</v>
      </c>
      <c r="E4023">
        <v>1993</v>
      </c>
      <c r="F4023" t="s">
        <v>18</v>
      </c>
      <c r="G4023" t="s">
        <v>13</v>
      </c>
      <c r="H4023" s="2">
        <v>42407.74</v>
      </c>
    </row>
    <row r="4024" spans="1:8">
      <c r="A4024" t="s">
        <v>106</v>
      </c>
      <c r="B4024" t="s">
        <v>107</v>
      </c>
      <c r="C4024" t="s">
        <v>51</v>
      </c>
      <c r="D4024" t="s">
        <v>29</v>
      </c>
      <c r="E4024">
        <v>1993</v>
      </c>
      <c r="F4024" t="s">
        <v>14</v>
      </c>
      <c r="G4024" t="s">
        <v>17</v>
      </c>
      <c r="H4024" s="2">
        <v>1570.64</v>
      </c>
    </row>
    <row r="4025" spans="1:8">
      <c r="A4025" t="s">
        <v>106</v>
      </c>
      <c r="B4025" t="s">
        <v>107</v>
      </c>
      <c r="C4025" t="s">
        <v>51</v>
      </c>
      <c r="D4025" t="s">
        <v>29</v>
      </c>
      <c r="E4025">
        <v>1993</v>
      </c>
      <c r="F4025" t="s">
        <v>21</v>
      </c>
      <c r="G4025" t="s">
        <v>13</v>
      </c>
      <c r="H4025" s="2">
        <v>117848.27</v>
      </c>
    </row>
    <row r="4026" spans="1:8">
      <c r="A4026" t="s">
        <v>106</v>
      </c>
      <c r="B4026" t="s">
        <v>107</v>
      </c>
      <c r="C4026" t="s">
        <v>51</v>
      </c>
      <c r="D4026" t="s">
        <v>29</v>
      </c>
      <c r="E4026">
        <v>1993</v>
      </c>
      <c r="F4026" t="s">
        <v>21</v>
      </c>
      <c r="G4026" t="s">
        <v>19</v>
      </c>
      <c r="H4026" s="2">
        <v>0</v>
      </c>
    </row>
    <row r="4027" spans="1:8">
      <c r="A4027" t="s">
        <v>106</v>
      </c>
      <c r="B4027" t="s">
        <v>107</v>
      </c>
      <c r="C4027" t="s">
        <v>51</v>
      </c>
      <c r="D4027" t="s">
        <v>29</v>
      </c>
      <c r="E4027">
        <v>1993</v>
      </c>
      <c r="F4027" t="s">
        <v>21</v>
      </c>
      <c r="G4027" t="s">
        <v>17</v>
      </c>
      <c r="H4027" s="2">
        <v>1252.58</v>
      </c>
    </row>
    <row r="4028" spans="1:8">
      <c r="A4028" t="s">
        <v>106</v>
      </c>
      <c r="B4028" t="s">
        <v>107</v>
      </c>
      <c r="C4028" t="s">
        <v>51</v>
      </c>
      <c r="D4028" t="s">
        <v>29</v>
      </c>
      <c r="E4028">
        <v>1994</v>
      </c>
      <c r="F4028" t="s">
        <v>12</v>
      </c>
      <c r="G4028" t="s">
        <v>13</v>
      </c>
      <c r="H4028" s="2">
        <v>54118.75</v>
      </c>
    </row>
    <row r="4029" spans="1:8">
      <c r="A4029" t="s">
        <v>106</v>
      </c>
      <c r="B4029" t="s">
        <v>107</v>
      </c>
      <c r="C4029" t="s">
        <v>51</v>
      </c>
      <c r="D4029" t="s">
        <v>29</v>
      </c>
      <c r="E4029">
        <v>1995</v>
      </c>
      <c r="F4029" t="s">
        <v>14</v>
      </c>
      <c r="G4029" t="s">
        <v>15</v>
      </c>
      <c r="H4029" s="2">
        <v>2185.16</v>
      </c>
    </row>
    <row r="4030" spans="1:8">
      <c r="A4030" t="s">
        <v>106</v>
      </c>
      <c r="B4030" t="s">
        <v>107</v>
      </c>
      <c r="C4030" t="s">
        <v>51</v>
      </c>
      <c r="D4030" t="s">
        <v>29</v>
      </c>
      <c r="E4030">
        <v>1995</v>
      </c>
      <c r="F4030" t="s">
        <v>21</v>
      </c>
      <c r="G4030" t="s">
        <v>13</v>
      </c>
      <c r="H4030" s="2">
        <v>113690.61</v>
      </c>
    </row>
    <row r="4031" spans="1:8">
      <c r="A4031" t="s">
        <v>106</v>
      </c>
      <c r="B4031" t="s">
        <v>107</v>
      </c>
      <c r="C4031" t="s">
        <v>51</v>
      </c>
      <c r="D4031" t="s">
        <v>29</v>
      </c>
      <c r="E4031">
        <v>1997</v>
      </c>
      <c r="F4031" t="s">
        <v>14</v>
      </c>
      <c r="G4031" t="s">
        <v>15</v>
      </c>
      <c r="H4031" s="2">
        <v>2121.27</v>
      </c>
    </row>
    <row r="4032" spans="1:8">
      <c r="A4032" t="s">
        <v>106</v>
      </c>
      <c r="B4032" t="s">
        <v>107</v>
      </c>
      <c r="C4032" t="s">
        <v>51</v>
      </c>
      <c r="D4032" t="s">
        <v>29</v>
      </c>
      <c r="E4032">
        <v>1998</v>
      </c>
      <c r="F4032" t="s">
        <v>22</v>
      </c>
      <c r="G4032" t="s">
        <v>13</v>
      </c>
      <c r="H4032" s="2">
        <v>13339.61</v>
      </c>
    </row>
    <row r="4033" spans="1:8">
      <c r="A4033" t="s">
        <v>106</v>
      </c>
      <c r="B4033" t="s">
        <v>107</v>
      </c>
      <c r="C4033" t="s">
        <v>51</v>
      </c>
      <c r="D4033" t="s">
        <v>29</v>
      </c>
      <c r="E4033">
        <v>1999</v>
      </c>
      <c r="F4033" t="s">
        <v>18</v>
      </c>
      <c r="G4033" t="s">
        <v>17</v>
      </c>
      <c r="H4033" s="2">
        <v>2321.75</v>
      </c>
    </row>
    <row r="4034" spans="1:8">
      <c r="A4034" t="s">
        <v>106</v>
      </c>
      <c r="B4034" t="s">
        <v>107</v>
      </c>
      <c r="C4034" t="s">
        <v>51</v>
      </c>
      <c r="D4034" t="s">
        <v>29</v>
      </c>
      <c r="E4034">
        <v>1999</v>
      </c>
      <c r="F4034" t="s">
        <v>14</v>
      </c>
      <c r="G4034" t="s">
        <v>15</v>
      </c>
      <c r="H4034" s="2">
        <v>2488.7600000000002</v>
      </c>
    </row>
    <row r="4035" spans="1:8">
      <c r="A4035" t="s">
        <v>106</v>
      </c>
      <c r="B4035" t="s">
        <v>107</v>
      </c>
      <c r="C4035" t="s">
        <v>51</v>
      </c>
      <c r="D4035" t="s">
        <v>29</v>
      </c>
      <c r="E4035">
        <v>1999</v>
      </c>
      <c r="F4035" t="s">
        <v>14</v>
      </c>
      <c r="G4035" t="s">
        <v>17</v>
      </c>
      <c r="H4035" s="2">
        <v>1688.92</v>
      </c>
    </row>
    <row r="4036" spans="1:8">
      <c r="A4036" t="s">
        <v>106</v>
      </c>
      <c r="B4036" t="s">
        <v>107</v>
      </c>
      <c r="C4036" t="s">
        <v>51</v>
      </c>
      <c r="D4036" t="s">
        <v>29</v>
      </c>
      <c r="E4036">
        <v>2000</v>
      </c>
      <c r="F4036" t="s">
        <v>22</v>
      </c>
      <c r="G4036" t="s">
        <v>13</v>
      </c>
      <c r="H4036" s="2">
        <v>12022.29</v>
      </c>
    </row>
    <row r="4037" spans="1:8">
      <c r="A4037" t="s">
        <v>106</v>
      </c>
      <c r="B4037" t="s">
        <v>107</v>
      </c>
      <c r="C4037" t="s">
        <v>51</v>
      </c>
      <c r="D4037" t="s">
        <v>29</v>
      </c>
      <c r="E4037">
        <v>2000</v>
      </c>
      <c r="F4037" t="s">
        <v>14</v>
      </c>
      <c r="G4037" t="s">
        <v>19</v>
      </c>
      <c r="H4037" s="2">
        <v>0</v>
      </c>
    </row>
    <row r="4038" spans="1:8">
      <c r="A4038" t="s">
        <v>106</v>
      </c>
      <c r="B4038" t="s">
        <v>107</v>
      </c>
      <c r="C4038" t="s">
        <v>51</v>
      </c>
      <c r="D4038" t="s">
        <v>29</v>
      </c>
      <c r="E4038">
        <v>2001</v>
      </c>
      <c r="F4038" t="s">
        <v>12</v>
      </c>
      <c r="G4038" t="s">
        <v>15</v>
      </c>
      <c r="H4038" s="2">
        <v>3769.01</v>
      </c>
    </row>
    <row r="4039" spans="1:8">
      <c r="A4039" t="s">
        <v>106</v>
      </c>
      <c r="B4039" t="s">
        <v>107</v>
      </c>
      <c r="C4039" t="s">
        <v>51</v>
      </c>
      <c r="D4039" t="s">
        <v>29</v>
      </c>
      <c r="E4039">
        <v>2001</v>
      </c>
      <c r="F4039" t="s">
        <v>14</v>
      </c>
      <c r="G4039" t="s">
        <v>17</v>
      </c>
      <c r="H4039" s="2">
        <v>1605.7</v>
      </c>
    </row>
    <row r="4040" spans="1:8">
      <c r="A4040" t="s">
        <v>106</v>
      </c>
      <c r="B4040" t="s">
        <v>107</v>
      </c>
      <c r="C4040" t="s">
        <v>51</v>
      </c>
      <c r="D4040" t="s">
        <v>29</v>
      </c>
      <c r="E4040">
        <v>2002</v>
      </c>
      <c r="F4040" t="s">
        <v>18</v>
      </c>
      <c r="G4040" t="s">
        <v>13</v>
      </c>
      <c r="H4040" s="2">
        <v>44967.05</v>
      </c>
    </row>
    <row r="4041" spans="1:8">
      <c r="A4041" t="s">
        <v>106</v>
      </c>
      <c r="B4041" t="s">
        <v>107</v>
      </c>
      <c r="C4041" t="s">
        <v>51</v>
      </c>
      <c r="D4041" t="s">
        <v>29</v>
      </c>
      <c r="E4041">
        <v>2002</v>
      </c>
      <c r="F4041" t="s">
        <v>20</v>
      </c>
      <c r="G4041" t="s">
        <v>15</v>
      </c>
      <c r="H4041" s="2">
        <v>-136.19999999999999</v>
      </c>
    </row>
    <row r="4042" spans="1:8">
      <c r="A4042" t="s">
        <v>106</v>
      </c>
      <c r="B4042" t="s">
        <v>107</v>
      </c>
      <c r="C4042" t="s">
        <v>51</v>
      </c>
      <c r="D4042" t="s">
        <v>29</v>
      </c>
      <c r="E4042">
        <v>2003</v>
      </c>
      <c r="F4042" t="s">
        <v>12</v>
      </c>
      <c r="G4042" t="s">
        <v>19</v>
      </c>
      <c r="H4042" s="2">
        <v>0</v>
      </c>
    </row>
    <row r="4043" spans="1:8">
      <c r="A4043" t="s">
        <v>106</v>
      </c>
      <c r="B4043" t="s">
        <v>107</v>
      </c>
      <c r="C4043" t="s">
        <v>51</v>
      </c>
      <c r="D4043" t="s">
        <v>29</v>
      </c>
      <c r="E4043">
        <v>2003</v>
      </c>
      <c r="F4043" t="s">
        <v>20</v>
      </c>
      <c r="G4043" t="s">
        <v>19</v>
      </c>
      <c r="H4043" s="2">
        <v>0</v>
      </c>
    </row>
    <row r="4044" spans="1:8">
      <c r="A4044" t="s">
        <v>106</v>
      </c>
      <c r="B4044" t="s">
        <v>107</v>
      </c>
      <c r="C4044" t="s">
        <v>51</v>
      </c>
      <c r="D4044" t="s">
        <v>29</v>
      </c>
      <c r="E4044">
        <v>2003</v>
      </c>
      <c r="F4044" t="s">
        <v>14</v>
      </c>
      <c r="G4044" t="s">
        <v>15</v>
      </c>
      <c r="H4044" s="2">
        <v>2433.94</v>
      </c>
    </row>
    <row r="4045" spans="1:8">
      <c r="A4045" t="s">
        <v>106</v>
      </c>
      <c r="B4045" t="s">
        <v>107</v>
      </c>
      <c r="C4045" t="s">
        <v>51</v>
      </c>
      <c r="D4045" t="s">
        <v>29</v>
      </c>
      <c r="E4045">
        <v>2003</v>
      </c>
      <c r="F4045" t="s">
        <v>14</v>
      </c>
      <c r="G4045" t="s">
        <v>13</v>
      </c>
      <c r="H4045" s="2">
        <v>80600.350000000006</v>
      </c>
    </row>
    <row r="4046" spans="1:8">
      <c r="A4046" t="s">
        <v>106</v>
      </c>
      <c r="B4046" t="s">
        <v>107</v>
      </c>
      <c r="C4046" t="s">
        <v>51</v>
      </c>
      <c r="D4046" t="s">
        <v>29</v>
      </c>
      <c r="E4046">
        <v>2004</v>
      </c>
      <c r="F4046" t="s">
        <v>16</v>
      </c>
      <c r="G4046" t="s">
        <v>15</v>
      </c>
      <c r="H4046" s="2">
        <v>36147.89</v>
      </c>
    </row>
    <row r="4047" spans="1:8">
      <c r="A4047" t="s">
        <v>106</v>
      </c>
      <c r="B4047" t="s">
        <v>107</v>
      </c>
      <c r="C4047" t="s">
        <v>51</v>
      </c>
      <c r="D4047" t="s">
        <v>29</v>
      </c>
      <c r="E4047">
        <v>2005</v>
      </c>
      <c r="F4047" t="s">
        <v>22</v>
      </c>
      <c r="G4047" t="s">
        <v>15</v>
      </c>
      <c r="H4047" s="2">
        <v>87411.93</v>
      </c>
    </row>
    <row r="4048" spans="1:8">
      <c r="A4048" t="s">
        <v>106</v>
      </c>
      <c r="B4048" t="s">
        <v>107</v>
      </c>
      <c r="C4048" t="s">
        <v>51</v>
      </c>
      <c r="D4048" t="s">
        <v>29</v>
      </c>
      <c r="E4048">
        <v>2005</v>
      </c>
      <c r="F4048" t="s">
        <v>16</v>
      </c>
      <c r="G4048" t="s">
        <v>17</v>
      </c>
      <c r="H4048" s="2">
        <v>2073.19</v>
      </c>
    </row>
    <row r="4049" spans="1:8">
      <c r="A4049" t="s">
        <v>106</v>
      </c>
      <c r="B4049" t="s">
        <v>107</v>
      </c>
      <c r="C4049" t="s">
        <v>51</v>
      </c>
      <c r="D4049" t="s">
        <v>29</v>
      </c>
      <c r="E4049">
        <v>2006</v>
      </c>
      <c r="F4049" t="s">
        <v>14</v>
      </c>
      <c r="G4049" t="s">
        <v>15</v>
      </c>
      <c r="H4049" s="2">
        <v>2027.26</v>
      </c>
    </row>
    <row r="4050" spans="1:8">
      <c r="A4050" t="s">
        <v>106</v>
      </c>
      <c r="B4050" t="s">
        <v>107</v>
      </c>
      <c r="C4050" t="s">
        <v>51</v>
      </c>
      <c r="D4050" t="s">
        <v>29</v>
      </c>
      <c r="E4050">
        <v>2006</v>
      </c>
      <c r="F4050" t="s">
        <v>16</v>
      </c>
      <c r="G4050" t="s">
        <v>15</v>
      </c>
      <c r="H4050" s="2">
        <v>29881.48</v>
      </c>
    </row>
    <row r="4051" spans="1:8">
      <c r="A4051" t="s">
        <v>106</v>
      </c>
      <c r="B4051" t="s">
        <v>107</v>
      </c>
      <c r="C4051" t="s">
        <v>51</v>
      </c>
      <c r="D4051" t="s">
        <v>29</v>
      </c>
      <c r="E4051">
        <v>2006</v>
      </c>
      <c r="F4051" t="s">
        <v>16</v>
      </c>
      <c r="G4051" t="s">
        <v>17</v>
      </c>
      <c r="H4051" s="2">
        <v>1828.89</v>
      </c>
    </row>
    <row r="4052" spans="1:8">
      <c r="A4052" t="s">
        <v>106</v>
      </c>
      <c r="B4052" t="s">
        <v>107</v>
      </c>
      <c r="C4052" t="s">
        <v>51</v>
      </c>
      <c r="D4052" t="s">
        <v>29</v>
      </c>
      <c r="E4052">
        <v>2007</v>
      </c>
      <c r="F4052" t="s">
        <v>20</v>
      </c>
      <c r="G4052" t="s">
        <v>15</v>
      </c>
      <c r="H4052" s="2">
        <v>-108.23</v>
      </c>
    </row>
    <row r="4053" spans="1:8">
      <c r="A4053" t="s">
        <v>106</v>
      </c>
      <c r="B4053" t="s">
        <v>107</v>
      </c>
      <c r="C4053" t="s">
        <v>51</v>
      </c>
      <c r="D4053" t="s">
        <v>29</v>
      </c>
      <c r="E4053">
        <v>2007</v>
      </c>
      <c r="F4053" t="s">
        <v>14</v>
      </c>
      <c r="G4053" t="s">
        <v>13</v>
      </c>
      <c r="H4053" s="2">
        <v>63534.77</v>
      </c>
    </row>
    <row r="4054" spans="1:8">
      <c r="A4054" t="s">
        <v>106</v>
      </c>
      <c r="B4054" t="s">
        <v>107</v>
      </c>
      <c r="C4054" t="s">
        <v>51</v>
      </c>
      <c r="D4054" t="s">
        <v>29</v>
      </c>
      <c r="E4054">
        <v>2008</v>
      </c>
      <c r="F4054" t="s">
        <v>14</v>
      </c>
      <c r="G4054" t="s">
        <v>17</v>
      </c>
      <c r="H4054" s="2">
        <v>1621.95</v>
      </c>
    </row>
    <row r="4055" spans="1:8">
      <c r="A4055" t="s">
        <v>106</v>
      </c>
      <c r="B4055" t="s">
        <v>107</v>
      </c>
      <c r="C4055" t="s">
        <v>51</v>
      </c>
      <c r="D4055" t="s">
        <v>29</v>
      </c>
      <c r="E4055">
        <v>2008</v>
      </c>
      <c r="F4055" t="s">
        <v>16</v>
      </c>
      <c r="G4055" t="s">
        <v>15</v>
      </c>
      <c r="H4055" s="2">
        <v>35798.910000000003</v>
      </c>
    </row>
    <row r="4056" spans="1:8">
      <c r="A4056" t="s">
        <v>106</v>
      </c>
      <c r="B4056" t="s">
        <v>107</v>
      </c>
      <c r="C4056" t="s">
        <v>51</v>
      </c>
      <c r="D4056" t="s">
        <v>29</v>
      </c>
      <c r="E4056">
        <v>2009</v>
      </c>
      <c r="F4056" t="s">
        <v>18</v>
      </c>
      <c r="G4056" t="s">
        <v>17</v>
      </c>
      <c r="H4056" s="2">
        <v>2519.96</v>
      </c>
    </row>
    <row r="4057" spans="1:8">
      <c r="A4057" t="s">
        <v>106</v>
      </c>
      <c r="B4057" t="s">
        <v>107</v>
      </c>
      <c r="C4057" t="s">
        <v>51</v>
      </c>
      <c r="D4057" t="s">
        <v>29</v>
      </c>
      <c r="E4057">
        <v>2009</v>
      </c>
      <c r="F4057" t="s">
        <v>21</v>
      </c>
      <c r="G4057" t="s">
        <v>13</v>
      </c>
      <c r="H4057" s="2">
        <v>102034.13</v>
      </c>
    </row>
    <row r="4058" spans="1:8">
      <c r="A4058" t="s">
        <v>106</v>
      </c>
      <c r="B4058" t="s">
        <v>107</v>
      </c>
      <c r="C4058" t="s">
        <v>51</v>
      </c>
      <c r="D4058" t="s">
        <v>29</v>
      </c>
      <c r="E4058">
        <v>2011</v>
      </c>
      <c r="F4058" t="s">
        <v>22</v>
      </c>
      <c r="G4058" t="s">
        <v>15</v>
      </c>
      <c r="H4058" s="2">
        <v>87603.94</v>
      </c>
    </row>
    <row r="4059" spans="1:8">
      <c r="A4059" t="s">
        <v>106</v>
      </c>
      <c r="B4059" t="s">
        <v>107</v>
      </c>
      <c r="C4059" t="s">
        <v>51</v>
      </c>
      <c r="D4059" t="s">
        <v>29</v>
      </c>
      <c r="E4059">
        <v>2011</v>
      </c>
      <c r="F4059" t="s">
        <v>12</v>
      </c>
      <c r="G4059" t="s">
        <v>15</v>
      </c>
      <c r="H4059" s="2">
        <v>4330.67</v>
      </c>
    </row>
    <row r="4060" spans="1:8">
      <c r="A4060" t="s">
        <v>106</v>
      </c>
      <c r="B4060" t="s">
        <v>107</v>
      </c>
      <c r="C4060" t="s">
        <v>51</v>
      </c>
      <c r="D4060" t="s">
        <v>29</v>
      </c>
      <c r="E4060">
        <v>2011</v>
      </c>
      <c r="F4060" t="s">
        <v>18</v>
      </c>
      <c r="G4060" t="s">
        <v>17</v>
      </c>
      <c r="H4060" s="2">
        <v>2636.96</v>
      </c>
    </row>
    <row r="4061" spans="1:8">
      <c r="A4061" t="s">
        <v>106</v>
      </c>
      <c r="B4061" t="s">
        <v>107</v>
      </c>
      <c r="C4061" t="s">
        <v>51</v>
      </c>
      <c r="D4061" t="s">
        <v>29</v>
      </c>
      <c r="E4061">
        <v>2011</v>
      </c>
      <c r="F4061" t="s">
        <v>20</v>
      </c>
      <c r="G4061" t="s">
        <v>15</v>
      </c>
      <c r="H4061" s="2">
        <v>-133.96</v>
      </c>
    </row>
    <row r="4062" spans="1:8">
      <c r="A4062" t="s">
        <v>106</v>
      </c>
      <c r="B4062" t="s">
        <v>107</v>
      </c>
      <c r="C4062" t="s">
        <v>51</v>
      </c>
      <c r="D4062" t="s">
        <v>29</v>
      </c>
      <c r="E4062">
        <v>2011</v>
      </c>
      <c r="F4062" t="s">
        <v>14</v>
      </c>
      <c r="G4062" t="s">
        <v>19</v>
      </c>
      <c r="H4062" s="2">
        <v>0</v>
      </c>
    </row>
    <row r="4063" spans="1:8">
      <c r="A4063" t="s">
        <v>106</v>
      </c>
      <c r="B4063" t="s">
        <v>107</v>
      </c>
      <c r="C4063" t="s">
        <v>51</v>
      </c>
      <c r="D4063" t="s">
        <v>29</v>
      </c>
      <c r="E4063">
        <v>2011</v>
      </c>
      <c r="F4063" t="s">
        <v>21</v>
      </c>
      <c r="G4063" t="s">
        <v>13</v>
      </c>
      <c r="H4063" s="2">
        <v>118795.44</v>
      </c>
    </row>
    <row r="4064" spans="1:8">
      <c r="A4064" t="s">
        <v>106</v>
      </c>
      <c r="B4064" t="s">
        <v>107</v>
      </c>
      <c r="C4064" t="s">
        <v>51</v>
      </c>
      <c r="D4064" t="s">
        <v>29</v>
      </c>
      <c r="E4064">
        <v>2012</v>
      </c>
      <c r="F4064" t="s">
        <v>21</v>
      </c>
      <c r="G4064" t="s">
        <v>15</v>
      </c>
      <c r="H4064" s="2">
        <v>2103</v>
      </c>
    </row>
    <row r="4065" spans="1:8">
      <c r="A4065" t="s">
        <v>106</v>
      </c>
      <c r="B4065" t="s">
        <v>107</v>
      </c>
      <c r="C4065" t="s">
        <v>51</v>
      </c>
      <c r="D4065" t="s">
        <v>29</v>
      </c>
      <c r="E4065">
        <v>2013</v>
      </c>
      <c r="F4065" t="s">
        <v>12</v>
      </c>
      <c r="G4065" t="s">
        <v>19</v>
      </c>
      <c r="H4065" s="2">
        <v>0</v>
      </c>
    </row>
    <row r="4066" spans="1:8">
      <c r="A4066" t="s">
        <v>106</v>
      </c>
      <c r="B4066" t="s">
        <v>107</v>
      </c>
      <c r="C4066" t="s">
        <v>51</v>
      </c>
      <c r="D4066" t="s">
        <v>29</v>
      </c>
      <c r="E4066">
        <v>2014</v>
      </c>
      <c r="F4066" t="s">
        <v>22</v>
      </c>
      <c r="G4066" t="s">
        <v>15</v>
      </c>
      <c r="H4066" s="2">
        <v>73477.91</v>
      </c>
    </row>
    <row r="4067" spans="1:8">
      <c r="A4067" t="s">
        <v>106</v>
      </c>
      <c r="B4067" t="s">
        <v>107</v>
      </c>
      <c r="C4067" t="s">
        <v>51</v>
      </c>
      <c r="D4067" t="s">
        <v>29</v>
      </c>
      <c r="E4067">
        <v>2014</v>
      </c>
      <c r="F4067" t="s">
        <v>12</v>
      </c>
      <c r="G4067" t="s">
        <v>19</v>
      </c>
      <c r="H4067" s="2">
        <v>0</v>
      </c>
    </row>
    <row r="4068" spans="1:8">
      <c r="A4068" t="s">
        <v>106</v>
      </c>
      <c r="B4068" t="s">
        <v>107</v>
      </c>
      <c r="C4068" t="s">
        <v>51</v>
      </c>
      <c r="D4068" t="s">
        <v>29</v>
      </c>
      <c r="E4068">
        <v>2014</v>
      </c>
      <c r="F4068" t="s">
        <v>20</v>
      </c>
      <c r="G4068" t="s">
        <v>19</v>
      </c>
      <c r="H4068" s="2">
        <v>0</v>
      </c>
    </row>
    <row r="4069" spans="1:8">
      <c r="A4069" t="s">
        <v>106</v>
      </c>
      <c r="B4069" t="s">
        <v>107</v>
      </c>
      <c r="C4069" t="s">
        <v>51</v>
      </c>
      <c r="D4069" t="s">
        <v>29</v>
      </c>
      <c r="E4069">
        <v>2014</v>
      </c>
      <c r="F4069" t="s">
        <v>14</v>
      </c>
      <c r="G4069" t="s">
        <v>19</v>
      </c>
      <c r="H4069" s="2">
        <v>0</v>
      </c>
    </row>
    <row r="4070" spans="1:8">
      <c r="A4070" t="s">
        <v>106</v>
      </c>
      <c r="B4070" t="s">
        <v>107</v>
      </c>
      <c r="C4070" t="s">
        <v>51</v>
      </c>
      <c r="D4070" t="s">
        <v>29</v>
      </c>
      <c r="E4070">
        <v>2014</v>
      </c>
      <c r="F4070" t="s">
        <v>16</v>
      </c>
      <c r="G4070" t="s">
        <v>15</v>
      </c>
      <c r="H4070" s="2">
        <v>34469.96</v>
      </c>
    </row>
    <row r="4071" spans="1:8">
      <c r="A4071" t="s">
        <v>106</v>
      </c>
      <c r="B4071" t="s">
        <v>107</v>
      </c>
      <c r="C4071" t="s">
        <v>51</v>
      </c>
      <c r="D4071" t="s">
        <v>29</v>
      </c>
      <c r="E4071">
        <v>2014</v>
      </c>
      <c r="F4071" t="s">
        <v>16</v>
      </c>
      <c r="G4071" t="s">
        <v>19</v>
      </c>
      <c r="H4071" s="2">
        <v>0</v>
      </c>
    </row>
    <row r="4072" spans="1:8">
      <c r="A4072" t="s">
        <v>106</v>
      </c>
      <c r="B4072" t="s">
        <v>107</v>
      </c>
      <c r="C4072" t="s">
        <v>51</v>
      </c>
      <c r="D4072" t="s">
        <v>29</v>
      </c>
      <c r="E4072">
        <v>2015</v>
      </c>
      <c r="F4072" t="s">
        <v>22</v>
      </c>
      <c r="G4072" t="s">
        <v>13</v>
      </c>
      <c r="H4072" s="2">
        <v>10771.52</v>
      </c>
    </row>
    <row r="4073" spans="1:8">
      <c r="A4073" t="s">
        <v>106</v>
      </c>
      <c r="B4073" t="s">
        <v>107</v>
      </c>
      <c r="C4073" t="s">
        <v>51</v>
      </c>
      <c r="D4073" t="s">
        <v>29</v>
      </c>
      <c r="E4073">
        <v>2016</v>
      </c>
      <c r="F4073" t="s">
        <v>20</v>
      </c>
      <c r="G4073" t="s">
        <v>17</v>
      </c>
      <c r="H4073" s="2">
        <v>-134.54</v>
      </c>
    </row>
    <row r="4074" spans="1:8">
      <c r="A4074" t="s">
        <v>106</v>
      </c>
      <c r="B4074" t="s">
        <v>107</v>
      </c>
      <c r="C4074" t="s">
        <v>51</v>
      </c>
      <c r="D4074" t="s">
        <v>29</v>
      </c>
      <c r="E4074">
        <v>2016</v>
      </c>
      <c r="F4074" t="s">
        <v>16</v>
      </c>
      <c r="G4074" t="s">
        <v>19</v>
      </c>
      <c r="H4074" s="2">
        <v>0</v>
      </c>
    </row>
    <row r="4075" spans="1:8">
      <c r="A4075" t="s">
        <v>106</v>
      </c>
      <c r="B4075" t="s">
        <v>107</v>
      </c>
      <c r="C4075" t="s">
        <v>51</v>
      </c>
      <c r="D4075" t="s">
        <v>29</v>
      </c>
      <c r="E4075">
        <v>2016</v>
      </c>
      <c r="F4075" t="s">
        <v>16</v>
      </c>
      <c r="G4075" t="s">
        <v>17</v>
      </c>
      <c r="H4075" s="2">
        <v>1911.36</v>
      </c>
    </row>
    <row r="4076" spans="1:8">
      <c r="A4076" t="s">
        <v>106</v>
      </c>
      <c r="B4076" t="s">
        <v>107</v>
      </c>
      <c r="C4076" t="s">
        <v>51</v>
      </c>
      <c r="D4076" t="s">
        <v>29</v>
      </c>
      <c r="E4076">
        <v>2017</v>
      </c>
      <c r="F4076" t="s">
        <v>21</v>
      </c>
      <c r="G4076" t="s">
        <v>13</v>
      </c>
      <c r="H4076" s="2">
        <v>94093.35</v>
      </c>
    </row>
    <row r="4077" spans="1:8">
      <c r="A4077" t="s">
        <v>106</v>
      </c>
      <c r="B4077" t="s">
        <v>107</v>
      </c>
      <c r="C4077" t="s">
        <v>51</v>
      </c>
      <c r="D4077" t="s">
        <v>29</v>
      </c>
      <c r="E4077">
        <v>2017</v>
      </c>
      <c r="F4077" t="s">
        <v>16</v>
      </c>
      <c r="G4077" t="s">
        <v>17</v>
      </c>
      <c r="H4077" s="2">
        <v>1874.85</v>
      </c>
    </row>
    <row r="4078" spans="1:8">
      <c r="A4078" t="s">
        <v>106</v>
      </c>
      <c r="B4078" t="s">
        <v>107</v>
      </c>
      <c r="C4078" t="s">
        <v>51</v>
      </c>
      <c r="D4078" t="s">
        <v>29</v>
      </c>
      <c r="E4078">
        <v>2018</v>
      </c>
      <c r="F4078" t="s">
        <v>14</v>
      </c>
      <c r="G4078" t="s">
        <v>15</v>
      </c>
      <c r="H4078" s="2">
        <v>2004.84</v>
      </c>
    </row>
    <row r="4079" spans="1:8">
      <c r="A4079" t="s">
        <v>106</v>
      </c>
      <c r="B4079" t="s">
        <v>107</v>
      </c>
      <c r="C4079" t="s">
        <v>51</v>
      </c>
      <c r="D4079" t="s">
        <v>29</v>
      </c>
      <c r="E4079">
        <v>2018</v>
      </c>
      <c r="F4079" t="s">
        <v>16</v>
      </c>
      <c r="G4079" t="s">
        <v>17</v>
      </c>
      <c r="H4079" s="2">
        <v>1898.76</v>
      </c>
    </row>
    <row r="4080" spans="1:8">
      <c r="A4080" t="s">
        <v>106</v>
      </c>
      <c r="B4080" t="s">
        <v>107</v>
      </c>
      <c r="C4080" t="s">
        <v>51</v>
      </c>
      <c r="D4080" t="s">
        <v>29</v>
      </c>
      <c r="E4080">
        <v>2020</v>
      </c>
      <c r="F4080" t="s">
        <v>12</v>
      </c>
      <c r="G4080" t="s">
        <v>19</v>
      </c>
      <c r="H4080" s="2">
        <v>0</v>
      </c>
    </row>
    <row r="4081" spans="1:8">
      <c r="A4081" t="s">
        <v>106</v>
      </c>
      <c r="B4081" t="s">
        <v>107</v>
      </c>
      <c r="C4081" t="s">
        <v>51</v>
      </c>
      <c r="D4081" t="s">
        <v>29</v>
      </c>
      <c r="E4081">
        <v>2020</v>
      </c>
      <c r="F4081" t="s">
        <v>12</v>
      </c>
      <c r="G4081" t="s">
        <v>17</v>
      </c>
      <c r="H4081" s="2">
        <v>1469.83</v>
      </c>
    </row>
    <row r="4082" spans="1:8">
      <c r="A4082" t="s">
        <v>106</v>
      </c>
      <c r="B4082" t="s">
        <v>107</v>
      </c>
      <c r="C4082" t="s">
        <v>51</v>
      </c>
      <c r="D4082" t="s">
        <v>29</v>
      </c>
      <c r="E4082">
        <v>2020</v>
      </c>
      <c r="F4082" t="s">
        <v>20</v>
      </c>
      <c r="G4082" t="s">
        <v>17</v>
      </c>
      <c r="H4082" s="2">
        <v>-116.16</v>
      </c>
    </row>
    <row r="4083" spans="1:8">
      <c r="A4083" t="s">
        <v>106</v>
      </c>
      <c r="B4083" t="s">
        <v>107</v>
      </c>
      <c r="C4083" t="s">
        <v>51</v>
      </c>
      <c r="D4083" t="s">
        <v>29</v>
      </c>
      <c r="E4083">
        <v>2020</v>
      </c>
      <c r="F4083" t="s">
        <v>14</v>
      </c>
      <c r="G4083" t="s">
        <v>19</v>
      </c>
      <c r="H4083" s="2">
        <v>0</v>
      </c>
    </row>
    <row r="4084" spans="1:8">
      <c r="A4084" t="s">
        <v>106</v>
      </c>
      <c r="B4084" t="s">
        <v>107</v>
      </c>
      <c r="C4084" t="s">
        <v>51</v>
      </c>
      <c r="D4084" t="s">
        <v>29</v>
      </c>
      <c r="E4084">
        <v>2020</v>
      </c>
      <c r="F4084" t="s">
        <v>21</v>
      </c>
      <c r="G4084" t="s">
        <v>15</v>
      </c>
      <c r="H4084" s="2">
        <v>2033.61</v>
      </c>
    </row>
    <row r="4085" spans="1:8">
      <c r="A4085" t="s">
        <v>106</v>
      </c>
      <c r="B4085" t="s">
        <v>107</v>
      </c>
      <c r="C4085" t="s">
        <v>51</v>
      </c>
      <c r="D4085" t="s">
        <v>29</v>
      </c>
      <c r="E4085">
        <v>2021</v>
      </c>
      <c r="F4085" t="s">
        <v>12</v>
      </c>
      <c r="G4085" t="s">
        <v>19</v>
      </c>
      <c r="H4085" s="2">
        <v>0</v>
      </c>
    </row>
    <row r="4086" spans="1:8">
      <c r="A4086" t="s">
        <v>106</v>
      </c>
      <c r="B4086" t="s">
        <v>107</v>
      </c>
      <c r="C4086" t="s">
        <v>51</v>
      </c>
      <c r="D4086" t="s">
        <v>29</v>
      </c>
      <c r="E4086">
        <v>2021</v>
      </c>
      <c r="F4086" t="s">
        <v>18</v>
      </c>
      <c r="G4086" t="s">
        <v>19</v>
      </c>
      <c r="H4086" s="2">
        <v>2036.98</v>
      </c>
    </row>
    <row r="4087" spans="1:8">
      <c r="A4087" t="s">
        <v>106</v>
      </c>
      <c r="B4087" t="s">
        <v>107</v>
      </c>
      <c r="C4087" t="s">
        <v>51</v>
      </c>
      <c r="D4087" t="s">
        <v>29</v>
      </c>
      <c r="E4087">
        <v>2021</v>
      </c>
      <c r="F4087" t="s">
        <v>21</v>
      </c>
      <c r="G4087" t="s">
        <v>15</v>
      </c>
      <c r="H4087" s="2">
        <v>1987.64</v>
      </c>
    </row>
    <row r="4088" spans="1:8">
      <c r="A4088" t="s">
        <v>106</v>
      </c>
      <c r="B4088" t="s">
        <v>107</v>
      </c>
      <c r="C4088" t="s">
        <v>51</v>
      </c>
      <c r="D4088" t="s">
        <v>29</v>
      </c>
      <c r="E4088">
        <v>2022</v>
      </c>
      <c r="F4088" t="s">
        <v>12</v>
      </c>
      <c r="G4088" t="s">
        <v>17</v>
      </c>
      <c r="H4088" s="2">
        <v>1396.96</v>
      </c>
    </row>
    <row r="4089" spans="1:8">
      <c r="A4089" t="s">
        <v>106</v>
      </c>
      <c r="B4089" t="s">
        <v>107</v>
      </c>
      <c r="C4089" t="s">
        <v>51</v>
      </c>
      <c r="D4089" t="s">
        <v>29</v>
      </c>
      <c r="E4089">
        <v>2022</v>
      </c>
      <c r="F4089" t="s">
        <v>18</v>
      </c>
      <c r="G4089" t="s">
        <v>19</v>
      </c>
      <c r="H4089" s="2">
        <v>1824.62</v>
      </c>
    </row>
    <row r="4090" spans="1:8">
      <c r="A4090" t="s">
        <v>106</v>
      </c>
      <c r="B4090" t="s">
        <v>107</v>
      </c>
      <c r="C4090" t="s">
        <v>51</v>
      </c>
      <c r="D4090" t="s">
        <v>29</v>
      </c>
      <c r="E4090">
        <v>2022</v>
      </c>
      <c r="F4090" t="s">
        <v>21</v>
      </c>
      <c r="G4090" t="s">
        <v>13</v>
      </c>
      <c r="H4090" s="2">
        <v>84554.69</v>
      </c>
    </row>
    <row r="4091" spans="1:8">
      <c r="A4091" t="s">
        <v>106</v>
      </c>
      <c r="B4091" t="s">
        <v>107</v>
      </c>
      <c r="C4091" t="s">
        <v>51</v>
      </c>
      <c r="D4091" t="s">
        <v>29</v>
      </c>
      <c r="E4091">
        <v>2022</v>
      </c>
      <c r="F4091" t="s">
        <v>16</v>
      </c>
      <c r="G4091" t="s">
        <v>19</v>
      </c>
      <c r="H4091" s="2">
        <v>0</v>
      </c>
    </row>
    <row r="4092" spans="1:8">
      <c r="A4092" t="s">
        <v>106</v>
      </c>
      <c r="B4092" t="s">
        <v>107</v>
      </c>
      <c r="C4092" t="s">
        <v>51</v>
      </c>
      <c r="D4092" t="s">
        <v>29</v>
      </c>
      <c r="E4092">
        <v>2022</v>
      </c>
      <c r="F4092" t="s">
        <v>16</v>
      </c>
      <c r="G4092" t="s">
        <v>17</v>
      </c>
      <c r="H4092" s="2">
        <v>1683.96</v>
      </c>
    </row>
    <row r="4093" spans="1:8">
      <c r="A4093" t="s">
        <v>106</v>
      </c>
      <c r="B4093" t="s">
        <v>107</v>
      </c>
      <c r="C4093" t="s">
        <v>51</v>
      </c>
      <c r="D4093" t="s">
        <v>29</v>
      </c>
      <c r="E4093">
        <v>2023</v>
      </c>
      <c r="F4093" t="s">
        <v>22</v>
      </c>
      <c r="G4093" t="s">
        <v>13</v>
      </c>
      <c r="H4093" s="2">
        <v>8733.92</v>
      </c>
    </row>
    <row r="4094" spans="1:8">
      <c r="A4094" t="s">
        <v>106</v>
      </c>
      <c r="B4094" t="s">
        <v>107</v>
      </c>
      <c r="C4094" t="s">
        <v>51</v>
      </c>
      <c r="D4094" t="s">
        <v>29</v>
      </c>
      <c r="E4094">
        <v>2024</v>
      </c>
      <c r="F4094" t="s">
        <v>12</v>
      </c>
      <c r="G4094" t="s">
        <v>15</v>
      </c>
      <c r="H4094" s="2">
        <v>3157.17</v>
      </c>
    </row>
    <row r="4095" spans="1:8">
      <c r="A4095" t="s">
        <v>106</v>
      </c>
      <c r="B4095" t="s">
        <v>107</v>
      </c>
      <c r="C4095" t="s">
        <v>51</v>
      </c>
      <c r="D4095" t="s">
        <v>29</v>
      </c>
      <c r="E4095">
        <v>2024</v>
      </c>
      <c r="F4095" t="s">
        <v>20</v>
      </c>
      <c r="G4095" t="s">
        <v>17</v>
      </c>
      <c r="H4095" s="2">
        <v>-107.04</v>
      </c>
    </row>
    <row r="4096" spans="1:8">
      <c r="A4096" t="s">
        <v>106</v>
      </c>
      <c r="B4096" t="s">
        <v>107</v>
      </c>
      <c r="C4096" t="s">
        <v>51</v>
      </c>
      <c r="D4096" t="s">
        <v>29</v>
      </c>
      <c r="E4096">
        <v>2024</v>
      </c>
      <c r="F4096" t="s">
        <v>14</v>
      </c>
      <c r="G4096" t="s">
        <v>15</v>
      </c>
      <c r="H4096" s="2">
        <v>1915.09</v>
      </c>
    </row>
    <row r="4097" spans="1:8">
      <c r="A4097" t="s">
        <v>106</v>
      </c>
      <c r="B4097" t="s">
        <v>107</v>
      </c>
      <c r="C4097" t="s">
        <v>51</v>
      </c>
      <c r="D4097" t="s">
        <v>29</v>
      </c>
      <c r="E4097">
        <v>2024</v>
      </c>
      <c r="F4097" t="s">
        <v>16</v>
      </c>
      <c r="G4097" t="s">
        <v>13</v>
      </c>
      <c r="H4097" s="2">
        <v>5432.12</v>
      </c>
    </row>
    <row r="4098" spans="1:8">
      <c r="A4098" t="s">
        <v>108</v>
      </c>
      <c r="B4098" t="s">
        <v>109</v>
      </c>
      <c r="C4098" t="s">
        <v>32</v>
      </c>
      <c r="D4098" t="s">
        <v>11</v>
      </c>
      <c r="E4098">
        <v>1991</v>
      </c>
      <c r="F4098" t="s">
        <v>12</v>
      </c>
      <c r="G4098" t="s">
        <v>13</v>
      </c>
      <c r="H4098" s="2">
        <v>22903.83</v>
      </c>
    </row>
    <row r="4099" spans="1:8">
      <c r="A4099" t="s">
        <v>108</v>
      </c>
      <c r="B4099" t="s">
        <v>109</v>
      </c>
      <c r="C4099" t="s">
        <v>32</v>
      </c>
      <c r="D4099" t="s">
        <v>11</v>
      </c>
      <c r="E4099">
        <v>1991</v>
      </c>
      <c r="F4099" t="s">
        <v>18</v>
      </c>
      <c r="G4099" t="s">
        <v>13</v>
      </c>
      <c r="H4099" s="2">
        <v>35984.22</v>
      </c>
    </row>
    <row r="4100" spans="1:8">
      <c r="A4100" t="s">
        <v>108</v>
      </c>
      <c r="B4100" t="s">
        <v>109</v>
      </c>
      <c r="C4100" t="s">
        <v>32</v>
      </c>
      <c r="D4100" t="s">
        <v>11</v>
      </c>
      <c r="E4100">
        <v>1991</v>
      </c>
      <c r="F4100" t="s">
        <v>14</v>
      </c>
      <c r="G4100" t="s">
        <v>13</v>
      </c>
      <c r="H4100" s="2">
        <v>27666.39</v>
      </c>
    </row>
    <row r="4101" spans="1:8">
      <c r="A4101" t="s">
        <v>108</v>
      </c>
      <c r="B4101" t="s">
        <v>109</v>
      </c>
      <c r="C4101" t="s">
        <v>32</v>
      </c>
      <c r="D4101" t="s">
        <v>11</v>
      </c>
      <c r="E4101">
        <v>1992</v>
      </c>
      <c r="F4101" t="s">
        <v>18</v>
      </c>
      <c r="G4101" t="s">
        <v>15</v>
      </c>
      <c r="H4101" s="2">
        <v>2213.17</v>
      </c>
    </row>
    <row r="4102" spans="1:8">
      <c r="A4102" t="s">
        <v>108</v>
      </c>
      <c r="B4102" t="s">
        <v>109</v>
      </c>
      <c r="C4102" t="s">
        <v>32</v>
      </c>
      <c r="D4102" t="s">
        <v>11</v>
      </c>
      <c r="E4102">
        <v>1992</v>
      </c>
      <c r="F4102" t="s">
        <v>20</v>
      </c>
      <c r="G4102" t="s">
        <v>19</v>
      </c>
      <c r="H4102" s="2">
        <v>0</v>
      </c>
    </row>
    <row r="4103" spans="1:8">
      <c r="A4103" t="s">
        <v>108</v>
      </c>
      <c r="B4103" t="s">
        <v>109</v>
      </c>
      <c r="C4103" t="s">
        <v>32</v>
      </c>
      <c r="D4103" t="s">
        <v>11</v>
      </c>
      <c r="E4103">
        <v>1992</v>
      </c>
      <c r="F4103" t="s">
        <v>14</v>
      </c>
      <c r="G4103" t="s">
        <v>15</v>
      </c>
      <c r="H4103" s="2">
        <v>809.08</v>
      </c>
    </row>
    <row r="4104" spans="1:8">
      <c r="A4104" t="s">
        <v>108</v>
      </c>
      <c r="B4104" t="s">
        <v>109</v>
      </c>
      <c r="C4104" t="s">
        <v>32</v>
      </c>
      <c r="D4104" t="s">
        <v>11</v>
      </c>
      <c r="E4104">
        <v>1992</v>
      </c>
      <c r="F4104" t="s">
        <v>21</v>
      </c>
      <c r="G4104" t="s">
        <v>13</v>
      </c>
      <c r="H4104" s="2">
        <v>34694.089999999997</v>
      </c>
    </row>
    <row r="4105" spans="1:8">
      <c r="A4105" t="s">
        <v>108</v>
      </c>
      <c r="B4105" t="s">
        <v>109</v>
      </c>
      <c r="C4105" t="s">
        <v>32</v>
      </c>
      <c r="D4105" t="s">
        <v>11</v>
      </c>
      <c r="E4105">
        <v>1992</v>
      </c>
      <c r="F4105" t="s">
        <v>16</v>
      </c>
      <c r="G4105" t="s">
        <v>17</v>
      </c>
      <c r="H4105" s="2">
        <v>942.34</v>
      </c>
    </row>
    <row r="4106" spans="1:8">
      <c r="A4106" t="s">
        <v>108</v>
      </c>
      <c r="B4106" t="s">
        <v>109</v>
      </c>
      <c r="C4106" t="s">
        <v>32</v>
      </c>
      <c r="D4106" t="s">
        <v>11</v>
      </c>
      <c r="E4106">
        <v>1993</v>
      </c>
      <c r="F4106" t="s">
        <v>22</v>
      </c>
      <c r="G4106" t="s">
        <v>13</v>
      </c>
      <c r="H4106" s="2">
        <v>841.53</v>
      </c>
    </row>
    <row r="4107" spans="1:8">
      <c r="A4107" t="s">
        <v>108</v>
      </c>
      <c r="B4107" t="s">
        <v>109</v>
      </c>
      <c r="C4107" t="s">
        <v>32</v>
      </c>
      <c r="D4107" t="s">
        <v>11</v>
      </c>
      <c r="E4107">
        <v>1993</v>
      </c>
      <c r="F4107" t="s">
        <v>18</v>
      </c>
      <c r="G4107" t="s">
        <v>19</v>
      </c>
      <c r="H4107" s="2">
        <v>2359.98</v>
      </c>
    </row>
    <row r="4108" spans="1:8">
      <c r="A4108" t="s">
        <v>108</v>
      </c>
      <c r="B4108" t="s">
        <v>109</v>
      </c>
      <c r="C4108" t="s">
        <v>32</v>
      </c>
      <c r="D4108" t="s">
        <v>11</v>
      </c>
      <c r="E4108">
        <v>1993</v>
      </c>
      <c r="F4108" t="s">
        <v>20</v>
      </c>
      <c r="G4108" t="s">
        <v>15</v>
      </c>
      <c r="H4108" s="2">
        <v>-231.97</v>
      </c>
    </row>
    <row r="4109" spans="1:8">
      <c r="A4109" t="s">
        <v>108</v>
      </c>
      <c r="B4109" t="s">
        <v>109</v>
      </c>
      <c r="C4109" t="s">
        <v>32</v>
      </c>
      <c r="D4109" t="s">
        <v>11</v>
      </c>
      <c r="E4109">
        <v>1994</v>
      </c>
      <c r="F4109" t="s">
        <v>12</v>
      </c>
      <c r="G4109" t="s">
        <v>15</v>
      </c>
      <c r="H4109" s="2">
        <v>1830.34</v>
      </c>
    </row>
    <row r="4110" spans="1:8">
      <c r="A4110" t="s">
        <v>108</v>
      </c>
      <c r="B4110" t="s">
        <v>109</v>
      </c>
      <c r="C4110" t="s">
        <v>32</v>
      </c>
      <c r="D4110" t="s">
        <v>11</v>
      </c>
      <c r="E4110">
        <v>1994</v>
      </c>
      <c r="F4110" t="s">
        <v>20</v>
      </c>
      <c r="G4110" t="s">
        <v>15</v>
      </c>
      <c r="H4110" s="2">
        <v>-215.5</v>
      </c>
    </row>
    <row r="4111" spans="1:8">
      <c r="A4111" t="s">
        <v>108</v>
      </c>
      <c r="B4111" t="s">
        <v>109</v>
      </c>
      <c r="C4111" t="s">
        <v>32</v>
      </c>
      <c r="D4111" t="s">
        <v>11</v>
      </c>
      <c r="E4111">
        <v>1995</v>
      </c>
      <c r="F4111" t="s">
        <v>21</v>
      </c>
      <c r="G4111" t="s">
        <v>19</v>
      </c>
      <c r="H4111" s="2">
        <v>0</v>
      </c>
    </row>
    <row r="4112" spans="1:8">
      <c r="A4112" t="s">
        <v>108</v>
      </c>
      <c r="B4112" t="s">
        <v>109</v>
      </c>
      <c r="C4112" t="s">
        <v>32</v>
      </c>
      <c r="D4112" t="s">
        <v>11</v>
      </c>
      <c r="E4112">
        <v>1995</v>
      </c>
      <c r="F4112" t="s">
        <v>16</v>
      </c>
      <c r="G4112" t="s">
        <v>17</v>
      </c>
      <c r="H4112" s="2">
        <v>1133.07</v>
      </c>
    </row>
    <row r="4113" spans="1:8">
      <c r="A4113" t="s">
        <v>108</v>
      </c>
      <c r="B4113" t="s">
        <v>109</v>
      </c>
      <c r="C4113" t="s">
        <v>32</v>
      </c>
      <c r="D4113" t="s">
        <v>11</v>
      </c>
      <c r="E4113">
        <v>1996</v>
      </c>
      <c r="F4113" t="s">
        <v>22</v>
      </c>
      <c r="G4113" t="s">
        <v>13</v>
      </c>
      <c r="H4113" s="2">
        <v>869.66</v>
      </c>
    </row>
    <row r="4114" spans="1:8">
      <c r="A4114" t="s">
        <v>108</v>
      </c>
      <c r="B4114" t="s">
        <v>109</v>
      </c>
      <c r="C4114" t="s">
        <v>32</v>
      </c>
      <c r="D4114" t="s">
        <v>11</v>
      </c>
      <c r="E4114">
        <v>1996</v>
      </c>
      <c r="F4114" t="s">
        <v>21</v>
      </c>
      <c r="G4114" t="s">
        <v>15</v>
      </c>
      <c r="H4114" s="2">
        <v>689.34</v>
      </c>
    </row>
    <row r="4115" spans="1:8">
      <c r="A4115" t="s">
        <v>108</v>
      </c>
      <c r="B4115" t="s">
        <v>109</v>
      </c>
      <c r="C4115" t="s">
        <v>32</v>
      </c>
      <c r="D4115" t="s">
        <v>11</v>
      </c>
      <c r="E4115">
        <v>1997</v>
      </c>
      <c r="F4115" t="s">
        <v>22</v>
      </c>
      <c r="G4115" t="s">
        <v>13</v>
      </c>
      <c r="H4115" s="2">
        <v>880.73</v>
      </c>
    </row>
    <row r="4116" spans="1:8">
      <c r="A4116" t="s">
        <v>108</v>
      </c>
      <c r="B4116" t="s">
        <v>109</v>
      </c>
      <c r="C4116" t="s">
        <v>32</v>
      </c>
      <c r="D4116" t="s">
        <v>11</v>
      </c>
      <c r="E4116">
        <v>1997</v>
      </c>
      <c r="F4116" t="s">
        <v>22</v>
      </c>
      <c r="G4116" t="s">
        <v>19</v>
      </c>
      <c r="H4116" s="2">
        <v>0</v>
      </c>
    </row>
    <row r="4117" spans="1:8">
      <c r="A4117" t="s">
        <v>108</v>
      </c>
      <c r="B4117" t="s">
        <v>109</v>
      </c>
      <c r="C4117" t="s">
        <v>32</v>
      </c>
      <c r="D4117" t="s">
        <v>11</v>
      </c>
      <c r="E4117">
        <v>1997</v>
      </c>
      <c r="F4117" t="s">
        <v>22</v>
      </c>
      <c r="G4117" t="s">
        <v>17</v>
      </c>
      <c r="H4117" s="2">
        <v>1711.48</v>
      </c>
    </row>
    <row r="4118" spans="1:8">
      <c r="A4118" t="s">
        <v>108</v>
      </c>
      <c r="B4118" t="s">
        <v>109</v>
      </c>
      <c r="C4118" t="s">
        <v>32</v>
      </c>
      <c r="D4118" t="s">
        <v>11</v>
      </c>
      <c r="E4118">
        <v>1997</v>
      </c>
      <c r="F4118" t="s">
        <v>12</v>
      </c>
      <c r="G4118" t="s">
        <v>15</v>
      </c>
      <c r="H4118" s="2">
        <v>1915.59</v>
      </c>
    </row>
    <row r="4119" spans="1:8">
      <c r="A4119" t="s">
        <v>108</v>
      </c>
      <c r="B4119" t="s">
        <v>109</v>
      </c>
      <c r="C4119" t="s">
        <v>32</v>
      </c>
      <c r="D4119" t="s">
        <v>11</v>
      </c>
      <c r="E4119">
        <v>1997</v>
      </c>
      <c r="F4119" t="s">
        <v>12</v>
      </c>
      <c r="G4119" t="s">
        <v>13</v>
      </c>
      <c r="H4119" s="2">
        <v>24350.57</v>
      </c>
    </row>
    <row r="4120" spans="1:8">
      <c r="A4120" t="s">
        <v>108</v>
      </c>
      <c r="B4120" t="s">
        <v>109</v>
      </c>
      <c r="C4120" t="s">
        <v>32</v>
      </c>
      <c r="D4120" t="s">
        <v>11</v>
      </c>
      <c r="E4120">
        <v>1997</v>
      </c>
      <c r="F4120" t="s">
        <v>18</v>
      </c>
      <c r="G4120" t="s">
        <v>13</v>
      </c>
      <c r="H4120" s="2">
        <v>39570.129999999997</v>
      </c>
    </row>
    <row r="4121" spans="1:8">
      <c r="A4121" t="s">
        <v>108</v>
      </c>
      <c r="B4121" t="s">
        <v>109</v>
      </c>
      <c r="C4121" t="s">
        <v>32</v>
      </c>
      <c r="D4121" t="s">
        <v>11</v>
      </c>
      <c r="E4121">
        <v>1997</v>
      </c>
      <c r="F4121" t="s">
        <v>14</v>
      </c>
      <c r="G4121" t="s">
        <v>15</v>
      </c>
      <c r="H4121" s="2">
        <v>902.06</v>
      </c>
    </row>
    <row r="4122" spans="1:8">
      <c r="A4122" t="s">
        <v>108</v>
      </c>
      <c r="B4122" t="s">
        <v>109</v>
      </c>
      <c r="C4122" t="s">
        <v>32</v>
      </c>
      <c r="D4122" t="s">
        <v>11</v>
      </c>
      <c r="E4122">
        <v>1997</v>
      </c>
      <c r="F4122" t="s">
        <v>21</v>
      </c>
      <c r="G4122" t="s">
        <v>13</v>
      </c>
      <c r="H4122" s="2">
        <v>38106.61</v>
      </c>
    </row>
    <row r="4123" spans="1:8">
      <c r="A4123" t="s">
        <v>108</v>
      </c>
      <c r="B4123" t="s">
        <v>109</v>
      </c>
      <c r="C4123" t="s">
        <v>32</v>
      </c>
      <c r="D4123" t="s">
        <v>11</v>
      </c>
      <c r="E4123">
        <v>1997</v>
      </c>
      <c r="F4123" t="s">
        <v>16</v>
      </c>
      <c r="G4123" t="s">
        <v>19</v>
      </c>
      <c r="H4123" s="2">
        <v>0</v>
      </c>
    </row>
    <row r="4124" spans="1:8">
      <c r="A4124" t="s">
        <v>108</v>
      </c>
      <c r="B4124" t="s">
        <v>109</v>
      </c>
      <c r="C4124" t="s">
        <v>32</v>
      </c>
      <c r="D4124" t="s">
        <v>11</v>
      </c>
      <c r="E4124">
        <v>1998</v>
      </c>
      <c r="F4124" t="s">
        <v>12</v>
      </c>
      <c r="G4124" t="s">
        <v>17</v>
      </c>
      <c r="H4124" s="2">
        <v>780.76</v>
      </c>
    </row>
    <row r="4125" spans="1:8">
      <c r="A4125" t="s">
        <v>108</v>
      </c>
      <c r="B4125" t="s">
        <v>109</v>
      </c>
      <c r="C4125" t="s">
        <v>32</v>
      </c>
      <c r="D4125" t="s">
        <v>11</v>
      </c>
      <c r="E4125">
        <v>1998</v>
      </c>
      <c r="F4125" t="s">
        <v>20</v>
      </c>
      <c r="G4125" t="s">
        <v>15</v>
      </c>
      <c r="H4125" s="2">
        <v>-203.46</v>
      </c>
    </row>
    <row r="4126" spans="1:8">
      <c r="A4126" t="s">
        <v>108</v>
      </c>
      <c r="B4126" t="s">
        <v>109</v>
      </c>
      <c r="C4126" t="s">
        <v>32</v>
      </c>
      <c r="D4126" t="s">
        <v>11</v>
      </c>
      <c r="E4126">
        <v>1998</v>
      </c>
      <c r="F4126" t="s">
        <v>20</v>
      </c>
      <c r="G4126" t="s">
        <v>17</v>
      </c>
      <c r="H4126" s="2">
        <v>-203.38</v>
      </c>
    </row>
    <row r="4127" spans="1:8">
      <c r="A4127" t="s">
        <v>108</v>
      </c>
      <c r="B4127" t="s">
        <v>109</v>
      </c>
      <c r="C4127" t="s">
        <v>32</v>
      </c>
      <c r="D4127" t="s">
        <v>11</v>
      </c>
      <c r="E4127">
        <v>1998</v>
      </c>
      <c r="F4127" t="s">
        <v>14</v>
      </c>
      <c r="G4127" t="s">
        <v>17</v>
      </c>
      <c r="H4127" s="2">
        <v>670.66</v>
      </c>
    </row>
    <row r="4128" spans="1:8">
      <c r="A4128" t="s">
        <v>108</v>
      </c>
      <c r="B4128" t="s">
        <v>109</v>
      </c>
      <c r="C4128" t="s">
        <v>32</v>
      </c>
      <c r="D4128" t="s">
        <v>11</v>
      </c>
      <c r="E4128">
        <v>1998</v>
      </c>
      <c r="F4128" t="s">
        <v>21</v>
      </c>
      <c r="G4128" t="s">
        <v>13</v>
      </c>
      <c r="H4128" s="2">
        <v>39531.08</v>
      </c>
    </row>
    <row r="4129" spans="1:8">
      <c r="A4129" t="s">
        <v>108</v>
      </c>
      <c r="B4129" t="s">
        <v>109</v>
      </c>
      <c r="C4129" t="s">
        <v>32</v>
      </c>
      <c r="D4129" t="s">
        <v>11</v>
      </c>
      <c r="E4129">
        <v>1998</v>
      </c>
      <c r="F4129" t="s">
        <v>16</v>
      </c>
      <c r="G4129" t="s">
        <v>15</v>
      </c>
      <c r="H4129" s="2">
        <v>17373.73</v>
      </c>
    </row>
    <row r="4130" spans="1:8">
      <c r="A4130" t="s">
        <v>108</v>
      </c>
      <c r="B4130" t="s">
        <v>109</v>
      </c>
      <c r="C4130" t="s">
        <v>32</v>
      </c>
      <c r="D4130" t="s">
        <v>11</v>
      </c>
      <c r="E4130">
        <v>1999</v>
      </c>
      <c r="F4130" t="s">
        <v>18</v>
      </c>
      <c r="G4130" t="s">
        <v>15</v>
      </c>
      <c r="H4130" s="2">
        <v>2671.6</v>
      </c>
    </row>
    <row r="4131" spans="1:8">
      <c r="A4131" t="s">
        <v>108</v>
      </c>
      <c r="B4131" t="s">
        <v>109</v>
      </c>
      <c r="C4131" t="s">
        <v>32</v>
      </c>
      <c r="D4131" t="s">
        <v>11</v>
      </c>
      <c r="E4131">
        <v>1999</v>
      </c>
      <c r="F4131" t="s">
        <v>18</v>
      </c>
      <c r="G4131" t="s">
        <v>13</v>
      </c>
      <c r="H4131" s="2">
        <v>39633.69</v>
      </c>
    </row>
    <row r="4132" spans="1:8">
      <c r="A4132" t="s">
        <v>108</v>
      </c>
      <c r="B4132" t="s">
        <v>109</v>
      </c>
      <c r="C4132" t="s">
        <v>32</v>
      </c>
      <c r="D4132" t="s">
        <v>11</v>
      </c>
      <c r="E4132">
        <v>1999</v>
      </c>
      <c r="F4132" t="s">
        <v>21</v>
      </c>
      <c r="G4132" t="s">
        <v>19</v>
      </c>
      <c r="H4132" s="2">
        <v>0</v>
      </c>
    </row>
    <row r="4133" spans="1:8">
      <c r="A4133" t="s">
        <v>108</v>
      </c>
      <c r="B4133" t="s">
        <v>109</v>
      </c>
      <c r="C4133" t="s">
        <v>32</v>
      </c>
      <c r="D4133" t="s">
        <v>11</v>
      </c>
      <c r="E4133">
        <v>2000</v>
      </c>
      <c r="F4133" t="s">
        <v>12</v>
      </c>
      <c r="G4133" t="s">
        <v>13</v>
      </c>
      <c r="H4133" s="2">
        <v>28148.07</v>
      </c>
    </row>
    <row r="4134" spans="1:8">
      <c r="A4134" t="s">
        <v>108</v>
      </c>
      <c r="B4134" t="s">
        <v>109</v>
      </c>
      <c r="C4134" t="s">
        <v>32</v>
      </c>
      <c r="D4134" t="s">
        <v>11</v>
      </c>
      <c r="E4134">
        <v>2000</v>
      </c>
      <c r="F4134" t="s">
        <v>14</v>
      </c>
      <c r="G4134" t="s">
        <v>17</v>
      </c>
      <c r="H4134" s="2">
        <v>707.07</v>
      </c>
    </row>
    <row r="4135" spans="1:8">
      <c r="A4135" t="s">
        <v>108</v>
      </c>
      <c r="B4135" t="s">
        <v>109</v>
      </c>
      <c r="C4135" t="s">
        <v>32</v>
      </c>
      <c r="D4135" t="s">
        <v>11</v>
      </c>
      <c r="E4135">
        <v>2001</v>
      </c>
      <c r="F4135" t="s">
        <v>12</v>
      </c>
      <c r="G4135" t="s">
        <v>17</v>
      </c>
      <c r="H4135" s="2">
        <v>965.93</v>
      </c>
    </row>
    <row r="4136" spans="1:8">
      <c r="A4136" t="s">
        <v>108</v>
      </c>
      <c r="B4136" t="s">
        <v>109</v>
      </c>
      <c r="C4136" t="s">
        <v>32</v>
      </c>
      <c r="D4136" t="s">
        <v>11</v>
      </c>
      <c r="E4136">
        <v>2002</v>
      </c>
      <c r="F4136" t="s">
        <v>22</v>
      </c>
      <c r="G4136" t="s">
        <v>17</v>
      </c>
      <c r="H4136" s="2">
        <v>2200.83</v>
      </c>
    </row>
    <row r="4137" spans="1:8">
      <c r="A4137" t="s">
        <v>108</v>
      </c>
      <c r="B4137" t="s">
        <v>109</v>
      </c>
      <c r="C4137" t="s">
        <v>32</v>
      </c>
      <c r="D4137" t="s">
        <v>11</v>
      </c>
      <c r="E4137">
        <v>2002</v>
      </c>
      <c r="F4137" t="s">
        <v>18</v>
      </c>
      <c r="G4137" t="s">
        <v>13</v>
      </c>
      <c r="H4137" s="2">
        <v>52044.17</v>
      </c>
    </row>
    <row r="4138" spans="1:8">
      <c r="A4138" t="s">
        <v>108</v>
      </c>
      <c r="B4138" t="s">
        <v>109</v>
      </c>
      <c r="C4138" t="s">
        <v>32</v>
      </c>
      <c r="D4138" t="s">
        <v>11</v>
      </c>
      <c r="E4138">
        <v>2002</v>
      </c>
      <c r="F4138" t="s">
        <v>20</v>
      </c>
      <c r="G4138" t="s">
        <v>13</v>
      </c>
      <c r="H4138" s="2">
        <v>-26767.23</v>
      </c>
    </row>
    <row r="4139" spans="1:8">
      <c r="A4139" t="s">
        <v>108</v>
      </c>
      <c r="B4139" t="s">
        <v>109</v>
      </c>
      <c r="C4139" t="s">
        <v>32</v>
      </c>
      <c r="D4139" t="s">
        <v>11</v>
      </c>
      <c r="E4139">
        <v>2003</v>
      </c>
      <c r="F4139" t="s">
        <v>22</v>
      </c>
      <c r="G4139" t="s">
        <v>13</v>
      </c>
      <c r="H4139" s="2">
        <v>995.38</v>
      </c>
    </row>
    <row r="4140" spans="1:8">
      <c r="A4140" t="s">
        <v>108</v>
      </c>
      <c r="B4140" t="s">
        <v>109</v>
      </c>
      <c r="C4140" t="s">
        <v>32</v>
      </c>
      <c r="D4140" t="s">
        <v>11</v>
      </c>
      <c r="E4140">
        <v>2003</v>
      </c>
      <c r="F4140" t="s">
        <v>12</v>
      </c>
      <c r="G4140" t="s">
        <v>17</v>
      </c>
      <c r="H4140" s="2">
        <v>952.22</v>
      </c>
    </row>
    <row r="4141" spans="1:8">
      <c r="A4141" t="s">
        <v>108</v>
      </c>
      <c r="B4141" t="s">
        <v>109</v>
      </c>
      <c r="C4141" t="s">
        <v>32</v>
      </c>
      <c r="D4141" t="s">
        <v>11</v>
      </c>
      <c r="E4141">
        <v>2004</v>
      </c>
      <c r="F4141" t="s">
        <v>22</v>
      </c>
      <c r="G4141" t="s">
        <v>19</v>
      </c>
      <c r="H4141" s="2">
        <v>0</v>
      </c>
    </row>
    <row r="4142" spans="1:8">
      <c r="A4142" t="s">
        <v>108</v>
      </c>
      <c r="B4142" t="s">
        <v>109</v>
      </c>
      <c r="C4142" t="s">
        <v>32</v>
      </c>
      <c r="D4142" t="s">
        <v>11</v>
      </c>
      <c r="E4142">
        <v>2004</v>
      </c>
      <c r="F4142" t="s">
        <v>12</v>
      </c>
      <c r="G4142" t="s">
        <v>13</v>
      </c>
      <c r="H4142" s="2">
        <v>27371.16</v>
      </c>
    </row>
    <row r="4143" spans="1:8">
      <c r="A4143" t="s">
        <v>108</v>
      </c>
      <c r="B4143" t="s">
        <v>109</v>
      </c>
      <c r="C4143" t="s">
        <v>32</v>
      </c>
      <c r="D4143" t="s">
        <v>11</v>
      </c>
      <c r="E4143">
        <v>2004</v>
      </c>
      <c r="F4143" t="s">
        <v>14</v>
      </c>
      <c r="G4143" t="s">
        <v>15</v>
      </c>
      <c r="H4143" s="2">
        <v>944.18</v>
      </c>
    </row>
    <row r="4144" spans="1:8">
      <c r="A4144" t="s">
        <v>108</v>
      </c>
      <c r="B4144" t="s">
        <v>109</v>
      </c>
      <c r="C4144" t="s">
        <v>32</v>
      </c>
      <c r="D4144" t="s">
        <v>11</v>
      </c>
      <c r="E4144">
        <v>2004</v>
      </c>
      <c r="F4144" t="s">
        <v>21</v>
      </c>
      <c r="G4144" t="s">
        <v>19</v>
      </c>
      <c r="H4144" s="2">
        <v>0</v>
      </c>
    </row>
    <row r="4145" spans="1:8">
      <c r="A4145" t="s">
        <v>108</v>
      </c>
      <c r="B4145" t="s">
        <v>109</v>
      </c>
      <c r="C4145" t="s">
        <v>32</v>
      </c>
      <c r="D4145" t="s">
        <v>11</v>
      </c>
      <c r="E4145">
        <v>2005</v>
      </c>
      <c r="F4145" t="s">
        <v>22</v>
      </c>
      <c r="G4145" t="s">
        <v>19</v>
      </c>
      <c r="H4145" s="2">
        <v>0</v>
      </c>
    </row>
    <row r="4146" spans="1:8">
      <c r="A4146" t="s">
        <v>108</v>
      </c>
      <c r="B4146" t="s">
        <v>109</v>
      </c>
      <c r="C4146" t="s">
        <v>32</v>
      </c>
      <c r="D4146" t="s">
        <v>11</v>
      </c>
      <c r="E4146">
        <v>2005</v>
      </c>
      <c r="F4146" t="s">
        <v>18</v>
      </c>
      <c r="G4146" t="s">
        <v>15</v>
      </c>
      <c r="H4146" s="2">
        <v>2826.33</v>
      </c>
    </row>
    <row r="4147" spans="1:8">
      <c r="A4147" t="s">
        <v>108</v>
      </c>
      <c r="B4147" t="s">
        <v>109</v>
      </c>
      <c r="C4147" t="s">
        <v>32</v>
      </c>
      <c r="D4147" t="s">
        <v>11</v>
      </c>
      <c r="E4147">
        <v>2005</v>
      </c>
      <c r="F4147" t="s">
        <v>16</v>
      </c>
      <c r="G4147" t="s">
        <v>19</v>
      </c>
      <c r="H4147" s="2">
        <v>0</v>
      </c>
    </row>
    <row r="4148" spans="1:8">
      <c r="A4148" t="s">
        <v>108</v>
      </c>
      <c r="B4148" t="s">
        <v>109</v>
      </c>
      <c r="C4148" t="s">
        <v>32</v>
      </c>
      <c r="D4148" t="s">
        <v>11</v>
      </c>
      <c r="E4148">
        <v>2006</v>
      </c>
      <c r="F4148" t="s">
        <v>22</v>
      </c>
      <c r="G4148" t="s">
        <v>15</v>
      </c>
      <c r="H4148" s="2">
        <v>8223.11</v>
      </c>
    </row>
    <row r="4149" spans="1:8">
      <c r="A4149" t="s">
        <v>108</v>
      </c>
      <c r="B4149" t="s">
        <v>109</v>
      </c>
      <c r="C4149" t="s">
        <v>32</v>
      </c>
      <c r="D4149" t="s">
        <v>11</v>
      </c>
      <c r="E4149">
        <v>2006</v>
      </c>
      <c r="F4149" t="s">
        <v>22</v>
      </c>
      <c r="G4149" t="s">
        <v>13</v>
      </c>
      <c r="H4149" s="2">
        <v>1173.98</v>
      </c>
    </row>
    <row r="4150" spans="1:8">
      <c r="A4150" t="s">
        <v>108</v>
      </c>
      <c r="B4150" t="s">
        <v>109</v>
      </c>
      <c r="C4150" t="s">
        <v>32</v>
      </c>
      <c r="D4150" t="s">
        <v>11</v>
      </c>
      <c r="E4150">
        <v>2006</v>
      </c>
      <c r="F4150" t="s">
        <v>18</v>
      </c>
      <c r="G4150" t="s">
        <v>19</v>
      </c>
      <c r="H4150" s="2">
        <v>2920.9</v>
      </c>
    </row>
    <row r="4151" spans="1:8">
      <c r="A4151" t="s">
        <v>108</v>
      </c>
      <c r="B4151" t="s">
        <v>109</v>
      </c>
      <c r="C4151" t="s">
        <v>32</v>
      </c>
      <c r="D4151" t="s">
        <v>11</v>
      </c>
      <c r="E4151">
        <v>2006</v>
      </c>
      <c r="F4151" t="s">
        <v>16</v>
      </c>
      <c r="G4151" t="s">
        <v>17</v>
      </c>
      <c r="H4151" s="2">
        <v>1298.6099999999999</v>
      </c>
    </row>
    <row r="4152" spans="1:8">
      <c r="A4152" t="s">
        <v>108</v>
      </c>
      <c r="B4152" t="s">
        <v>109</v>
      </c>
      <c r="C4152" t="s">
        <v>32</v>
      </c>
      <c r="D4152" t="s">
        <v>11</v>
      </c>
      <c r="E4152">
        <v>2007</v>
      </c>
      <c r="F4152" t="s">
        <v>22</v>
      </c>
      <c r="G4152" t="s">
        <v>19</v>
      </c>
      <c r="H4152" s="2">
        <v>0</v>
      </c>
    </row>
    <row r="4153" spans="1:8">
      <c r="A4153" t="s">
        <v>108</v>
      </c>
      <c r="B4153" t="s">
        <v>109</v>
      </c>
      <c r="C4153" t="s">
        <v>32</v>
      </c>
      <c r="D4153" t="s">
        <v>11</v>
      </c>
      <c r="E4153">
        <v>2007</v>
      </c>
      <c r="F4153" t="s">
        <v>22</v>
      </c>
      <c r="G4153" t="s">
        <v>17</v>
      </c>
      <c r="H4153" s="2">
        <v>2424.4</v>
      </c>
    </row>
    <row r="4154" spans="1:8">
      <c r="A4154" t="s">
        <v>108</v>
      </c>
      <c r="B4154" t="s">
        <v>109</v>
      </c>
      <c r="C4154" t="s">
        <v>32</v>
      </c>
      <c r="D4154" t="s">
        <v>11</v>
      </c>
      <c r="E4154">
        <v>2007</v>
      </c>
      <c r="F4154" t="s">
        <v>18</v>
      </c>
      <c r="G4154" t="s">
        <v>17</v>
      </c>
      <c r="H4154" s="2">
        <v>3375.7</v>
      </c>
    </row>
    <row r="4155" spans="1:8">
      <c r="A4155" t="s">
        <v>108</v>
      </c>
      <c r="B4155" t="s">
        <v>109</v>
      </c>
      <c r="C4155" t="s">
        <v>32</v>
      </c>
      <c r="D4155" t="s">
        <v>11</v>
      </c>
      <c r="E4155">
        <v>2007</v>
      </c>
      <c r="F4155" t="s">
        <v>21</v>
      </c>
      <c r="G4155" t="s">
        <v>17</v>
      </c>
      <c r="H4155" s="2">
        <v>508.88</v>
      </c>
    </row>
    <row r="4156" spans="1:8">
      <c r="A4156" t="s">
        <v>108</v>
      </c>
      <c r="B4156" t="s">
        <v>109</v>
      </c>
      <c r="C4156" t="s">
        <v>32</v>
      </c>
      <c r="D4156" t="s">
        <v>11</v>
      </c>
      <c r="E4156">
        <v>2007</v>
      </c>
      <c r="F4156" t="s">
        <v>16</v>
      </c>
      <c r="G4156" t="s">
        <v>13</v>
      </c>
      <c r="H4156" s="2">
        <v>4200.32</v>
      </c>
    </row>
    <row r="4157" spans="1:8">
      <c r="A4157" t="s">
        <v>108</v>
      </c>
      <c r="B4157" t="s">
        <v>109</v>
      </c>
      <c r="C4157" t="s">
        <v>32</v>
      </c>
      <c r="D4157" t="s">
        <v>11</v>
      </c>
      <c r="E4157">
        <v>2008</v>
      </c>
      <c r="F4157" t="s">
        <v>22</v>
      </c>
      <c r="G4157" t="s">
        <v>19</v>
      </c>
      <c r="H4157" s="2">
        <v>0</v>
      </c>
    </row>
    <row r="4158" spans="1:8">
      <c r="A4158" t="s">
        <v>108</v>
      </c>
      <c r="B4158" t="s">
        <v>109</v>
      </c>
      <c r="C4158" t="s">
        <v>32</v>
      </c>
      <c r="D4158" t="s">
        <v>11</v>
      </c>
      <c r="E4158">
        <v>2008</v>
      </c>
      <c r="F4158" t="s">
        <v>12</v>
      </c>
      <c r="G4158" t="s">
        <v>17</v>
      </c>
      <c r="H4158" s="2">
        <v>1141.8499999999999</v>
      </c>
    </row>
    <row r="4159" spans="1:8">
      <c r="A4159" t="s">
        <v>108</v>
      </c>
      <c r="B4159" t="s">
        <v>109</v>
      </c>
      <c r="C4159" t="s">
        <v>32</v>
      </c>
      <c r="D4159" t="s">
        <v>11</v>
      </c>
      <c r="E4159">
        <v>2008</v>
      </c>
      <c r="F4159" t="s">
        <v>20</v>
      </c>
      <c r="G4159" t="s">
        <v>13</v>
      </c>
      <c r="H4159" s="2">
        <v>-28897.69</v>
      </c>
    </row>
    <row r="4160" spans="1:8">
      <c r="A4160" t="s">
        <v>108</v>
      </c>
      <c r="B4160" t="s">
        <v>109</v>
      </c>
      <c r="C4160" t="s">
        <v>32</v>
      </c>
      <c r="D4160" t="s">
        <v>11</v>
      </c>
      <c r="E4160">
        <v>2008</v>
      </c>
      <c r="F4160" t="s">
        <v>20</v>
      </c>
      <c r="G4160" t="s">
        <v>17</v>
      </c>
      <c r="H4160" s="2">
        <v>-265</v>
      </c>
    </row>
    <row r="4161" spans="1:8">
      <c r="A4161" t="s">
        <v>108</v>
      </c>
      <c r="B4161" t="s">
        <v>109</v>
      </c>
      <c r="C4161" t="s">
        <v>32</v>
      </c>
      <c r="D4161" t="s">
        <v>11</v>
      </c>
      <c r="E4161">
        <v>2008</v>
      </c>
      <c r="F4161" t="s">
        <v>14</v>
      </c>
      <c r="G4161" t="s">
        <v>15</v>
      </c>
      <c r="H4161" s="2">
        <v>1242.68</v>
      </c>
    </row>
    <row r="4162" spans="1:8">
      <c r="A4162" t="s">
        <v>108</v>
      </c>
      <c r="B4162" t="s">
        <v>109</v>
      </c>
      <c r="C4162" t="s">
        <v>32</v>
      </c>
      <c r="D4162" t="s">
        <v>11</v>
      </c>
      <c r="E4162">
        <v>2009</v>
      </c>
      <c r="F4162" t="s">
        <v>18</v>
      </c>
      <c r="G4162" t="s">
        <v>19</v>
      </c>
      <c r="H4162" s="2">
        <v>3465.24</v>
      </c>
    </row>
    <row r="4163" spans="1:8">
      <c r="A4163" t="s">
        <v>108</v>
      </c>
      <c r="B4163" t="s">
        <v>109</v>
      </c>
      <c r="C4163" t="s">
        <v>32</v>
      </c>
      <c r="D4163" t="s">
        <v>11</v>
      </c>
      <c r="E4163">
        <v>2009</v>
      </c>
      <c r="F4163" t="s">
        <v>16</v>
      </c>
      <c r="G4163" t="s">
        <v>19</v>
      </c>
      <c r="H4163" s="2">
        <v>0</v>
      </c>
    </row>
    <row r="4164" spans="1:8">
      <c r="A4164" t="s">
        <v>108</v>
      </c>
      <c r="B4164" t="s">
        <v>109</v>
      </c>
      <c r="C4164" t="s">
        <v>32</v>
      </c>
      <c r="D4164" t="s">
        <v>11</v>
      </c>
      <c r="E4164">
        <v>2010</v>
      </c>
      <c r="F4164" t="s">
        <v>18</v>
      </c>
      <c r="G4164" t="s">
        <v>13</v>
      </c>
      <c r="H4164" s="2">
        <v>53475.360000000001</v>
      </c>
    </row>
    <row r="4165" spans="1:8">
      <c r="A4165" t="s">
        <v>108</v>
      </c>
      <c r="B4165" t="s">
        <v>109</v>
      </c>
      <c r="C4165" t="s">
        <v>32</v>
      </c>
      <c r="D4165" t="s">
        <v>11</v>
      </c>
      <c r="E4165">
        <v>2010</v>
      </c>
      <c r="F4165" t="s">
        <v>20</v>
      </c>
      <c r="G4165" t="s">
        <v>15</v>
      </c>
      <c r="H4165" s="2">
        <v>-268.51</v>
      </c>
    </row>
    <row r="4166" spans="1:8">
      <c r="A4166" t="s">
        <v>108</v>
      </c>
      <c r="B4166" t="s">
        <v>109</v>
      </c>
      <c r="C4166" t="s">
        <v>32</v>
      </c>
      <c r="D4166" t="s">
        <v>11</v>
      </c>
      <c r="E4166">
        <v>2011</v>
      </c>
      <c r="F4166" t="s">
        <v>20</v>
      </c>
      <c r="G4166" t="s">
        <v>19</v>
      </c>
      <c r="H4166" s="2">
        <v>0</v>
      </c>
    </row>
    <row r="4167" spans="1:8">
      <c r="A4167" t="s">
        <v>108</v>
      </c>
      <c r="B4167" t="s">
        <v>109</v>
      </c>
      <c r="C4167" t="s">
        <v>32</v>
      </c>
      <c r="D4167" t="s">
        <v>11</v>
      </c>
      <c r="E4167">
        <v>2012</v>
      </c>
      <c r="F4167" t="s">
        <v>12</v>
      </c>
      <c r="G4167" t="s">
        <v>19</v>
      </c>
      <c r="H4167" s="2">
        <v>0</v>
      </c>
    </row>
    <row r="4168" spans="1:8">
      <c r="A4168" t="s">
        <v>108</v>
      </c>
      <c r="B4168" t="s">
        <v>109</v>
      </c>
      <c r="C4168" t="s">
        <v>32</v>
      </c>
      <c r="D4168" t="s">
        <v>11</v>
      </c>
      <c r="E4168">
        <v>2012</v>
      </c>
      <c r="F4168" t="s">
        <v>18</v>
      </c>
      <c r="G4168" t="s">
        <v>17</v>
      </c>
      <c r="H4168" s="2">
        <v>3530.55</v>
      </c>
    </row>
    <row r="4169" spans="1:8">
      <c r="A4169" t="s">
        <v>108</v>
      </c>
      <c r="B4169" t="s">
        <v>109</v>
      </c>
      <c r="C4169" t="s">
        <v>32</v>
      </c>
      <c r="D4169" t="s">
        <v>11</v>
      </c>
      <c r="E4169">
        <v>2012</v>
      </c>
      <c r="F4169" t="s">
        <v>21</v>
      </c>
      <c r="G4169" t="s">
        <v>13</v>
      </c>
      <c r="H4169" s="2">
        <v>56552.05</v>
      </c>
    </row>
    <row r="4170" spans="1:8">
      <c r="A4170" t="s">
        <v>108</v>
      </c>
      <c r="B4170" t="s">
        <v>109</v>
      </c>
      <c r="C4170" t="s">
        <v>32</v>
      </c>
      <c r="D4170" t="s">
        <v>11</v>
      </c>
      <c r="E4170">
        <v>2012</v>
      </c>
      <c r="F4170" t="s">
        <v>21</v>
      </c>
      <c r="G4170" t="s">
        <v>19</v>
      </c>
      <c r="H4170" s="2">
        <v>0</v>
      </c>
    </row>
    <row r="4171" spans="1:8">
      <c r="A4171" t="s">
        <v>108</v>
      </c>
      <c r="B4171" t="s">
        <v>109</v>
      </c>
      <c r="C4171" t="s">
        <v>32</v>
      </c>
      <c r="D4171" t="s">
        <v>11</v>
      </c>
      <c r="E4171">
        <v>2013</v>
      </c>
      <c r="F4171" t="s">
        <v>22</v>
      </c>
      <c r="G4171" t="s">
        <v>19</v>
      </c>
      <c r="H4171" s="2">
        <v>0</v>
      </c>
    </row>
    <row r="4172" spans="1:8">
      <c r="A4172" t="s">
        <v>108</v>
      </c>
      <c r="B4172" t="s">
        <v>109</v>
      </c>
      <c r="C4172" t="s">
        <v>32</v>
      </c>
      <c r="D4172" t="s">
        <v>11</v>
      </c>
      <c r="E4172">
        <v>2013</v>
      </c>
      <c r="F4172" t="s">
        <v>20</v>
      </c>
      <c r="G4172" t="s">
        <v>15</v>
      </c>
      <c r="H4172" s="2">
        <v>-335.15</v>
      </c>
    </row>
    <row r="4173" spans="1:8">
      <c r="A4173" t="s">
        <v>108</v>
      </c>
      <c r="B4173" t="s">
        <v>109</v>
      </c>
      <c r="C4173" t="s">
        <v>32</v>
      </c>
      <c r="D4173" t="s">
        <v>11</v>
      </c>
      <c r="E4173">
        <v>2013</v>
      </c>
      <c r="F4173" t="s">
        <v>14</v>
      </c>
      <c r="G4173" t="s">
        <v>19</v>
      </c>
      <c r="H4173" s="2">
        <v>0</v>
      </c>
    </row>
    <row r="4174" spans="1:8">
      <c r="A4174" t="s">
        <v>108</v>
      </c>
      <c r="B4174" t="s">
        <v>109</v>
      </c>
      <c r="C4174" t="s">
        <v>32</v>
      </c>
      <c r="D4174" t="s">
        <v>11</v>
      </c>
      <c r="E4174">
        <v>2013</v>
      </c>
      <c r="F4174" t="s">
        <v>21</v>
      </c>
      <c r="G4174" t="s">
        <v>13</v>
      </c>
      <c r="H4174" s="2">
        <v>61896.36</v>
      </c>
    </row>
    <row r="4175" spans="1:8">
      <c r="A4175" t="s">
        <v>108</v>
      </c>
      <c r="B4175" t="s">
        <v>109</v>
      </c>
      <c r="C4175" t="s">
        <v>32</v>
      </c>
      <c r="D4175" t="s">
        <v>11</v>
      </c>
      <c r="E4175">
        <v>2014</v>
      </c>
      <c r="F4175" t="s">
        <v>22</v>
      </c>
      <c r="G4175" t="s">
        <v>15</v>
      </c>
      <c r="H4175" s="2">
        <v>8727.7800000000007</v>
      </c>
    </row>
    <row r="4176" spans="1:8">
      <c r="A4176" t="s">
        <v>108</v>
      </c>
      <c r="B4176" t="s">
        <v>109</v>
      </c>
      <c r="C4176" t="s">
        <v>32</v>
      </c>
      <c r="D4176" t="s">
        <v>11</v>
      </c>
      <c r="E4176">
        <v>2014</v>
      </c>
      <c r="F4176" t="s">
        <v>22</v>
      </c>
      <c r="G4176" t="s">
        <v>17</v>
      </c>
      <c r="H4176" s="2">
        <v>2307.89</v>
      </c>
    </row>
    <row r="4177" spans="1:8">
      <c r="A4177" t="s">
        <v>108</v>
      </c>
      <c r="B4177" t="s">
        <v>109</v>
      </c>
      <c r="C4177" t="s">
        <v>32</v>
      </c>
      <c r="D4177" t="s">
        <v>11</v>
      </c>
      <c r="E4177">
        <v>2014</v>
      </c>
      <c r="F4177" t="s">
        <v>21</v>
      </c>
      <c r="G4177" t="s">
        <v>15</v>
      </c>
      <c r="H4177" s="2">
        <v>1034.8800000000001</v>
      </c>
    </row>
    <row r="4178" spans="1:8">
      <c r="A4178" t="s">
        <v>108</v>
      </c>
      <c r="B4178" t="s">
        <v>109</v>
      </c>
      <c r="C4178" t="s">
        <v>32</v>
      </c>
      <c r="D4178" t="s">
        <v>11</v>
      </c>
      <c r="E4178">
        <v>2014</v>
      </c>
      <c r="F4178" t="s">
        <v>21</v>
      </c>
      <c r="G4178" t="s">
        <v>17</v>
      </c>
      <c r="H4178" s="2">
        <v>512.45000000000005</v>
      </c>
    </row>
    <row r="4179" spans="1:8">
      <c r="A4179" t="s">
        <v>108</v>
      </c>
      <c r="B4179" t="s">
        <v>109</v>
      </c>
      <c r="C4179" t="s">
        <v>32</v>
      </c>
      <c r="D4179" t="s">
        <v>11</v>
      </c>
      <c r="E4179">
        <v>2015</v>
      </c>
      <c r="F4179" t="s">
        <v>22</v>
      </c>
      <c r="G4179" t="s">
        <v>15</v>
      </c>
      <c r="H4179" s="2">
        <v>8369.1200000000008</v>
      </c>
    </row>
    <row r="4180" spans="1:8">
      <c r="A4180" t="s">
        <v>108</v>
      </c>
      <c r="B4180" t="s">
        <v>109</v>
      </c>
      <c r="C4180" t="s">
        <v>32</v>
      </c>
      <c r="D4180" t="s">
        <v>11</v>
      </c>
      <c r="E4180">
        <v>2015</v>
      </c>
      <c r="F4180" t="s">
        <v>16</v>
      </c>
      <c r="G4180" t="s">
        <v>17</v>
      </c>
      <c r="H4180" s="2">
        <v>1433.54</v>
      </c>
    </row>
    <row r="4181" spans="1:8">
      <c r="A4181" t="s">
        <v>108</v>
      </c>
      <c r="B4181" t="s">
        <v>109</v>
      </c>
      <c r="C4181" t="s">
        <v>32</v>
      </c>
      <c r="D4181" t="s">
        <v>11</v>
      </c>
      <c r="E4181">
        <v>2016</v>
      </c>
      <c r="F4181" t="s">
        <v>22</v>
      </c>
      <c r="G4181" t="s">
        <v>15</v>
      </c>
      <c r="H4181" s="2">
        <v>7659.07</v>
      </c>
    </row>
    <row r="4182" spans="1:8">
      <c r="A4182" t="s">
        <v>108</v>
      </c>
      <c r="B4182" t="s">
        <v>109</v>
      </c>
      <c r="C4182" t="s">
        <v>32</v>
      </c>
      <c r="D4182" t="s">
        <v>11</v>
      </c>
      <c r="E4182">
        <v>2016</v>
      </c>
      <c r="F4182" t="s">
        <v>22</v>
      </c>
      <c r="G4182" t="s">
        <v>17</v>
      </c>
      <c r="H4182" s="2">
        <v>2168.37</v>
      </c>
    </row>
    <row r="4183" spans="1:8">
      <c r="A4183" t="s">
        <v>108</v>
      </c>
      <c r="B4183" t="s">
        <v>109</v>
      </c>
      <c r="C4183" t="s">
        <v>32</v>
      </c>
      <c r="D4183" t="s">
        <v>11</v>
      </c>
      <c r="E4183">
        <v>2016</v>
      </c>
      <c r="F4183" t="s">
        <v>14</v>
      </c>
      <c r="G4183" t="s">
        <v>13</v>
      </c>
      <c r="H4183" s="2">
        <v>35475.629999999997</v>
      </c>
    </row>
    <row r="4184" spans="1:8">
      <c r="A4184" t="s">
        <v>108</v>
      </c>
      <c r="B4184" t="s">
        <v>109</v>
      </c>
      <c r="C4184" t="s">
        <v>32</v>
      </c>
      <c r="D4184" t="s">
        <v>11</v>
      </c>
      <c r="E4184">
        <v>2016</v>
      </c>
      <c r="F4184" t="s">
        <v>21</v>
      </c>
      <c r="G4184" t="s">
        <v>17</v>
      </c>
      <c r="H4184" s="2">
        <v>472.16</v>
      </c>
    </row>
    <row r="4185" spans="1:8">
      <c r="A4185" t="s">
        <v>108</v>
      </c>
      <c r="B4185" t="s">
        <v>109</v>
      </c>
      <c r="C4185" t="s">
        <v>32</v>
      </c>
      <c r="D4185" t="s">
        <v>11</v>
      </c>
      <c r="E4185">
        <v>2017</v>
      </c>
      <c r="F4185" t="s">
        <v>18</v>
      </c>
      <c r="G4185" t="s">
        <v>17</v>
      </c>
      <c r="H4185" s="2">
        <v>3166.19</v>
      </c>
    </row>
    <row r="4186" spans="1:8">
      <c r="A4186" t="s">
        <v>108</v>
      </c>
      <c r="B4186" t="s">
        <v>109</v>
      </c>
      <c r="C4186" t="s">
        <v>32</v>
      </c>
      <c r="D4186" t="s">
        <v>11</v>
      </c>
      <c r="E4186">
        <v>2017</v>
      </c>
      <c r="F4186" t="s">
        <v>21</v>
      </c>
      <c r="G4186" t="s">
        <v>13</v>
      </c>
      <c r="H4186" s="2">
        <v>55887.81</v>
      </c>
    </row>
    <row r="4187" spans="1:8">
      <c r="A4187" t="s">
        <v>108</v>
      </c>
      <c r="B4187" t="s">
        <v>109</v>
      </c>
      <c r="C4187" t="s">
        <v>32</v>
      </c>
      <c r="D4187" t="s">
        <v>11</v>
      </c>
      <c r="E4187">
        <v>2018</v>
      </c>
      <c r="F4187" t="s">
        <v>22</v>
      </c>
      <c r="G4187" t="s">
        <v>15</v>
      </c>
      <c r="H4187" s="2">
        <v>6691.2</v>
      </c>
    </row>
    <row r="4188" spans="1:8">
      <c r="A4188" t="s">
        <v>108</v>
      </c>
      <c r="B4188" t="s">
        <v>109</v>
      </c>
      <c r="C4188" t="s">
        <v>32</v>
      </c>
      <c r="D4188" t="s">
        <v>11</v>
      </c>
      <c r="E4188">
        <v>2018</v>
      </c>
      <c r="F4188" t="s">
        <v>22</v>
      </c>
      <c r="G4188" t="s">
        <v>17</v>
      </c>
      <c r="H4188" s="2">
        <v>2191.08</v>
      </c>
    </row>
    <row r="4189" spans="1:8">
      <c r="A4189" t="s">
        <v>108</v>
      </c>
      <c r="B4189" t="s">
        <v>109</v>
      </c>
      <c r="C4189" t="s">
        <v>32</v>
      </c>
      <c r="D4189" t="s">
        <v>11</v>
      </c>
      <c r="E4189">
        <v>2018</v>
      </c>
      <c r="F4189" t="s">
        <v>21</v>
      </c>
      <c r="G4189" t="s">
        <v>19</v>
      </c>
      <c r="H4189" s="2">
        <v>0</v>
      </c>
    </row>
    <row r="4190" spans="1:8">
      <c r="A4190" t="s">
        <v>108</v>
      </c>
      <c r="B4190" t="s">
        <v>109</v>
      </c>
      <c r="C4190" t="s">
        <v>32</v>
      </c>
      <c r="D4190" t="s">
        <v>11</v>
      </c>
      <c r="E4190">
        <v>2019</v>
      </c>
      <c r="F4190" t="s">
        <v>18</v>
      </c>
      <c r="G4190" t="s">
        <v>17</v>
      </c>
      <c r="H4190" s="2">
        <v>2926.44</v>
      </c>
    </row>
    <row r="4191" spans="1:8">
      <c r="A4191" t="s">
        <v>108</v>
      </c>
      <c r="B4191" t="s">
        <v>109</v>
      </c>
      <c r="C4191" t="s">
        <v>32</v>
      </c>
      <c r="D4191" t="s">
        <v>11</v>
      </c>
      <c r="E4191">
        <v>2019</v>
      </c>
      <c r="F4191" t="s">
        <v>20</v>
      </c>
      <c r="G4191" t="s">
        <v>19</v>
      </c>
      <c r="H4191" s="2">
        <v>0</v>
      </c>
    </row>
    <row r="4192" spans="1:8">
      <c r="A4192" t="s">
        <v>108</v>
      </c>
      <c r="B4192" t="s">
        <v>109</v>
      </c>
      <c r="C4192" t="s">
        <v>32</v>
      </c>
      <c r="D4192" t="s">
        <v>11</v>
      </c>
      <c r="E4192">
        <v>2019</v>
      </c>
      <c r="F4192" t="s">
        <v>14</v>
      </c>
      <c r="G4192" t="s">
        <v>15</v>
      </c>
      <c r="H4192" s="2">
        <v>1082.18</v>
      </c>
    </row>
    <row r="4193" spans="1:8">
      <c r="A4193" t="s">
        <v>108</v>
      </c>
      <c r="B4193" t="s">
        <v>109</v>
      </c>
      <c r="C4193" t="s">
        <v>32</v>
      </c>
      <c r="D4193" t="s">
        <v>11</v>
      </c>
      <c r="E4193">
        <v>2019</v>
      </c>
      <c r="F4193" t="s">
        <v>16</v>
      </c>
      <c r="G4193" t="s">
        <v>17</v>
      </c>
      <c r="H4193" s="2">
        <v>1268.25</v>
      </c>
    </row>
    <row r="4194" spans="1:8">
      <c r="A4194" t="s">
        <v>108</v>
      </c>
      <c r="B4194" t="s">
        <v>109</v>
      </c>
      <c r="C4194" t="s">
        <v>32</v>
      </c>
      <c r="D4194" t="s">
        <v>11</v>
      </c>
      <c r="E4194">
        <v>2020</v>
      </c>
      <c r="F4194" t="s">
        <v>18</v>
      </c>
      <c r="G4194" t="s">
        <v>15</v>
      </c>
      <c r="H4194" s="2">
        <v>3087.55</v>
      </c>
    </row>
    <row r="4195" spans="1:8">
      <c r="A4195" t="s">
        <v>108</v>
      </c>
      <c r="B4195" t="s">
        <v>109</v>
      </c>
      <c r="C4195" t="s">
        <v>32</v>
      </c>
      <c r="D4195" t="s">
        <v>11</v>
      </c>
      <c r="E4195">
        <v>2020</v>
      </c>
      <c r="F4195" t="s">
        <v>20</v>
      </c>
      <c r="G4195" t="s">
        <v>15</v>
      </c>
      <c r="H4195" s="2">
        <v>-273.54000000000002</v>
      </c>
    </row>
    <row r="4196" spans="1:8">
      <c r="A4196" t="s">
        <v>108</v>
      </c>
      <c r="B4196" t="s">
        <v>109</v>
      </c>
      <c r="C4196" t="s">
        <v>32</v>
      </c>
      <c r="D4196" t="s">
        <v>11</v>
      </c>
      <c r="E4196">
        <v>2021</v>
      </c>
      <c r="F4196" t="s">
        <v>22</v>
      </c>
      <c r="G4196" t="s">
        <v>13</v>
      </c>
      <c r="H4196" s="2">
        <v>1017.71</v>
      </c>
    </row>
    <row r="4197" spans="1:8">
      <c r="A4197" t="s">
        <v>108</v>
      </c>
      <c r="B4197" t="s">
        <v>109</v>
      </c>
      <c r="C4197" t="s">
        <v>32</v>
      </c>
      <c r="D4197" t="s">
        <v>11</v>
      </c>
      <c r="E4197">
        <v>2021</v>
      </c>
      <c r="F4197" t="s">
        <v>20</v>
      </c>
      <c r="G4197" t="s">
        <v>17</v>
      </c>
      <c r="H4197" s="2">
        <v>-272.10000000000002</v>
      </c>
    </row>
    <row r="4198" spans="1:8">
      <c r="A4198" t="s">
        <v>108</v>
      </c>
      <c r="B4198" t="s">
        <v>109</v>
      </c>
      <c r="C4198" t="s">
        <v>32</v>
      </c>
      <c r="D4198" t="s">
        <v>11</v>
      </c>
      <c r="E4198">
        <v>2021</v>
      </c>
      <c r="F4198" t="s">
        <v>14</v>
      </c>
      <c r="G4198" t="s">
        <v>15</v>
      </c>
      <c r="H4198" s="2">
        <v>1104.26</v>
      </c>
    </row>
    <row r="4199" spans="1:8">
      <c r="A4199" t="s">
        <v>108</v>
      </c>
      <c r="B4199" t="s">
        <v>109</v>
      </c>
      <c r="C4199" t="s">
        <v>32</v>
      </c>
      <c r="D4199" t="s">
        <v>11</v>
      </c>
      <c r="E4199">
        <v>2021</v>
      </c>
      <c r="F4199" t="s">
        <v>16</v>
      </c>
      <c r="G4199" t="s">
        <v>19</v>
      </c>
      <c r="H4199" s="2">
        <v>0</v>
      </c>
    </row>
    <row r="4200" spans="1:8">
      <c r="A4200" t="s">
        <v>108</v>
      </c>
      <c r="B4200" t="s">
        <v>109</v>
      </c>
      <c r="C4200" t="s">
        <v>32</v>
      </c>
      <c r="D4200" t="s">
        <v>11</v>
      </c>
      <c r="E4200">
        <v>2022</v>
      </c>
      <c r="F4200" t="s">
        <v>22</v>
      </c>
      <c r="G4200" t="s">
        <v>15</v>
      </c>
      <c r="H4200" s="2">
        <v>8392.36</v>
      </c>
    </row>
    <row r="4201" spans="1:8">
      <c r="A4201" t="s">
        <v>108</v>
      </c>
      <c r="B4201" t="s">
        <v>109</v>
      </c>
      <c r="C4201" t="s">
        <v>32</v>
      </c>
      <c r="D4201" t="s">
        <v>11</v>
      </c>
      <c r="E4201">
        <v>2022</v>
      </c>
      <c r="F4201" t="s">
        <v>22</v>
      </c>
      <c r="G4201" t="s">
        <v>17</v>
      </c>
      <c r="H4201" s="2">
        <v>2311.86</v>
      </c>
    </row>
    <row r="4202" spans="1:8">
      <c r="A4202" t="s">
        <v>108</v>
      </c>
      <c r="B4202" t="s">
        <v>109</v>
      </c>
      <c r="C4202" t="s">
        <v>32</v>
      </c>
      <c r="D4202" t="s">
        <v>11</v>
      </c>
      <c r="E4202">
        <v>2022</v>
      </c>
      <c r="F4202" t="s">
        <v>12</v>
      </c>
      <c r="G4202" t="s">
        <v>15</v>
      </c>
      <c r="H4202" s="2">
        <v>2658.86</v>
      </c>
    </row>
    <row r="4203" spans="1:8">
      <c r="A4203" t="s">
        <v>108</v>
      </c>
      <c r="B4203" t="s">
        <v>109</v>
      </c>
      <c r="C4203" t="s">
        <v>32</v>
      </c>
      <c r="D4203" t="s">
        <v>11</v>
      </c>
      <c r="E4203">
        <v>2022</v>
      </c>
      <c r="F4203" t="s">
        <v>14</v>
      </c>
      <c r="G4203" t="s">
        <v>19</v>
      </c>
      <c r="H4203" s="2">
        <v>0</v>
      </c>
    </row>
    <row r="4204" spans="1:8">
      <c r="A4204" t="s">
        <v>108</v>
      </c>
      <c r="B4204" t="s">
        <v>109</v>
      </c>
      <c r="C4204" t="s">
        <v>32</v>
      </c>
      <c r="D4204" t="s">
        <v>11</v>
      </c>
      <c r="E4204">
        <v>2022</v>
      </c>
      <c r="F4204" t="s">
        <v>21</v>
      </c>
      <c r="G4204" t="s">
        <v>17</v>
      </c>
      <c r="H4204" s="2">
        <v>523.73</v>
      </c>
    </row>
    <row r="4205" spans="1:8">
      <c r="A4205" t="s">
        <v>108</v>
      </c>
      <c r="B4205" t="s">
        <v>109</v>
      </c>
      <c r="C4205" t="s">
        <v>32</v>
      </c>
      <c r="D4205" t="s">
        <v>11</v>
      </c>
      <c r="E4205">
        <v>2022</v>
      </c>
      <c r="F4205" t="s">
        <v>16</v>
      </c>
      <c r="G4205" t="s">
        <v>13</v>
      </c>
      <c r="H4205" s="2">
        <v>4416.13</v>
      </c>
    </row>
    <row r="4206" spans="1:8">
      <c r="A4206" t="s">
        <v>108</v>
      </c>
      <c r="B4206" t="s">
        <v>109</v>
      </c>
      <c r="C4206" t="s">
        <v>32</v>
      </c>
      <c r="D4206" t="s">
        <v>11</v>
      </c>
      <c r="E4206">
        <v>2022</v>
      </c>
      <c r="F4206" t="s">
        <v>16</v>
      </c>
      <c r="G4206" t="s">
        <v>19</v>
      </c>
      <c r="H4206" s="2">
        <v>0</v>
      </c>
    </row>
    <row r="4207" spans="1:8">
      <c r="A4207" t="s">
        <v>108</v>
      </c>
      <c r="B4207" t="s">
        <v>109</v>
      </c>
      <c r="C4207" t="s">
        <v>32</v>
      </c>
      <c r="D4207" t="s">
        <v>11</v>
      </c>
      <c r="E4207">
        <v>2024</v>
      </c>
      <c r="F4207" t="s">
        <v>12</v>
      </c>
      <c r="G4207" t="s">
        <v>15</v>
      </c>
      <c r="H4207" s="2">
        <v>2788.34</v>
      </c>
    </row>
    <row r="4208" spans="1:8">
      <c r="A4208" t="s">
        <v>108</v>
      </c>
      <c r="B4208" t="s">
        <v>109</v>
      </c>
      <c r="C4208" t="s">
        <v>32</v>
      </c>
      <c r="D4208" t="s">
        <v>11</v>
      </c>
      <c r="E4208">
        <v>2024</v>
      </c>
      <c r="F4208" t="s">
        <v>12</v>
      </c>
      <c r="G4208" t="s">
        <v>19</v>
      </c>
      <c r="H4208" s="2">
        <v>0</v>
      </c>
    </row>
    <row r="4209" spans="1:8">
      <c r="A4209" t="s">
        <v>108</v>
      </c>
      <c r="B4209" t="s">
        <v>109</v>
      </c>
      <c r="C4209" t="s">
        <v>32</v>
      </c>
      <c r="D4209" t="s">
        <v>11</v>
      </c>
      <c r="E4209">
        <v>2024</v>
      </c>
      <c r="F4209" t="s">
        <v>14</v>
      </c>
      <c r="G4209" t="s">
        <v>15</v>
      </c>
      <c r="H4209" s="2">
        <v>1216.05</v>
      </c>
    </row>
    <row r="4210" spans="1:8">
      <c r="A4210" t="s">
        <v>108</v>
      </c>
      <c r="B4210" t="s">
        <v>109</v>
      </c>
      <c r="C4210" t="s">
        <v>32</v>
      </c>
      <c r="D4210" t="s">
        <v>11</v>
      </c>
      <c r="E4210">
        <v>2024</v>
      </c>
      <c r="F4210" t="s">
        <v>16</v>
      </c>
      <c r="G4210" t="s">
        <v>15</v>
      </c>
      <c r="H4210" s="2">
        <v>21361.7</v>
      </c>
    </row>
    <row r="4211" spans="1:8">
      <c r="A4211" t="s">
        <v>110</v>
      </c>
      <c r="B4211" t="s">
        <v>111</v>
      </c>
      <c r="C4211" t="s">
        <v>10</v>
      </c>
      <c r="D4211" t="s">
        <v>33</v>
      </c>
      <c r="E4211">
        <v>1991</v>
      </c>
      <c r="F4211" t="s">
        <v>22</v>
      </c>
      <c r="G4211" t="s">
        <v>19</v>
      </c>
      <c r="H4211" s="2">
        <v>0</v>
      </c>
    </row>
    <row r="4212" spans="1:8">
      <c r="A4212" t="s">
        <v>110</v>
      </c>
      <c r="B4212" t="s">
        <v>111</v>
      </c>
      <c r="C4212" t="s">
        <v>10</v>
      </c>
      <c r="D4212" t="s">
        <v>33</v>
      </c>
      <c r="E4212">
        <v>1991</v>
      </c>
      <c r="F4212" t="s">
        <v>21</v>
      </c>
      <c r="G4212" t="s">
        <v>17</v>
      </c>
      <c r="H4212" s="2">
        <v>192.1</v>
      </c>
    </row>
    <row r="4213" spans="1:8">
      <c r="A4213" t="s">
        <v>110</v>
      </c>
      <c r="B4213" t="s">
        <v>111</v>
      </c>
      <c r="C4213" t="s">
        <v>10</v>
      </c>
      <c r="D4213" t="s">
        <v>33</v>
      </c>
      <c r="E4213">
        <v>1992</v>
      </c>
      <c r="F4213" t="s">
        <v>20</v>
      </c>
      <c r="G4213" t="s">
        <v>15</v>
      </c>
      <c r="H4213" s="2">
        <v>47.05</v>
      </c>
    </row>
    <row r="4214" spans="1:8">
      <c r="A4214" t="s">
        <v>110</v>
      </c>
      <c r="B4214" t="s">
        <v>111</v>
      </c>
      <c r="C4214" t="s">
        <v>10</v>
      </c>
      <c r="D4214" t="s">
        <v>33</v>
      </c>
      <c r="E4214">
        <v>1992</v>
      </c>
      <c r="F4214" t="s">
        <v>14</v>
      </c>
      <c r="G4214" t="s">
        <v>15</v>
      </c>
      <c r="H4214" s="2">
        <v>2002.67</v>
      </c>
    </row>
    <row r="4215" spans="1:8">
      <c r="A4215" t="s">
        <v>110</v>
      </c>
      <c r="B4215" t="s">
        <v>111</v>
      </c>
      <c r="C4215" t="s">
        <v>10</v>
      </c>
      <c r="D4215" t="s">
        <v>33</v>
      </c>
      <c r="E4215">
        <v>1993</v>
      </c>
      <c r="F4215" t="s">
        <v>12</v>
      </c>
      <c r="G4215" t="s">
        <v>15</v>
      </c>
      <c r="H4215" s="2">
        <v>349.09</v>
      </c>
    </row>
    <row r="4216" spans="1:8">
      <c r="A4216" t="s">
        <v>110</v>
      </c>
      <c r="B4216" t="s">
        <v>111</v>
      </c>
      <c r="C4216" t="s">
        <v>10</v>
      </c>
      <c r="D4216" t="s">
        <v>33</v>
      </c>
      <c r="E4216">
        <v>1993</v>
      </c>
      <c r="F4216" t="s">
        <v>18</v>
      </c>
      <c r="G4216" t="s">
        <v>17</v>
      </c>
      <c r="H4216" s="2">
        <v>225.78</v>
      </c>
    </row>
    <row r="4217" spans="1:8">
      <c r="A4217" t="s">
        <v>110</v>
      </c>
      <c r="B4217" t="s">
        <v>111</v>
      </c>
      <c r="C4217" t="s">
        <v>10</v>
      </c>
      <c r="D4217" t="s">
        <v>33</v>
      </c>
      <c r="E4217">
        <v>1993</v>
      </c>
      <c r="F4217" t="s">
        <v>21</v>
      </c>
      <c r="G4217" t="s">
        <v>17</v>
      </c>
      <c r="H4217" s="2">
        <v>209.13</v>
      </c>
    </row>
    <row r="4218" spans="1:8">
      <c r="A4218" t="s">
        <v>110</v>
      </c>
      <c r="B4218" t="s">
        <v>111</v>
      </c>
      <c r="C4218" t="s">
        <v>10</v>
      </c>
      <c r="D4218" t="s">
        <v>33</v>
      </c>
      <c r="E4218">
        <v>1994</v>
      </c>
      <c r="F4218" t="s">
        <v>18</v>
      </c>
      <c r="G4218" t="s">
        <v>13</v>
      </c>
      <c r="H4218" s="2">
        <v>3553.2</v>
      </c>
    </row>
    <row r="4219" spans="1:8">
      <c r="A4219" t="s">
        <v>110</v>
      </c>
      <c r="B4219" t="s">
        <v>111</v>
      </c>
      <c r="C4219" t="s">
        <v>10</v>
      </c>
      <c r="D4219" t="s">
        <v>33</v>
      </c>
      <c r="E4219">
        <v>1994</v>
      </c>
      <c r="F4219" t="s">
        <v>20</v>
      </c>
      <c r="G4219" t="s">
        <v>15</v>
      </c>
      <c r="H4219" s="2">
        <v>43.15</v>
      </c>
    </row>
    <row r="4220" spans="1:8">
      <c r="A4220" t="s">
        <v>110</v>
      </c>
      <c r="B4220" t="s">
        <v>111</v>
      </c>
      <c r="C4220" t="s">
        <v>10</v>
      </c>
      <c r="D4220" t="s">
        <v>33</v>
      </c>
      <c r="E4220">
        <v>1995</v>
      </c>
      <c r="F4220" t="s">
        <v>16</v>
      </c>
      <c r="G4220" t="s">
        <v>15</v>
      </c>
      <c r="H4220" s="2">
        <v>3374.39</v>
      </c>
    </row>
    <row r="4221" spans="1:8">
      <c r="A4221" t="s">
        <v>110</v>
      </c>
      <c r="B4221" t="s">
        <v>111</v>
      </c>
      <c r="C4221" t="s">
        <v>10</v>
      </c>
      <c r="D4221" t="s">
        <v>33</v>
      </c>
      <c r="E4221">
        <v>1995</v>
      </c>
      <c r="F4221" t="s">
        <v>16</v>
      </c>
      <c r="G4221" t="s">
        <v>19</v>
      </c>
      <c r="H4221" s="2">
        <v>0</v>
      </c>
    </row>
    <row r="4222" spans="1:8">
      <c r="A4222" t="s">
        <v>110</v>
      </c>
      <c r="B4222" t="s">
        <v>111</v>
      </c>
      <c r="C4222" t="s">
        <v>10</v>
      </c>
      <c r="D4222" t="s">
        <v>33</v>
      </c>
      <c r="E4222">
        <v>1996</v>
      </c>
      <c r="F4222" t="s">
        <v>14</v>
      </c>
      <c r="G4222" t="s">
        <v>19</v>
      </c>
      <c r="H4222" s="2">
        <v>0</v>
      </c>
    </row>
    <row r="4223" spans="1:8">
      <c r="A4223" t="s">
        <v>110</v>
      </c>
      <c r="B4223" t="s">
        <v>111</v>
      </c>
      <c r="C4223" t="s">
        <v>10</v>
      </c>
      <c r="D4223" t="s">
        <v>33</v>
      </c>
      <c r="E4223">
        <v>1996</v>
      </c>
      <c r="F4223" t="s">
        <v>14</v>
      </c>
      <c r="G4223" t="s">
        <v>17</v>
      </c>
      <c r="H4223" s="2">
        <v>1397.64</v>
      </c>
    </row>
    <row r="4224" spans="1:8">
      <c r="A4224" t="s">
        <v>110</v>
      </c>
      <c r="B4224" t="s">
        <v>111</v>
      </c>
      <c r="C4224" t="s">
        <v>10</v>
      </c>
      <c r="D4224" t="s">
        <v>33</v>
      </c>
      <c r="E4224">
        <v>1996</v>
      </c>
      <c r="F4224" t="s">
        <v>21</v>
      </c>
      <c r="G4224" t="s">
        <v>13</v>
      </c>
      <c r="H4224" s="2">
        <v>20336.95</v>
      </c>
    </row>
    <row r="4225" spans="1:8">
      <c r="A4225" t="s">
        <v>110</v>
      </c>
      <c r="B4225" t="s">
        <v>111</v>
      </c>
      <c r="C4225" t="s">
        <v>10</v>
      </c>
      <c r="D4225" t="s">
        <v>33</v>
      </c>
      <c r="E4225">
        <v>1997</v>
      </c>
      <c r="F4225" t="s">
        <v>18</v>
      </c>
      <c r="G4225" t="s">
        <v>19</v>
      </c>
      <c r="H4225" s="2">
        <v>217.62</v>
      </c>
    </row>
    <row r="4226" spans="1:8">
      <c r="A4226" t="s">
        <v>110</v>
      </c>
      <c r="B4226" t="s">
        <v>111</v>
      </c>
      <c r="C4226" t="s">
        <v>10</v>
      </c>
      <c r="D4226" t="s">
        <v>33</v>
      </c>
      <c r="E4226">
        <v>1998</v>
      </c>
      <c r="F4226" t="s">
        <v>16</v>
      </c>
      <c r="G4226" t="s">
        <v>13</v>
      </c>
      <c r="H4226" s="2">
        <v>655.78</v>
      </c>
    </row>
    <row r="4227" spans="1:8">
      <c r="A4227" t="s">
        <v>110</v>
      </c>
      <c r="B4227" t="s">
        <v>111</v>
      </c>
      <c r="C4227" t="s">
        <v>10</v>
      </c>
      <c r="D4227" t="s">
        <v>33</v>
      </c>
      <c r="E4227">
        <v>1999</v>
      </c>
      <c r="F4227" t="s">
        <v>18</v>
      </c>
      <c r="G4227" t="s">
        <v>13</v>
      </c>
      <c r="H4227" s="2">
        <v>3932.07</v>
      </c>
    </row>
    <row r="4228" spans="1:8">
      <c r="A4228" t="s">
        <v>110</v>
      </c>
      <c r="B4228" t="s">
        <v>111</v>
      </c>
      <c r="C4228" t="s">
        <v>10</v>
      </c>
      <c r="D4228" t="s">
        <v>33</v>
      </c>
      <c r="E4228">
        <v>1999</v>
      </c>
      <c r="F4228" t="s">
        <v>14</v>
      </c>
      <c r="G4228" t="s">
        <v>17</v>
      </c>
      <c r="H4228" s="2">
        <v>1337.79</v>
      </c>
    </row>
    <row r="4229" spans="1:8">
      <c r="A4229" t="s">
        <v>110</v>
      </c>
      <c r="B4229" t="s">
        <v>111</v>
      </c>
      <c r="C4229" t="s">
        <v>10</v>
      </c>
      <c r="D4229" t="s">
        <v>33</v>
      </c>
      <c r="E4229">
        <v>1999</v>
      </c>
      <c r="F4229" t="s">
        <v>16</v>
      </c>
      <c r="G4229" t="s">
        <v>17</v>
      </c>
      <c r="H4229" s="2">
        <v>211.95</v>
      </c>
    </row>
    <row r="4230" spans="1:8">
      <c r="A4230" t="s">
        <v>110</v>
      </c>
      <c r="B4230" t="s">
        <v>111</v>
      </c>
      <c r="C4230" t="s">
        <v>10</v>
      </c>
      <c r="D4230" t="s">
        <v>33</v>
      </c>
      <c r="E4230">
        <v>2000</v>
      </c>
      <c r="F4230" t="s">
        <v>22</v>
      </c>
      <c r="G4230" t="s">
        <v>19</v>
      </c>
      <c r="H4230" s="2">
        <v>0</v>
      </c>
    </row>
    <row r="4231" spans="1:8">
      <c r="A4231" t="s">
        <v>110</v>
      </c>
      <c r="B4231" t="s">
        <v>111</v>
      </c>
      <c r="C4231" t="s">
        <v>10</v>
      </c>
      <c r="D4231" t="s">
        <v>33</v>
      </c>
      <c r="E4231">
        <v>2000</v>
      </c>
      <c r="F4231" t="s">
        <v>14</v>
      </c>
      <c r="G4231" t="s">
        <v>15</v>
      </c>
      <c r="H4231" s="2">
        <v>2190.86</v>
      </c>
    </row>
    <row r="4232" spans="1:8">
      <c r="A4232" t="s">
        <v>110</v>
      </c>
      <c r="B4232" t="s">
        <v>111</v>
      </c>
      <c r="C4232" t="s">
        <v>10</v>
      </c>
      <c r="D4232" t="s">
        <v>33</v>
      </c>
      <c r="E4232">
        <v>2000</v>
      </c>
      <c r="F4232" t="s">
        <v>14</v>
      </c>
      <c r="G4232" t="s">
        <v>13</v>
      </c>
      <c r="H4232" s="2">
        <v>73628.649999999994</v>
      </c>
    </row>
    <row r="4233" spans="1:8">
      <c r="A4233" t="s">
        <v>110</v>
      </c>
      <c r="B4233" t="s">
        <v>111</v>
      </c>
      <c r="C4233" t="s">
        <v>10</v>
      </c>
      <c r="D4233" t="s">
        <v>33</v>
      </c>
      <c r="E4233">
        <v>2000</v>
      </c>
      <c r="F4233" t="s">
        <v>21</v>
      </c>
      <c r="G4233" t="s">
        <v>15</v>
      </c>
      <c r="H4233" s="2">
        <v>492.71</v>
      </c>
    </row>
    <row r="4234" spans="1:8">
      <c r="A4234" t="s">
        <v>110</v>
      </c>
      <c r="B4234" t="s">
        <v>111</v>
      </c>
      <c r="C4234" t="s">
        <v>10</v>
      </c>
      <c r="D4234" t="s">
        <v>33</v>
      </c>
      <c r="E4234">
        <v>2000</v>
      </c>
      <c r="F4234" t="s">
        <v>16</v>
      </c>
      <c r="G4234" t="s">
        <v>15</v>
      </c>
      <c r="H4234" s="2">
        <v>4296.7299999999996</v>
      </c>
    </row>
    <row r="4235" spans="1:8">
      <c r="A4235" t="s">
        <v>110</v>
      </c>
      <c r="B4235" t="s">
        <v>111</v>
      </c>
      <c r="C4235" t="s">
        <v>10</v>
      </c>
      <c r="D4235" t="s">
        <v>33</v>
      </c>
      <c r="E4235">
        <v>2000</v>
      </c>
      <c r="F4235" t="s">
        <v>16</v>
      </c>
      <c r="G4235" t="s">
        <v>17</v>
      </c>
      <c r="H4235" s="2">
        <v>262.14999999999998</v>
      </c>
    </row>
    <row r="4236" spans="1:8">
      <c r="A4236" t="s">
        <v>110</v>
      </c>
      <c r="B4236" t="s">
        <v>111</v>
      </c>
      <c r="C4236" t="s">
        <v>10</v>
      </c>
      <c r="D4236" t="s">
        <v>33</v>
      </c>
      <c r="E4236">
        <v>2001</v>
      </c>
      <c r="F4236" t="s">
        <v>12</v>
      </c>
      <c r="G4236" t="s">
        <v>19</v>
      </c>
      <c r="H4236" s="2">
        <v>0</v>
      </c>
    </row>
    <row r="4237" spans="1:8">
      <c r="A4237" t="s">
        <v>110</v>
      </c>
      <c r="B4237" t="s">
        <v>111</v>
      </c>
      <c r="C4237" t="s">
        <v>10</v>
      </c>
      <c r="D4237" t="s">
        <v>33</v>
      </c>
      <c r="E4237">
        <v>2001</v>
      </c>
      <c r="F4237" t="s">
        <v>14</v>
      </c>
      <c r="G4237" t="s">
        <v>19</v>
      </c>
      <c r="H4237" s="2">
        <v>0</v>
      </c>
    </row>
    <row r="4238" spans="1:8">
      <c r="A4238" t="s">
        <v>110</v>
      </c>
      <c r="B4238" t="s">
        <v>111</v>
      </c>
      <c r="C4238" t="s">
        <v>10</v>
      </c>
      <c r="D4238" t="s">
        <v>33</v>
      </c>
      <c r="E4238">
        <v>2002</v>
      </c>
      <c r="F4238" t="s">
        <v>12</v>
      </c>
      <c r="G4238" t="s">
        <v>15</v>
      </c>
      <c r="H4238" s="2">
        <v>514.17999999999995</v>
      </c>
    </row>
    <row r="4239" spans="1:8">
      <c r="A4239" t="s">
        <v>110</v>
      </c>
      <c r="B4239" t="s">
        <v>111</v>
      </c>
      <c r="C4239" t="s">
        <v>10</v>
      </c>
      <c r="D4239" t="s">
        <v>33</v>
      </c>
      <c r="E4239">
        <v>2002</v>
      </c>
      <c r="F4239" t="s">
        <v>18</v>
      </c>
      <c r="G4239" t="s">
        <v>15</v>
      </c>
      <c r="H4239" s="2">
        <v>268.39999999999998</v>
      </c>
    </row>
    <row r="4240" spans="1:8">
      <c r="A4240" t="s">
        <v>110</v>
      </c>
      <c r="B4240" t="s">
        <v>111</v>
      </c>
      <c r="C4240" t="s">
        <v>10</v>
      </c>
      <c r="D4240" t="s">
        <v>33</v>
      </c>
      <c r="E4240">
        <v>2002</v>
      </c>
      <c r="F4240" t="s">
        <v>18</v>
      </c>
      <c r="G4240" t="s">
        <v>17</v>
      </c>
      <c r="H4240" s="2">
        <v>245.45</v>
      </c>
    </row>
    <row r="4241" spans="1:8">
      <c r="A4241" t="s">
        <v>110</v>
      </c>
      <c r="B4241" t="s">
        <v>111</v>
      </c>
      <c r="C4241" t="s">
        <v>10</v>
      </c>
      <c r="D4241" t="s">
        <v>33</v>
      </c>
      <c r="E4241">
        <v>2003</v>
      </c>
      <c r="F4241" t="s">
        <v>12</v>
      </c>
      <c r="G4241" t="s">
        <v>19</v>
      </c>
      <c r="H4241" s="2">
        <v>0</v>
      </c>
    </row>
    <row r="4242" spans="1:8">
      <c r="A4242" t="s">
        <v>110</v>
      </c>
      <c r="B4242" t="s">
        <v>111</v>
      </c>
      <c r="C4242" t="s">
        <v>10</v>
      </c>
      <c r="D4242" t="s">
        <v>33</v>
      </c>
      <c r="E4242">
        <v>2003</v>
      </c>
      <c r="F4242" t="s">
        <v>18</v>
      </c>
      <c r="G4242" t="s">
        <v>13</v>
      </c>
      <c r="H4242" s="2">
        <v>3590.55</v>
      </c>
    </row>
    <row r="4243" spans="1:8">
      <c r="A4243" t="s">
        <v>110</v>
      </c>
      <c r="B4243" t="s">
        <v>111</v>
      </c>
      <c r="C4243" t="s">
        <v>10</v>
      </c>
      <c r="D4243" t="s">
        <v>33</v>
      </c>
      <c r="E4243">
        <v>2003</v>
      </c>
      <c r="F4243" t="s">
        <v>20</v>
      </c>
      <c r="G4243" t="s">
        <v>15</v>
      </c>
      <c r="H4243" s="2">
        <v>50.79</v>
      </c>
    </row>
    <row r="4244" spans="1:8">
      <c r="A4244" t="s">
        <v>110</v>
      </c>
      <c r="B4244" t="s">
        <v>111</v>
      </c>
      <c r="C4244" t="s">
        <v>10</v>
      </c>
      <c r="D4244" t="s">
        <v>33</v>
      </c>
      <c r="E4244">
        <v>2003</v>
      </c>
      <c r="F4244" t="s">
        <v>14</v>
      </c>
      <c r="G4244" t="s">
        <v>15</v>
      </c>
      <c r="H4244" s="2">
        <v>2083.6</v>
      </c>
    </row>
    <row r="4245" spans="1:8">
      <c r="A4245" t="s">
        <v>110</v>
      </c>
      <c r="B4245" t="s">
        <v>111</v>
      </c>
      <c r="C4245" t="s">
        <v>10</v>
      </c>
      <c r="D4245" t="s">
        <v>33</v>
      </c>
      <c r="E4245">
        <v>2003</v>
      </c>
      <c r="F4245" t="s">
        <v>21</v>
      </c>
      <c r="G4245" t="s">
        <v>17</v>
      </c>
      <c r="H4245" s="2">
        <v>234.9</v>
      </c>
    </row>
    <row r="4246" spans="1:8">
      <c r="A4246" t="s">
        <v>110</v>
      </c>
      <c r="B4246" t="s">
        <v>111</v>
      </c>
      <c r="C4246" t="s">
        <v>10</v>
      </c>
      <c r="D4246" t="s">
        <v>33</v>
      </c>
      <c r="E4246">
        <v>2003</v>
      </c>
      <c r="F4246" t="s">
        <v>16</v>
      </c>
      <c r="G4246" t="s">
        <v>19</v>
      </c>
      <c r="H4246" s="2">
        <v>0</v>
      </c>
    </row>
    <row r="4247" spans="1:8">
      <c r="A4247" t="s">
        <v>110</v>
      </c>
      <c r="B4247" t="s">
        <v>111</v>
      </c>
      <c r="C4247" t="s">
        <v>10</v>
      </c>
      <c r="D4247" t="s">
        <v>33</v>
      </c>
      <c r="E4247">
        <v>2004</v>
      </c>
      <c r="F4247" t="s">
        <v>16</v>
      </c>
      <c r="G4247" t="s">
        <v>19</v>
      </c>
      <c r="H4247" s="2">
        <v>0</v>
      </c>
    </row>
    <row r="4248" spans="1:8">
      <c r="A4248" t="s">
        <v>110</v>
      </c>
      <c r="B4248" t="s">
        <v>111</v>
      </c>
      <c r="C4248" t="s">
        <v>10</v>
      </c>
      <c r="D4248" t="s">
        <v>33</v>
      </c>
      <c r="E4248">
        <v>2005</v>
      </c>
      <c r="F4248" t="s">
        <v>21</v>
      </c>
      <c r="G4248" t="s">
        <v>13</v>
      </c>
      <c r="H4248" s="2">
        <v>24117.17</v>
      </c>
    </row>
    <row r="4249" spans="1:8">
      <c r="A4249" t="s">
        <v>110</v>
      </c>
      <c r="B4249" t="s">
        <v>111</v>
      </c>
      <c r="C4249" t="s">
        <v>10</v>
      </c>
      <c r="D4249" t="s">
        <v>33</v>
      </c>
      <c r="E4249">
        <v>2005</v>
      </c>
      <c r="F4249" t="s">
        <v>21</v>
      </c>
      <c r="G4249" t="s">
        <v>17</v>
      </c>
      <c r="H4249" s="2">
        <v>261.89999999999998</v>
      </c>
    </row>
    <row r="4250" spans="1:8">
      <c r="A4250" t="s">
        <v>110</v>
      </c>
      <c r="B4250" t="s">
        <v>111</v>
      </c>
      <c r="C4250" t="s">
        <v>10</v>
      </c>
      <c r="D4250" t="s">
        <v>33</v>
      </c>
      <c r="E4250">
        <v>2005</v>
      </c>
      <c r="F4250" t="s">
        <v>16</v>
      </c>
      <c r="G4250" t="s">
        <v>13</v>
      </c>
      <c r="H4250" s="2">
        <v>755.86</v>
      </c>
    </row>
    <row r="4251" spans="1:8">
      <c r="A4251" t="s">
        <v>110</v>
      </c>
      <c r="B4251" t="s">
        <v>111</v>
      </c>
      <c r="C4251" t="s">
        <v>10</v>
      </c>
      <c r="D4251" t="s">
        <v>33</v>
      </c>
      <c r="E4251">
        <v>2006</v>
      </c>
      <c r="F4251" t="s">
        <v>22</v>
      </c>
      <c r="G4251" t="s">
        <v>15</v>
      </c>
      <c r="H4251" s="2">
        <v>24999.16</v>
      </c>
    </row>
    <row r="4252" spans="1:8">
      <c r="A4252" t="s">
        <v>110</v>
      </c>
      <c r="B4252" t="s">
        <v>111</v>
      </c>
      <c r="C4252" t="s">
        <v>10</v>
      </c>
      <c r="D4252" t="s">
        <v>33</v>
      </c>
      <c r="E4252">
        <v>2006</v>
      </c>
      <c r="F4252" t="s">
        <v>18</v>
      </c>
      <c r="G4252" t="s">
        <v>13</v>
      </c>
      <c r="H4252" s="2">
        <v>4361.8</v>
      </c>
    </row>
    <row r="4253" spans="1:8">
      <c r="A4253" t="s">
        <v>110</v>
      </c>
      <c r="B4253" t="s">
        <v>111</v>
      </c>
      <c r="C4253" t="s">
        <v>10</v>
      </c>
      <c r="D4253" t="s">
        <v>33</v>
      </c>
      <c r="E4253">
        <v>2007</v>
      </c>
      <c r="F4253" t="s">
        <v>12</v>
      </c>
      <c r="G4253" t="s">
        <v>17</v>
      </c>
      <c r="H4253" s="2">
        <v>236</v>
      </c>
    </row>
    <row r="4254" spans="1:8">
      <c r="A4254" t="s">
        <v>110</v>
      </c>
      <c r="B4254" t="s">
        <v>111</v>
      </c>
      <c r="C4254" t="s">
        <v>10</v>
      </c>
      <c r="D4254" t="s">
        <v>33</v>
      </c>
      <c r="E4254">
        <v>2007</v>
      </c>
      <c r="F4254" t="s">
        <v>18</v>
      </c>
      <c r="G4254" t="s">
        <v>17</v>
      </c>
      <c r="H4254" s="2">
        <v>267.27</v>
      </c>
    </row>
    <row r="4255" spans="1:8">
      <c r="A4255" t="s">
        <v>110</v>
      </c>
      <c r="B4255" t="s">
        <v>111</v>
      </c>
      <c r="C4255" t="s">
        <v>10</v>
      </c>
      <c r="D4255" t="s">
        <v>33</v>
      </c>
      <c r="E4255">
        <v>2007</v>
      </c>
      <c r="F4255" t="s">
        <v>20</v>
      </c>
      <c r="G4255" t="s">
        <v>15</v>
      </c>
      <c r="H4255" s="2">
        <v>66.28</v>
      </c>
    </row>
    <row r="4256" spans="1:8">
      <c r="A4256" t="s">
        <v>110</v>
      </c>
      <c r="B4256" t="s">
        <v>111</v>
      </c>
      <c r="C4256" t="s">
        <v>10</v>
      </c>
      <c r="D4256" t="s">
        <v>33</v>
      </c>
      <c r="E4256">
        <v>2007</v>
      </c>
      <c r="F4256" t="s">
        <v>21</v>
      </c>
      <c r="G4256" t="s">
        <v>19</v>
      </c>
      <c r="H4256" s="2">
        <v>0</v>
      </c>
    </row>
    <row r="4257" spans="1:8">
      <c r="A4257" t="s">
        <v>110</v>
      </c>
      <c r="B4257" t="s">
        <v>111</v>
      </c>
      <c r="C4257" t="s">
        <v>10</v>
      </c>
      <c r="D4257" t="s">
        <v>33</v>
      </c>
      <c r="E4257">
        <v>2007</v>
      </c>
      <c r="F4257" t="s">
        <v>21</v>
      </c>
      <c r="G4257" t="s">
        <v>17</v>
      </c>
      <c r="H4257" s="2">
        <v>279.57</v>
      </c>
    </row>
    <row r="4258" spans="1:8">
      <c r="A4258" t="s">
        <v>110</v>
      </c>
      <c r="B4258" t="s">
        <v>111</v>
      </c>
      <c r="C4258" t="s">
        <v>10</v>
      </c>
      <c r="D4258" t="s">
        <v>33</v>
      </c>
      <c r="E4258">
        <v>2008</v>
      </c>
      <c r="F4258" t="s">
        <v>22</v>
      </c>
      <c r="G4258" t="s">
        <v>13</v>
      </c>
      <c r="H4258" s="2">
        <v>3373.13</v>
      </c>
    </row>
    <row r="4259" spans="1:8">
      <c r="A4259" t="s">
        <v>110</v>
      </c>
      <c r="B4259" t="s">
        <v>111</v>
      </c>
      <c r="C4259" t="s">
        <v>10</v>
      </c>
      <c r="D4259" t="s">
        <v>33</v>
      </c>
      <c r="E4259">
        <v>2008</v>
      </c>
      <c r="F4259" t="s">
        <v>14</v>
      </c>
      <c r="G4259" t="s">
        <v>19</v>
      </c>
      <c r="H4259" s="2">
        <v>0</v>
      </c>
    </row>
    <row r="4260" spans="1:8">
      <c r="A4260" t="s">
        <v>110</v>
      </c>
      <c r="B4260" t="s">
        <v>111</v>
      </c>
      <c r="C4260" t="s">
        <v>10</v>
      </c>
      <c r="D4260" t="s">
        <v>33</v>
      </c>
      <c r="E4260">
        <v>2009</v>
      </c>
      <c r="F4260" t="s">
        <v>22</v>
      </c>
      <c r="G4260" t="s">
        <v>19</v>
      </c>
      <c r="H4260" s="2">
        <v>0</v>
      </c>
    </row>
    <row r="4261" spans="1:8">
      <c r="A4261" t="s">
        <v>110</v>
      </c>
      <c r="B4261" t="s">
        <v>111</v>
      </c>
      <c r="C4261" t="s">
        <v>10</v>
      </c>
      <c r="D4261" t="s">
        <v>33</v>
      </c>
      <c r="E4261">
        <v>2009</v>
      </c>
      <c r="F4261" t="s">
        <v>14</v>
      </c>
      <c r="G4261" t="s">
        <v>19</v>
      </c>
      <c r="H4261" s="2">
        <v>0</v>
      </c>
    </row>
    <row r="4262" spans="1:8">
      <c r="A4262" t="s">
        <v>110</v>
      </c>
      <c r="B4262" t="s">
        <v>111</v>
      </c>
      <c r="C4262" t="s">
        <v>10</v>
      </c>
      <c r="D4262" t="s">
        <v>33</v>
      </c>
      <c r="E4262">
        <v>2010</v>
      </c>
      <c r="F4262" t="s">
        <v>22</v>
      </c>
      <c r="G4262" t="s">
        <v>19</v>
      </c>
      <c r="H4262" s="2">
        <v>0</v>
      </c>
    </row>
    <row r="4263" spans="1:8">
      <c r="A4263" t="s">
        <v>110</v>
      </c>
      <c r="B4263" t="s">
        <v>111</v>
      </c>
      <c r="C4263" t="s">
        <v>10</v>
      </c>
      <c r="D4263" t="s">
        <v>33</v>
      </c>
      <c r="E4263">
        <v>2010</v>
      </c>
      <c r="F4263" t="s">
        <v>12</v>
      </c>
      <c r="G4263" t="s">
        <v>17</v>
      </c>
      <c r="H4263" s="2">
        <v>245.2</v>
      </c>
    </row>
    <row r="4264" spans="1:8">
      <c r="A4264" t="s">
        <v>110</v>
      </c>
      <c r="B4264" t="s">
        <v>111</v>
      </c>
      <c r="C4264" t="s">
        <v>10</v>
      </c>
      <c r="D4264" t="s">
        <v>33</v>
      </c>
      <c r="E4264">
        <v>2010</v>
      </c>
      <c r="F4264" t="s">
        <v>18</v>
      </c>
      <c r="G4264" t="s">
        <v>17</v>
      </c>
      <c r="H4264" s="2">
        <v>293.32</v>
      </c>
    </row>
    <row r="4265" spans="1:8">
      <c r="A4265" t="s">
        <v>110</v>
      </c>
      <c r="B4265" t="s">
        <v>111</v>
      </c>
      <c r="C4265" t="s">
        <v>10</v>
      </c>
      <c r="D4265" t="s">
        <v>33</v>
      </c>
      <c r="E4265">
        <v>2010</v>
      </c>
      <c r="F4265" t="s">
        <v>20</v>
      </c>
      <c r="G4265" t="s">
        <v>13</v>
      </c>
      <c r="H4265" s="2">
        <v>6120.33</v>
      </c>
    </row>
    <row r="4266" spans="1:8">
      <c r="A4266" t="s">
        <v>110</v>
      </c>
      <c r="B4266" t="s">
        <v>111</v>
      </c>
      <c r="C4266" t="s">
        <v>10</v>
      </c>
      <c r="D4266" t="s">
        <v>33</v>
      </c>
      <c r="E4266">
        <v>2010</v>
      </c>
      <c r="F4266" t="s">
        <v>14</v>
      </c>
      <c r="G4266" t="s">
        <v>17</v>
      </c>
      <c r="H4266" s="2">
        <v>1731</v>
      </c>
    </row>
    <row r="4267" spans="1:8">
      <c r="A4267" t="s">
        <v>110</v>
      </c>
      <c r="B4267" t="s">
        <v>111</v>
      </c>
      <c r="C4267" t="s">
        <v>10</v>
      </c>
      <c r="D4267" t="s">
        <v>33</v>
      </c>
      <c r="E4267">
        <v>2010</v>
      </c>
      <c r="F4267" t="s">
        <v>21</v>
      </c>
      <c r="G4267" t="s">
        <v>15</v>
      </c>
      <c r="H4267" s="2">
        <v>581.65</v>
      </c>
    </row>
    <row r="4268" spans="1:8">
      <c r="A4268" t="s">
        <v>110</v>
      </c>
      <c r="B4268" t="s">
        <v>111</v>
      </c>
      <c r="C4268" t="s">
        <v>10</v>
      </c>
      <c r="D4268" t="s">
        <v>33</v>
      </c>
      <c r="E4268">
        <v>2011</v>
      </c>
      <c r="F4268" t="s">
        <v>22</v>
      </c>
      <c r="G4268" t="s">
        <v>15</v>
      </c>
      <c r="H4268" s="2">
        <v>24218.17</v>
      </c>
    </row>
    <row r="4269" spans="1:8">
      <c r="A4269" t="s">
        <v>110</v>
      </c>
      <c r="B4269" t="s">
        <v>111</v>
      </c>
      <c r="C4269" t="s">
        <v>10</v>
      </c>
      <c r="D4269" t="s">
        <v>33</v>
      </c>
      <c r="E4269">
        <v>2011</v>
      </c>
      <c r="F4269" t="s">
        <v>22</v>
      </c>
      <c r="G4269" t="s">
        <v>17</v>
      </c>
      <c r="H4269" s="2">
        <v>6746.13</v>
      </c>
    </row>
    <row r="4270" spans="1:8">
      <c r="A4270" t="s">
        <v>110</v>
      </c>
      <c r="B4270" t="s">
        <v>111</v>
      </c>
      <c r="C4270" t="s">
        <v>10</v>
      </c>
      <c r="D4270" t="s">
        <v>33</v>
      </c>
      <c r="E4270">
        <v>2011</v>
      </c>
      <c r="F4270" t="s">
        <v>20</v>
      </c>
      <c r="G4270" t="s">
        <v>15</v>
      </c>
      <c r="H4270" s="2">
        <v>60.99</v>
      </c>
    </row>
    <row r="4271" spans="1:8">
      <c r="A4271" t="s">
        <v>110</v>
      </c>
      <c r="B4271" t="s">
        <v>111</v>
      </c>
      <c r="C4271" t="s">
        <v>10</v>
      </c>
      <c r="D4271" t="s">
        <v>33</v>
      </c>
      <c r="E4271">
        <v>2011</v>
      </c>
      <c r="F4271" t="s">
        <v>16</v>
      </c>
      <c r="G4271" t="s">
        <v>15</v>
      </c>
      <c r="H4271" s="2">
        <v>4641.5200000000004</v>
      </c>
    </row>
    <row r="4272" spans="1:8">
      <c r="A4272" t="s">
        <v>110</v>
      </c>
      <c r="B4272" t="s">
        <v>111</v>
      </c>
      <c r="C4272" t="s">
        <v>10</v>
      </c>
      <c r="D4272" t="s">
        <v>33</v>
      </c>
      <c r="E4272">
        <v>2012</v>
      </c>
      <c r="F4272" t="s">
        <v>22</v>
      </c>
      <c r="G4272" t="s">
        <v>15</v>
      </c>
      <c r="H4272" s="2">
        <v>24290.27</v>
      </c>
    </row>
    <row r="4273" spans="1:8">
      <c r="A4273" t="s">
        <v>110</v>
      </c>
      <c r="B4273" t="s">
        <v>111</v>
      </c>
      <c r="C4273" t="s">
        <v>10</v>
      </c>
      <c r="D4273" t="s">
        <v>33</v>
      </c>
      <c r="E4273">
        <v>2012</v>
      </c>
      <c r="F4273" t="s">
        <v>18</v>
      </c>
      <c r="G4273" t="s">
        <v>17</v>
      </c>
      <c r="H4273" s="2">
        <v>250.01</v>
      </c>
    </row>
    <row r="4274" spans="1:8">
      <c r="A4274" t="s">
        <v>110</v>
      </c>
      <c r="B4274" t="s">
        <v>111</v>
      </c>
      <c r="C4274" t="s">
        <v>10</v>
      </c>
      <c r="D4274" t="s">
        <v>33</v>
      </c>
      <c r="E4274">
        <v>2012</v>
      </c>
      <c r="F4274" t="s">
        <v>14</v>
      </c>
      <c r="G4274" t="s">
        <v>15</v>
      </c>
      <c r="H4274" s="2">
        <v>2394.7399999999998</v>
      </c>
    </row>
    <row r="4275" spans="1:8">
      <c r="A4275" t="s">
        <v>110</v>
      </c>
      <c r="B4275" t="s">
        <v>111</v>
      </c>
      <c r="C4275" t="s">
        <v>10</v>
      </c>
      <c r="D4275" t="s">
        <v>33</v>
      </c>
      <c r="E4275">
        <v>2012</v>
      </c>
      <c r="F4275" t="s">
        <v>21</v>
      </c>
      <c r="G4275" t="s">
        <v>19</v>
      </c>
      <c r="H4275" s="2">
        <v>0</v>
      </c>
    </row>
    <row r="4276" spans="1:8">
      <c r="A4276" t="s">
        <v>110</v>
      </c>
      <c r="B4276" t="s">
        <v>111</v>
      </c>
      <c r="C4276" t="s">
        <v>10</v>
      </c>
      <c r="D4276" t="s">
        <v>33</v>
      </c>
      <c r="E4276">
        <v>2013</v>
      </c>
      <c r="F4276" t="s">
        <v>18</v>
      </c>
      <c r="G4276" t="s">
        <v>15</v>
      </c>
      <c r="H4276" s="2">
        <v>286.24</v>
      </c>
    </row>
    <row r="4277" spans="1:8">
      <c r="A4277" t="s">
        <v>110</v>
      </c>
      <c r="B4277" t="s">
        <v>111</v>
      </c>
      <c r="C4277" t="s">
        <v>10</v>
      </c>
      <c r="D4277" t="s">
        <v>33</v>
      </c>
      <c r="E4277">
        <v>2013</v>
      </c>
      <c r="F4277" t="s">
        <v>20</v>
      </c>
      <c r="G4277" t="s">
        <v>19</v>
      </c>
      <c r="H4277" s="2">
        <v>0</v>
      </c>
    </row>
    <row r="4278" spans="1:8">
      <c r="A4278" t="s">
        <v>110</v>
      </c>
      <c r="B4278" t="s">
        <v>111</v>
      </c>
      <c r="C4278" t="s">
        <v>10</v>
      </c>
      <c r="D4278" t="s">
        <v>33</v>
      </c>
      <c r="E4278">
        <v>2013</v>
      </c>
      <c r="F4278" t="s">
        <v>21</v>
      </c>
      <c r="G4278" t="s">
        <v>13</v>
      </c>
      <c r="H4278" s="2">
        <v>27643.63</v>
      </c>
    </row>
    <row r="4279" spans="1:8">
      <c r="A4279" t="s">
        <v>110</v>
      </c>
      <c r="B4279" t="s">
        <v>111</v>
      </c>
      <c r="C4279" t="s">
        <v>10</v>
      </c>
      <c r="D4279" t="s">
        <v>33</v>
      </c>
      <c r="E4279">
        <v>2013</v>
      </c>
      <c r="F4279" t="s">
        <v>16</v>
      </c>
      <c r="G4279" t="s">
        <v>13</v>
      </c>
      <c r="H4279" s="2">
        <v>872.63</v>
      </c>
    </row>
    <row r="4280" spans="1:8">
      <c r="A4280" t="s">
        <v>110</v>
      </c>
      <c r="B4280" t="s">
        <v>111</v>
      </c>
      <c r="C4280" t="s">
        <v>10</v>
      </c>
      <c r="D4280" t="s">
        <v>33</v>
      </c>
      <c r="E4280">
        <v>2014</v>
      </c>
      <c r="F4280" t="s">
        <v>12</v>
      </c>
      <c r="G4280" t="s">
        <v>15</v>
      </c>
      <c r="H4280" s="2">
        <v>525.54999999999995</v>
      </c>
    </row>
    <row r="4281" spans="1:8">
      <c r="A4281" t="s">
        <v>110</v>
      </c>
      <c r="B4281" t="s">
        <v>111</v>
      </c>
      <c r="C4281" t="s">
        <v>10</v>
      </c>
      <c r="D4281" t="s">
        <v>33</v>
      </c>
      <c r="E4281">
        <v>2014</v>
      </c>
      <c r="F4281" t="s">
        <v>20</v>
      </c>
      <c r="G4281" t="s">
        <v>17</v>
      </c>
      <c r="H4281" s="2">
        <v>64.17</v>
      </c>
    </row>
    <row r="4282" spans="1:8">
      <c r="A4282" t="s">
        <v>110</v>
      </c>
      <c r="B4282" t="s">
        <v>111</v>
      </c>
      <c r="C4282" t="s">
        <v>10</v>
      </c>
      <c r="D4282" t="s">
        <v>33</v>
      </c>
      <c r="E4282">
        <v>2014</v>
      </c>
      <c r="F4282" t="s">
        <v>16</v>
      </c>
      <c r="G4282" t="s">
        <v>15</v>
      </c>
      <c r="H4282" s="2">
        <v>4443.83</v>
      </c>
    </row>
    <row r="4283" spans="1:8">
      <c r="A4283" t="s">
        <v>110</v>
      </c>
      <c r="B4283" t="s">
        <v>111</v>
      </c>
      <c r="C4283" t="s">
        <v>10</v>
      </c>
      <c r="D4283" t="s">
        <v>33</v>
      </c>
      <c r="E4283">
        <v>2015</v>
      </c>
      <c r="F4283" t="s">
        <v>21</v>
      </c>
      <c r="G4283" t="s">
        <v>17</v>
      </c>
      <c r="H4283" s="2">
        <v>262.37</v>
      </c>
    </row>
    <row r="4284" spans="1:8">
      <c r="A4284" t="s">
        <v>110</v>
      </c>
      <c r="B4284" t="s">
        <v>111</v>
      </c>
      <c r="C4284" t="s">
        <v>10</v>
      </c>
      <c r="D4284" t="s">
        <v>33</v>
      </c>
      <c r="E4284">
        <v>2016</v>
      </c>
      <c r="F4284" t="s">
        <v>14</v>
      </c>
      <c r="G4284" t="s">
        <v>15</v>
      </c>
      <c r="H4284" s="2">
        <v>2664.76</v>
      </c>
    </row>
    <row r="4285" spans="1:8">
      <c r="A4285" t="s">
        <v>110</v>
      </c>
      <c r="B4285" t="s">
        <v>111</v>
      </c>
      <c r="C4285" t="s">
        <v>10</v>
      </c>
      <c r="D4285" t="s">
        <v>33</v>
      </c>
      <c r="E4285">
        <v>2017</v>
      </c>
      <c r="F4285" t="s">
        <v>18</v>
      </c>
      <c r="G4285" t="s">
        <v>13</v>
      </c>
      <c r="H4285" s="2">
        <v>4763.84</v>
      </c>
    </row>
    <row r="4286" spans="1:8">
      <c r="A4286" t="s">
        <v>110</v>
      </c>
      <c r="B4286" t="s">
        <v>111</v>
      </c>
      <c r="C4286" t="s">
        <v>10</v>
      </c>
      <c r="D4286" t="s">
        <v>33</v>
      </c>
      <c r="E4286">
        <v>2017</v>
      </c>
      <c r="F4286" t="s">
        <v>14</v>
      </c>
      <c r="G4286" t="s">
        <v>19</v>
      </c>
      <c r="H4286" s="2">
        <v>0</v>
      </c>
    </row>
    <row r="4287" spans="1:8">
      <c r="A4287" t="s">
        <v>110</v>
      </c>
      <c r="B4287" t="s">
        <v>111</v>
      </c>
      <c r="C4287" t="s">
        <v>10</v>
      </c>
      <c r="D4287" t="s">
        <v>33</v>
      </c>
      <c r="E4287">
        <v>2017</v>
      </c>
      <c r="F4287" t="s">
        <v>14</v>
      </c>
      <c r="G4287" t="s">
        <v>17</v>
      </c>
      <c r="H4287" s="2">
        <v>1738.42</v>
      </c>
    </row>
    <row r="4288" spans="1:8">
      <c r="A4288" t="s">
        <v>110</v>
      </c>
      <c r="B4288" t="s">
        <v>111</v>
      </c>
      <c r="C4288" t="s">
        <v>10</v>
      </c>
      <c r="D4288" t="s">
        <v>33</v>
      </c>
      <c r="E4288">
        <v>2018</v>
      </c>
      <c r="F4288" t="s">
        <v>20</v>
      </c>
      <c r="G4288" t="s">
        <v>15</v>
      </c>
      <c r="H4288" s="2">
        <v>70.400000000000006</v>
      </c>
    </row>
    <row r="4289" spans="1:8">
      <c r="A4289" t="s">
        <v>110</v>
      </c>
      <c r="B4289" t="s">
        <v>111</v>
      </c>
      <c r="C4289" t="s">
        <v>10</v>
      </c>
      <c r="D4289" t="s">
        <v>33</v>
      </c>
      <c r="E4289">
        <v>2018</v>
      </c>
      <c r="F4289" t="s">
        <v>21</v>
      </c>
      <c r="G4289" t="s">
        <v>15</v>
      </c>
      <c r="H4289" s="2">
        <v>572.45000000000005</v>
      </c>
    </row>
    <row r="4290" spans="1:8">
      <c r="A4290" t="s">
        <v>110</v>
      </c>
      <c r="B4290" t="s">
        <v>111</v>
      </c>
      <c r="C4290" t="s">
        <v>10</v>
      </c>
      <c r="D4290" t="s">
        <v>33</v>
      </c>
      <c r="E4290">
        <v>2018</v>
      </c>
      <c r="F4290" t="s">
        <v>21</v>
      </c>
      <c r="G4290" t="s">
        <v>13</v>
      </c>
      <c r="H4290" s="2">
        <v>27027.75</v>
      </c>
    </row>
    <row r="4291" spans="1:8">
      <c r="A4291" t="s">
        <v>110</v>
      </c>
      <c r="B4291" t="s">
        <v>111</v>
      </c>
      <c r="C4291" t="s">
        <v>10</v>
      </c>
      <c r="D4291" t="s">
        <v>33</v>
      </c>
      <c r="E4291">
        <v>2019</v>
      </c>
      <c r="F4291" t="s">
        <v>18</v>
      </c>
      <c r="G4291" t="s">
        <v>15</v>
      </c>
      <c r="H4291" s="2">
        <v>278.69</v>
      </c>
    </row>
    <row r="4292" spans="1:8">
      <c r="A4292" t="s">
        <v>110</v>
      </c>
      <c r="B4292" t="s">
        <v>111</v>
      </c>
      <c r="C4292" t="s">
        <v>10</v>
      </c>
      <c r="D4292" t="s">
        <v>33</v>
      </c>
      <c r="E4292">
        <v>2019</v>
      </c>
      <c r="F4292" t="s">
        <v>14</v>
      </c>
      <c r="G4292" t="s">
        <v>15</v>
      </c>
      <c r="H4292" s="2">
        <v>2542.42</v>
      </c>
    </row>
    <row r="4293" spans="1:8">
      <c r="A4293" t="s">
        <v>110</v>
      </c>
      <c r="B4293" t="s">
        <v>111</v>
      </c>
      <c r="C4293" t="s">
        <v>10</v>
      </c>
      <c r="D4293" t="s">
        <v>33</v>
      </c>
      <c r="E4293">
        <v>2019</v>
      </c>
      <c r="F4293" t="s">
        <v>21</v>
      </c>
      <c r="G4293" t="s">
        <v>17</v>
      </c>
      <c r="H4293" s="2">
        <v>278.17</v>
      </c>
    </row>
    <row r="4294" spans="1:8">
      <c r="A4294" t="s">
        <v>110</v>
      </c>
      <c r="B4294" t="s">
        <v>111</v>
      </c>
      <c r="C4294" t="s">
        <v>10</v>
      </c>
      <c r="D4294" t="s">
        <v>33</v>
      </c>
      <c r="E4294">
        <v>2020</v>
      </c>
      <c r="F4294" t="s">
        <v>22</v>
      </c>
      <c r="G4294" t="s">
        <v>19</v>
      </c>
      <c r="H4294" s="2">
        <v>0</v>
      </c>
    </row>
    <row r="4295" spans="1:8">
      <c r="A4295" t="s">
        <v>110</v>
      </c>
      <c r="B4295" t="s">
        <v>111</v>
      </c>
      <c r="C4295" t="s">
        <v>10</v>
      </c>
      <c r="D4295" t="s">
        <v>33</v>
      </c>
      <c r="E4295">
        <v>2020</v>
      </c>
      <c r="F4295" t="s">
        <v>20</v>
      </c>
      <c r="G4295" t="s">
        <v>13</v>
      </c>
      <c r="H4295" s="2">
        <v>6192.11</v>
      </c>
    </row>
    <row r="4296" spans="1:8">
      <c r="A4296" t="s">
        <v>110</v>
      </c>
      <c r="B4296" t="s">
        <v>111</v>
      </c>
      <c r="C4296" t="s">
        <v>10</v>
      </c>
      <c r="D4296" t="s">
        <v>33</v>
      </c>
      <c r="E4296">
        <v>2021</v>
      </c>
      <c r="F4296" t="s">
        <v>21</v>
      </c>
      <c r="G4296" t="s">
        <v>15</v>
      </c>
      <c r="H4296" s="2">
        <v>601.70000000000005</v>
      </c>
    </row>
    <row r="4297" spans="1:8">
      <c r="A4297" t="s">
        <v>110</v>
      </c>
      <c r="B4297" t="s">
        <v>111</v>
      </c>
      <c r="C4297" t="s">
        <v>10</v>
      </c>
      <c r="D4297" t="s">
        <v>33</v>
      </c>
      <c r="E4297">
        <v>2021</v>
      </c>
      <c r="F4297" t="s">
        <v>21</v>
      </c>
      <c r="G4297" t="s">
        <v>17</v>
      </c>
      <c r="H4297" s="2">
        <v>296.18</v>
      </c>
    </row>
    <row r="4298" spans="1:8">
      <c r="A4298" t="s">
        <v>110</v>
      </c>
      <c r="B4298" t="s">
        <v>111</v>
      </c>
      <c r="C4298" t="s">
        <v>10</v>
      </c>
      <c r="D4298" t="s">
        <v>33</v>
      </c>
      <c r="E4298">
        <v>2022</v>
      </c>
      <c r="F4298" t="s">
        <v>16</v>
      </c>
      <c r="G4298" t="s">
        <v>19</v>
      </c>
      <c r="H4298" s="2">
        <v>0</v>
      </c>
    </row>
    <row r="4299" spans="1:8">
      <c r="A4299" t="s">
        <v>110</v>
      </c>
      <c r="B4299" t="s">
        <v>111</v>
      </c>
      <c r="C4299" t="s">
        <v>10</v>
      </c>
      <c r="D4299" t="s">
        <v>33</v>
      </c>
      <c r="E4299">
        <v>2023</v>
      </c>
      <c r="F4299" t="s">
        <v>18</v>
      </c>
      <c r="G4299" t="s">
        <v>15</v>
      </c>
      <c r="H4299" s="2">
        <v>311.25</v>
      </c>
    </row>
    <row r="4300" spans="1:8">
      <c r="A4300" t="s">
        <v>110</v>
      </c>
      <c r="B4300" t="s">
        <v>111</v>
      </c>
      <c r="C4300" t="s">
        <v>10</v>
      </c>
      <c r="D4300" t="s">
        <v>33</v>
      </c>
      <c r="E4300">
        <v>2023</v>
      </c>
      <c r="F4300" t="s">
        <v>18</v>
      </c>
      <c r="G4300" t="s">
        <v>17</v>
      </c>
      <c r="H4300" s="2">
        <v>321.08</v>
      </c>
    </row>
    <row r="4301" spans="1:8">
      <c r="A4301" t="s">
        <v>110</v>
      </c>
      <c r="B4301" t="s">
        <v>111</v>
      </c>
      <c r="C4301" t="s">
        <v>10</v>
      </c>
      <c r="D4301" t="s">
        <v>33</v>
      </c>
      <c r="E4301">
        <v>2024</v>
      </c>
      <c r="F4301" t="s">
        <v>12</v>
      </c>
      <c r="G4301" t="s">
        <v>15</v>
      </c>
      <c r="H4301" s="2">
        <v>502.13</v>
      </c>
    </row>
    <row r="4302" spans="1:8">
      <c r="A4302" t="s">
        <v>110</v>
      </c>
      <c r="B4302" t="s">
        <v>111</v>
      </c>
      <c r="C4302" t="s">
        <v>10</v>
      </c>
      <c r="D4302" t="s">
        <v>33</v>
      </c>
      <c r="E4302">
        <v>2024</v>
      </c>
      <c r="F4302" t="s">
        <v>18</v>
      </c>
      <c r="G4302" t="s">
        <v>17</v>
      </c>
      <c r="H4302" s="2">
        <v>295.57</v>
      </c>
    </row>
    <row r="4303" spans="1:8">
      <c r="A4303" t="s">
        <v>110</v>
      </c>
      <c r="B4303" t="s">
        <v>111</v>
      </c>
      <c r="C4303" t="s">
        <v>10</v>
      </c>
      <c r="D4303" t="s">
        <v>33</v>
      </c>
      <c r="E4303">
        <v>2024</v>
      </c>
      <c r="F4303" t="s">
        <v>14</v>
      </c>
      <c r="G4303" t="s">
        <v>13</v>
      </c>
      <c r="H4303" s="2">
        <v>93576.04</v>
      </c>
    </row>
    <row r="4304" spans="1:8">
      <c r="A4304" t="s">
        <v>110</v>
      </c>
      <c r="B4304" t="s">
        <v>111</v>
      </c>
      <c r="C4304" t="s">
        <v>10</v>
      </c>
      <c r="D4304" t="s">
        <v>33</v>
      </c>
      <c r="E4304">
        <v>2024</v>
      </c>
      <c r="F4304" t="s">
        <v>21</v>
      </c>
      <c r="G4304" t="s">
        <v>15</v>
      </c>
      <c r="H4304" s="2">
        <v>593.64</v>
      </c>
    </row>
    <row r="4305" spans="1:8">
      <c r="A4305" t="s">
        <v>112</v>
      </c>
      <c r="B4305" t="s">
        <v>113</v>
      </c>
      <c r="C4305" t="s">
        <v>32</v>
      </c>
      <c r="D4305" t="s">
        <v>11</v>
      </c>
      <c r="E4305">
        <v>1990</v>
      </c>
      <c r="F4305" t="s">
        <v>22</v>
      </c>
      <c r="G4305" t="s">
        <v>15</v>
      </c>
      <c r="H4305" s="2">
        <v>49256.41</v>
      </c>
    </row>
    <row r="4306" spans="1:8">
      <c r="A4306" t="s">
        <v>112</v>
      </c>
      <c r="B4306" t="s">
        <v>113</v>
      </c>
      <c r="C4306" t="s">
        <v>32</v>
      </c>
      <c r="D4306" t="s">
        <v>11</v>
      </c>
      <c r="E4306">
        <v>1990</v>
      </c>
      <c r="F4306" t="s">
        <v>22</v>
      </c>
      <c r="G4306" t="s">
        <v>19</v>
      </c>
      <c r="H4306" s="2">
        <v>0</v>
      </c>
    </row>
    <row r="4307" spans="1:8">
      <c r="A4307" t="s">
        <v>112</v>
      </c>
      <c r="B4307" t="s">
        <v>113</v>
      </c>
      <c r="C4307" t="s">
        <v>32</v>
      </c>
      <c r="D4307" t="s">
        <v>11</v>
      </c>
      <c r="E4307">
        <v>1990</v>
      </c>
      <c r="F4307" t="s">
        <v>12</v>
      </c>
      <c r="G4307" t="s">
        <v>17</v>
      </c>
      <c r="H4307" s="2">
        <v>434.23</v>
      </c>
    </row>
    <row r="4308" spans="1:8">
      <c r="A4308" t="s">
        <v>112</v>
      </c>
      <c r="B4308" t="s">
        <v>113</v>
      </c>
      <c r="C4308" t="s">
        <v>32</v>
      </c>
      <c r="D4308" t="s">
        <v>11</v>
      </c>
      <c r="E4308">
        <v>1990</v>
      </c>
      <c r="F4308" t="s">
        <v>18</v>
      </c>
      <c r="G4308" t="s">
        <v>17</v>
      </c>
      <c r="H4308" s="2">
        <v>1772.06</v>
      </c>
    </row>
    <row r="4309" spans="1:8">
      <c r="A4309" t="s">
        <v>112</v>
      </c>
      <c r="B4309" t="s">
        <v>113</v>
      </c>
      <c r="C4309" t="s">
        <v>32</v>
      </c>
      <c r="D4309" t="s">
        <v>11</v>
      </c>
      <c r="E4309">
        <v>1990</v>
      </c>
      <c r="F4309" t="s">
        <v>20</v>
      </c>
      <c r="G4309" t="s">
        <v>15</v>
      </c>
      <c r="H4309" s="2">
        <v>-267.11</v>
      </c>
    </row>
    <row r="4310" spans="1:8">
      <c r="A4310" t="s">
        <v>112</v>
      </c>
      <c r="B4310" t="s">
        <v>113</v>
      </c>
      <c r="C4310" t="s">
        <v>32</v>
      </c>
      <c r="D4310" t="s">
        <v>11</v>
      </c>
      <c r="E4310">
        <v>1990</v>
      </c>
      <c r="F4310" t="s">
        <v>14</v>
      </c>
      <c r="G4310" t="s">
        <v>17</v>
      </c>
      <c r="H4310" s="2">
        <v>1863.53</v>
      </c>
    </row>
    <row r="4311" spans="1:8">
      <c r="A4311" t="s">
        <v>112</v>
      </c>
      <c r="B4311" t="s">
        <v>113</v>
      </c>
      <c r="C4311" t="s">
        <v>32</v>
      </c>
      <c r="D4311" t="s">
        <v>11</v>
      </c>
      <c r="E4311">
        <v>1990</v>
      </c>
      <c r="F4311" t="s">
        <v>21</v>
      </c>
      <c r="G4311" t="s">
        <v>13</v>
      </c>
      <c r="H4311" s="2">
        <v>48808.72</v>
      </c>
    </row>
    <row r="4312" spans="1:8">
      <c r="A4312" t="s">
        <v>112</v>
      </c>
      <c r="B4312" t="s">
        <v>113</v>
      </c>
      <c r="C4312" t="s">
        <v>32</v>
      </c>
      <c r="D4312" t="s">
        <v>11</v>
      </c>
      <c r="E4312">
        <v>1991</v>
      </c>
      <c r="F4312" t="s">
        <v>18</v>
      </c>
      <c r="G4312" t="s">
        <v>19</v>
      </c>
      <c r="H4312" s="2">
        <v>1456.51</v>
      </c>
    </row>
    <row r="4313" spans="1:8">
      <c r="A4313" t="s">
        <v>112</v>
      </c>
      <c r="B4313" t="s">
        <v>113</v>
      </c>
      <c r="C4313" t="s">
        <v>32</v>
      </c>
      <c r="D4313" t="s">
        <v>11</v>
      </c>
      <c r="E4313">
        <v>1991</v>
      </c>
      <c r="F4313" t="s">
        <v>20</v>
      </c>
      <c r="G4313" t="s">
        <v>13</v>
      </c>
      <c r="H4313" s="2">
        <v>-22708.1</v>
      </c>
    </row>
    <row r="4314" spans="1:8">
      <c r="A4314" t="s">
        <v>112</v>
      </c>
      <c r="B4314" t="s">
        <v>113</v>
      </c>
      <c r="C4314" t="s">
        <v>32</v>
      </c>
      <c r="D4314" t="s">
        <v>11</v>
      </c>
      <c r="E4314">
        <v>1992</v>
      </c>
      <c r="F4314" t="s">
        <v>14</v>
      </c>
      <c r="G4314" t="s">
        <v>19</v>
      </c>
      <c r="H4314" s="2">
        <v>0</v>
      </c>
    </row>
    <row r="4315" spans="1:8">
      <c r="A4315" t="s">
        <v>112</v>
      </c>
      <c r="B4315" t="s">
        <v>113</v>
      </c>
      <c r="C4315" t="s">
        <v>32</v>
      </c>
      <c r="D4315" t="s">
        <v>11</v>
      </c>
      <c r="E4315">
        <v>1992</v>
      </c>
      <c r="F4315" t="s">
        <v>16</v>
      </c>
      <c r="G4315" t="s">
        <v>15</v>
      </c>
      <c r="H4315" s="2">
        <v>73930.539999999994</v>
      </c>
    </row>
    <row r="4316" spans="1:8">
      <c r="A4316" t="s">
        <v>112</v>
      </c>
      <c r="B4316" t="s">
        <v>113</v>
      </c>
      <c r="C4316" t="s">
        <v>32</v>
      </c>
      <c r="D4316" t="s">
        <v>11</v>
      </c>
      <c r="E4316">
        <v>1993</v>
      </c>
      <c r="F4316" t="s">
        <v>18</v>
      </c>
      <c r="G4316" t="s">
        <v>15</v>
      </c>
      <c r="H4316" s="2">
        <v>1569.56</v>
      </c>
    </row>
    <row r="4317" spans="1:8">
      <c r="A4317" t="s">
        <v>112</v>
      </c>
      <c r="B4317" t="s">
        <v>113</v>
      </c>
      <c r="C4317" t="s">
        <v>32</v>
      </c>
      <c r="D4317" t="s">
        <v>11</v>
      </c>
      <c r="E4317">
        <v>1993</v>
      </c>
      <c r="F4317" t="s">
        <v>20</v>
      </c>
      <c r="G4317" t="s">
        <v>19</v>
      </c>
      <c r="H4317" s="2">
        <v>0</v>
      </c>
    </row>
    <row r="4318" spans="1:8">
      <c r="A4318" t="s">
        <v>112</v>
      </c>
      <c r="B4318" t="s">
        <v>113</v>
      </c>
      <c r="C4318" t="s">
        <v>32</v>
      </c>
      <c r="D4318" t="s">
        <v>11</v>
      </c>
      <c r="E4318">
        <v>1993</v>
      </c>
      <c r="F4318" t="s">
        <v>21</v>
      </c>
      <c r="G4318" t="s">
        <v>19</v>
      </c>
      <c r="H4318" s="2">
        <v>0</v>
      </c>
    </row>
    <row r="4319" spans="1:8">
      <c r="A4319" t="s">
        <v>112</v>
      </c>
      <c r="B4319" t="s">
        <v>113</v>
      </c>
      <c r="C4319" t="s">
        <v>32</v>
      </c>
      <c r="D4319" t="s">
        <v>11</v>
      </c>
      <c r="E4319">
        <v>1994</v>
      </c>
      <c r="F4319" t="s">
        <v>22</v>
      </c>
      <c r="G4319" t="s">
        <v>13</v>
      </c>
      <c r="H4319" s="2">
        <v>6310.8</v>
      </c>
    </row>
    <row r="4320" spans="1:8">
      <c r="A4320" t="s">
        <v>112</v>
      </c>
      <c r="B4320" t="s">
        <v>113</v>
      </c>
      <c r="C4320" t="s">
        <v>32</v>
      </c>
      <c r="D4320" t="s">
        <v>11</v>
      </c>
      <c r="E4320">
        <v>1994</v>
      </c>
      <c r="F4320" t="s">
        <v>22</v>
      </c>
      <c r="G4320" t="s">
        <v>19</v>
      </c>
      <c r="H4320" s="2">
        <v>0</v>
      </c>
    </row>
    <row r="4321" spans="1:8">
      <c r="A4321" t="s">
        <v>112</v>
      </c>
      <c r="B4321" t="s">
        <v>113</v>
      </c>
      <c r="C4321" t="s">
        <v>32</v>
      </c>
      <c r="D4321" t="s">
        <v>11</v>
      </c>
      <c r="E4321">
        <v>1994</v>
      </c>
      <c r="F4321" t="s">
        <v>12</v>
      </c>
      <c r="G4321" t="s">
        <v>19</v>
      </c>
      <c r="H4321" s="2">
        <v>0</v>
      </c>
    </row>
    <row r="4322" spans="1:8">
      <c r="A4322" t="s">
        <v>112</v>
      </c>
      <c r="B4322" t="s">
        <v>113</v>
      </c>
      <c r="C4322" t="s">
        <v>32</v>
      </c>
      <c r="D4322" t="s">
        <v>11</v>
      </c>
      <c r="E4322">
        <v>1994</v>
      </c>
      <c r="F4322" t="s">
        <v>21</v>
      </c>
      <c r="G4322" t="s">
        <v>13</v>
      </c>
      <c r="H4322" s="2">
        <v>47190.36</v>
      </c>
    </row>
    <row r="4323" spans="1:8">
      <c r="A4323" t="s">
        <v>112</v>
      </c>
      <c r="B4323" t="s">
        <v>113</v>
      </c>
      <c r="C4323" t="s">
        <v>32</v>
      </c>
      <c r="D4323" t="s">
        <v>11</v>
      </c>
      <c r="E4323">
        <v>1994</v>
      </c>
      <c r="F4323" t="s">
        <v>16</v>
      </c>
      <c r="G4323" t="s">
        <v>15</v>
      </c>
      <c r="H4323" s="2">
        <v>77715.259999999995</v>
      </c>
    </row>
    <row r="4324" spans="1:8">
      <c r="A4324" t="s">
        <v>112</v>
      </c>
      <c r="B4324" t="s">
        <v>113</v>
      </c>
      <c r="C4324" t="s">
        <v>32</v>
      </c>
      <c r="D4324" t="s">
        <v>11</v>
      </c>
      <c r="E4324">
        <v>1995</v>
      </c>
      <c r="F4324" t="s">
        <v>18</v>
      </c>
      <c r="G4324" t="s">
        <v>15</v>
      </c>
      <c r="H4324" s="2">
        <v>1615.05</v>
      </c>
    </row>
    <row r="4325" spans="1:8">
      <c r="A4325" t="s">
        <v>112</v>
      </c>
      <c r="B4325" t="s">
        <v>113</v>
      </c>
      <c r="C4325" t="s">
        <v>32</v>
      </c>
      <c r="D4325" t="s">
        <v>11</v>
      </c>
      <c r="E4325">
        <v>1995</v>
      </c>
      <c r="F4325" t="s">
        <v>16</v>
      </c>
      <c r="G4325" t="s">
        <v>17</v>
      </c>
      <c r="H4325" s="2">
        <v>4931.59</v>
      </c>
    </row>
    <row r="4326" spans="1:8">
      <c r="A4326" t="s">
        <v>112</v>
      </c>
      <c r="B4326" t="s">
        <v>113</v>
      </c>
      <c r="C4326" t="s">
        <v>32</v>
      </c>
      <c r="D4326" t="s">
        <v>11</v>
      </c>
      <c r="E4326">
        <v>1996</v>
      </c>
      <c r="F4326" t="s">
        <v>22</v>
      </c>
      <c r="G4326" t="s">
        <v>13</v>
      </c>
      <c r="H4326" s="2">
        <v>7061.77</v>
      </c>
    </row>
    <row r="4327" spans="1:8">
      <c r="A4327" t="s">
        <v>112</v>
      </c>
      <c r="B4327" t="s">
        <v>113</v>
      </c>
      <c r="C4327" t="s">
        <v>32</v>
      </c>
      <c r="D4327" t="s">
        <v>11</v>
      </c>
      <c r="E4327">
        <v>1996</v>
      </c>
      <c r="F4327" t="s">
        <v>14</v>
      </c>
      <c r="G4327" t="s">
        <v>17</v>
      </c>
      <c r="H4327" s="2">
        <v>1901.87</v>
      </c>
    </row>
    <row r="4328" spans="1:8">
      <c r="A4328" t="s">
        <v>112</v>
      </c>
      <c r="B4328" t="s">
        <v>113</v>
      </c>
      <c r="C4328" t="s">
        <v>32</v>
      </c>
      <c r="D4328" t="s">
        <v>11</v>
      </c>
      <c r="E4328">
        <v>1996</v>
      </c>
      <c r="F4328" t="s">
        <v>21</v>
      </c>
      <c r="G4328" t="s">
        <v>13</v>
      </c>
      <c r="H4328" s="2">
        <v>51323.1</v>
      </c>
    </row>
    <row r="4329" spans="1:8">
      <c r="A4329" t="s">
        <v>112</v>
      </c>
      <c r="B4329" t="s">
        <v>113</v>
      </c>
      <c r="C4329" t="s">
        <v>32</v>
      </c>
      <c r="D4329" t="s">
        <v>11</v>
      </c>
      <c r="E4329">
        <v>1997</v>
      </c>
      <c r="F4329" t="s">
        <v>22</v>
      </c>
      <c r="G4329" t="s">
        <v>13</v>
      </c>
      <c r="H4329" s="2">
        <v>7205.48</v>
      </c>
    </row>
    <row r="4330" spans="1:8">
      <c r="A4330" t="s">
        <v>112</v>
      </c>
      <c r="B4330" t="s">
        <v>113</v>
      </c>
      <c r="C4330" t="s">
        <v>32</v>
      </c>
      <c r="D4330" t="s">
        <v>11</v>
      </c>
      <c r="E4330">
        <v>1998</v>
      </c>
      <c r="F4330" t="s">
        <v>20</v>
      </c>
      <c r="G4330" t="s">
        <v>17</v>
      </c>
      <c r="H4330" s="2">
        <v>-265.74</v>
      </c>
    </row>
    <row r="4331" spans="1:8">
      <c r="A4331" t="s">
        <v>112</v>
      </c>
      <c r="B4331" t="s">
        <v>113</v>
      </c>
      <c r="C4331" t="s">
        <v>32</v>
      </c>
      <c r="D4331" t="s">
        <v>11</v>
      </c>
      <c r="E4331">
        <v>1998</v>
      </c>
      <c r="F4331" t="s">
        <v>16</v>
      </c>
      <c r="G4331" t="s">
        <v>17</v>
      </c>
      <c r="H4331" s="2">
        <v>5192.29</v>
      </c>
    </row>
    <row r="4332" spans="1:8">
      <c r="A4332" t="s">
        <v>112</v>
      </c>
      <c r="B4332" t="s">
        <v>113</v>
      </c>
      <c r="C4332" t="s">
        <v>32</v>
      </c>
      <c r="D4332" t="s">
        <v>11</v>
      </c>
      <c r="E4332">
        <v>1999</v>
      </c>
      <c r="F4332" t="s">
        <v>18</v>
      </c>
      <c r="G4332" t="s">
        <v>17</v>
      </c>
      <c r="H4332" s="2">
        <v>2006.64</v>
      </c>
    </row>
    <row r="4333" spans="1:8">
      <c r="A4333" t="s">
        <v>112</v>
      </c>
      <c r="B4333" t="s">
        <v>113</v>
      </c>
      <c r="C4333" t="s">
        <v>32</v>
      </c>
      <c r="D4333" t="s">
        <v>11</v>
      </c>
      <c r="E4333">
        <v>2000</v>
      </c>
      <c r="F4333" t="s">
        <v>18</v>
      </c>
      <c r="G4333" t="s">
        <v>19</v>
      </c>
      <c r="H4333" s="2">
        <v>1844.43</v>
      </c>
    </row>
    <row r="4334" spans="1:8">
      <c r="A4334" t="s">
        <v>112</v>
      </c>
      <c r="B4334" t="s">
        <v>113</v>
      </c>
      <c r="C4334" t="s">
        <v>32</v>
      </c>
      <c r="D4334" t="s">
        <v>11</v>
      </c>
      <c r="E4334">
        <v>2000</v>
      </c>
      <c r="F4334" t="s">
        <v>14</v>
      </c>
      <c r="G4334" t="s">
        <v>13</v>
      </c>
      <c r="H4334" s="2">
        <v>86070.95</v>
      </c>
    </row>
    <row r="4335" spans="1:8">
      <c r="A4335" t="s">
        <v>112</v>
      </c>
      <c r="B4335" t="s">
        <v>113</v>
      </c>
      <c r="C4335" t="s">
        <v>32</v>
      </c>
      <c r="D4335" t="s">
        <v>11</v>
      </c>
      <c r="E4335">
        <v>2001</v>
      </c>
      <c r="F4335" t="s">
        <v>12</v>
      </c>
      <c r="G4335" t="s">
        <v>13</v>
      </c>
      <c r="H4335" s="2">
        <v>15084.26</v>
      </c>
    </row>
    <row r="4336" spans="1:8">
      <c r="A4336" t="s">
        <v>112</v>
      </c>
      <c r="B4336" t="s">
        <v>113</v>
      </c>
      <c r="C4336" t="s">
        <v>32</v>
      </c>
      <c r="D4336" t="s">
        <v>11</v>
      </c>
      <c r="E4336">
        <v>2001</v>
      </c>
      <c r="F4336" t="s">
        <v>20</v>
      </c>
      <c r="G4336" t="s">
        <v>13</v>
      </c>
      <c r="H4336" s="2">
        <v>-29551.759999999998</v>
      </c>
    </row>
    <row r="4337" spans="1:8">
      <c r="A4337" t="s">
        <v>112</v>
      </c>
      <c r="B4337" t="s">
        <v>113</v>
      </c>
      <c r="C4337" t="s">
        <v>32</v>
      </c>
      <c r="D4337" t="s">
        <v>11</v>
      </c>
      <c r="E4337">
        <v>2001</v>
      </c>
      <c r="F4337" t="s">
        <v>14</v>
      </c>
      <c r="G4337" t="s">
        <v>15</v>
      </c>
      <c r="H4337" s="2">
        <v>3183.14</v>
      </c>
    </row>
    <row r="4338" spans="1:8">
      <c r="A4338" t="s">
        <v>112</v>
      </c>
      <c r="B4338" t="s">
        <v>113</v>
      </c>
      <c r="C4338" t="s">
        <v>32</v>
      </c>
      <c r="D4338" t="s">
        <v>11</v>
      </c>
      <c r="E4338">
        <v>2001</v>
      </c>
      <c r="F4338" t="s">
        <v>14</v>
      </c>
      <c r="G4338" t="s">
        <v>13</v>
      </c>
      <c r="H4338" s="2">
        <v>97340.56</v>
      </c>
    </row>
    <row r="4339" spans="1:8">
      <c r="A4339" t="s">
        <v>112</v>
      </c>
      <c r="B4339" t="s">
        <v>113</v>
      </c>
      <c r="C4339" t="s">
        <v>32</v>
      </c>
      <c r="D4339" t="s">
        <v>11</v>
      </c>
      <c r="E4339">
        <v>2001</v>
      </c>
      <c r="F4339" t="s">
        <v>21</v>
      </c>
      <c r="G4339" t="s">
        <v>13</v>
      </c>
      <c r="H4339" s="2">
        <v>54962.04</v>
      </c>
    </row>
    <row r="4340" spans="1:8">
      <c r="A4340" t="s">
        <v>112</v>
      </c>
      <c r="B4340" t="s">
        <v>113</v>
      </c>
      <c r="C4340" t="s">
        <v>32</v>
      </c>
      <c r="D4340" t="s">
        <v>11</v>
      </c>
      <c r="E4340">
        <v>2001</v>
      </c>
      <c r="F4340" t="s">
        <v>16</v>
      </c>
      <c r="G4340" t="s">
        <v>17</v>
      </c>
      <c r="H4340" s="2">
        <v>6312.87</v>
      </c>
    </row>
    <row r="4341" spans="1:8">
      <c r="A4341" t="s">
        <v>112</v>
      </c>
      <c r="B4341" t="s">
        <v>113</v>
      </c>
      <c r="C4341" t="s">
        <v>32</v>
      </c>
      <c r="D4341" t="s">
        <v>11</v>
      </c>
      <c r="E4341">
        <v>2002</v>
      </c>
      <c r="F4341" t="s">
        <v>18</v>
      </c>
      <c r="G4341" t="s">
        <v>19</v>
      </c>
      <c r="H4341" s="2">
        <v>2101.8000000000002</v>
      </c>
    </row>
    <row r="4342" spans="1:8">
      <c r="A4342" t="s">
        <v>112</v>
      </c>
      <c r="B4342" t="s">
        <v>113</v>
      </c>
      <c r="C4342" t="s">
        <v>32</v>
      </c>
      <c r="D4342" t="s">
        <v>11</v>
      </c>
      <c r="E4342">
        <v>2003</v>
      </c>
      <c r="F4342" t="s">
        <v>22</v>
      </c>
      <c r="G4342" t="s">
        <v>15</v>
      </c>
      <c r="H4342" s="2">
        <v>55819.35</v>
      </c>
    </row>
    <row r="4343" spans="1:8">
      <c r="A4343" t="s">
        <v>112</v>
      </c>
      <c r="B4343" t="s">
        <v>113</v>
      </c>
      <c r="C4343" t="s">
        <v>32</v>
      </c>
      <c r="D4343" t="s">
        <v>11</v>
      </c>
      <c r="E4343">
        <v>2003</v>
      </c>
      <c r="F4343" t="s">
        <v>12</v>
      </c>
      <c r="G4343" t="s">
        <v>15</v>
      </c>
      <c r="H4343" s="2">
        <v>1140.56</v>
      </c>
    </row>
    <row r="4344" spans="1:8">
      <c r="A4344" t="s">
        <v>112</v>
      </c>
      <c r="B4344" t="s">
        <v>113</v>
      </c>
      <c r="C4344" t="s">
        <v>32</v>
      </c>
      <c r="D4344" t="s">
        <v>11</v>
      </c>
      <c r="E4344">
        <v>2003</v>
      </c>
      <c r="F4344" t="s">
        <v>18</v>
      </c>
      <c r="G4344" t="s">
        <v>15</v>
      </c>
      <c r="H4344" s="2">
        <v>1923.53</v>
      </c>
    </row>
    <row r="4345" spans="1:8">
      <c r="A4345" t="s">
        <v>112</v>
      </c>
      <c r="B4345" t="s">
        <v>113</v>
      </c>
      <c r="C4345" t="s">
        <v>32</v>
      </c>
      <c r="D4345" t="s">
        <v>11</v>
      </c>
      <c r="E4345">
        <v>2003</v>
      </c>
      <c r="F4345" t="s">
        <v>20</v>
      </c>
      <c r="G4345" t="s">
        <v>17</v>
      </c>
      <c r="H4345" s="2">
        <v>-317.66000000000003</v>
      </c>
    </row>
    <row r="4346" spans="1:8">
      <c r="A4346" t="s">
        <v>112</v>
      </c>
      <c r="B4346" t="s">
        <v>113</v>
      </c>
      <c r="C4346" t="s">
        <v>32</v>
      </c>
      <c r="D4346" t="s">
        <v>11</v>
      </c>
      <c r="E4346">
        <v>2004</v>
      </c>
      <c r="F4346" t="s">
        <v>20</v>
      </c>
      <c r="G4346" t="s">
        <v>19</v>
      </c>
      <c r="H4346" s="2">
        <v>0</v>
      </c>
    </row>
    <row r="4347" spans="1:8">
      <c r="A4347" t="s">
        <v>112</v>
      </c>
      <c r="B4347" t="s">
        <v>113</v>
      </c>
      <c r="C4347" t="s">
        <v>32</v>
      </c>
      <c r="D4347" t="s">
        <v>11</v>
      </c>
      <c r="E4347">
        <v>2004</v>
      </c>
      <c r="F4347" t="s">
        <v>21</v>
      </c>
      <c r="G4347" t="s">
        <v>17</v>
      </c>
      <c r="H4347" s="2">
        <v>705.97</v>
      </c>
    </row>
    <row r="4348" spans="1:8">
      <c r="A4348" t="s">
        <v>112</v>
      </c>
      <c r="B4348" t="s">
        <v>113</v>
      </c>
      <c r="C4348" t="s">
        <v>32</v>
      </c>
      <c r="D4348" t="s">
        <v>11</v>
      </c>
      <c r="E4348">
        <v>2005</v>
      </c>
      <c r="F4348" t="s">
        <v>22</v>
      </c>
      <c r="G4348" t="s">
        <v>19</v>
      </c>
      <c r="H4348" s="2">
        <v>0</v>
      </c>
    </row>
    <row r="4349" spans="1:8">
      <c r="A4349" t="s">
        <v>112</v>
      </c>
      <c r="B4349" t="s">
        <v>113</v>
      </c>
      <c r="C4349" t="s">
        <v>32</v>
      </c>
      <c r="D4349" t="s">
        <v>11</v>
      </c>
      <c r="E4349">
        <v>2005</v>
      </c>
      <c r="F4349" t="s">
        <v>18</v>
      </c>
      <c r="G4349" t="s">
        <v>17</v>
      </c>
      <c r="H4349" s="2">
        <v>1993.72</v>
      </c>
    </row>
    <row r="4350" spans="1:8">
      <c r="A4350" t="s">
        <v>112</v>
      </c>
      <c r="B4350" t="s">
        <v>113</v>
      </c>
      <c r="C4350" t="s">
        <v>32</v>
      </c>
      <c r="D4350" t="s">
        <v>11</v>
      </c>
      <c r="E4350">
        <v>2005</v>
      </c>
      <c r="F4350" t="s">
        <v>21</v>
      </c>
      <c r="G4350" t="s">
        <v>15</v>
      </c>
      <c r="H4350" s="2">
        <v>1472.73</v>
      </c>
    </row>
    <row r="4351" spans="1:8">
      <c r="A4351" t="s">
        <v>112</v>
      </c>
      <c r="B4351" t="s">
        <v>113</v>
      </c>
      <c r="C4351" t="s">
        <v>32</v>
      </c>
      <c r="D4351" t="s">
        <v>11</v>
      </c>
      <c r="E4351">
        <v>2006</v>
      </c>
      <c r="F4351" t="s">
        <v>22</v>
      </c>
      <c r="G4351" t="s">
        <v>15</v>
      </c>
      <c r="H4351" s="2">
        <v>63918.95</v>
      </c>
    </row>
    <row r="4352" spans="1:8">
      <c r="A4352" t="s">
        <v>112</v>
      </c>
      <c r="B4352" t="s">
        <v>113</v>
      </c>
      <c r="C4352" t="s">
        <v>32</v>
      </c>
      <c r="D4352" t="s">
        <v>11</v>
      </c>
      <c r="E4352">
        <v>2006</v>
      </c>
      <c r="F4352" t="s">
        <v>12</v>
      </c>
      <c r="G4352" t="s">
        <v>19</v>
      </c>
      <c r="H4352" s="2">
        <v>0</v>
      </c>
    </row>
    <row r="4353" spans="1:8">
      <c r="A4353" t="s">
        <v>112</v>
      </c>
      <c r="B4353" t="s">
        <v>113</v>
      </c>
      <c r="C4353" t="s">
        <v>32</v>
      </c>
      <c r="D4353" t="s">
        <v>11</v>
      </c>
      <c r="E4353">
        <v>2006</v>
      </c>
      <c r="F4353" t="s">
        <v>18</v>
      </c>
      <c r="G4353" t="s">
        <v>13</v>
      </c>
      <c r="H4353" s="2">
        <v>37543.980000000003</v>
      </c>
    </row>
    <row r="4354" spans="1:8">
      <c r="A4354" t="s">
        <v>112</v>
      </c>
      <c r="B4354" t="s">
        <v>113</v>
      </c>
      <c r="C4354" t="s">
        <v>32</v>
      </c>
      <c r="D4354" t="s">
        <v>11</v>
      </c>
      <c r="E4354">
        <v>2006</v>
      </c>
      <c r="F4354" t="s">
        <v>14</v>
      </c>
      <c r="G4354" t="s">
        <v>13</v>
      </c>
      <c r="H4354" s="2">
        <v>127012.98</v>
      </c>
    </row>
    <row r="4355" spans="1:8">
      <c r="A4355" t="s">
        <v>112</v>
      </c>
      <c r="B4355" t="s">
        <v>113</v>
      </c>
      <c r="C4355" t="s">
        <v>32</v>
      </c>
      <c r="D4355" t="s">
        <v>11</v>
      </c>
      <c r="E4355">
        <v>2006</v>
      </c>
      <c r="F4355" t="s">
        <v>14</v>
      </c>
      <c r="G4355" t="s">
        <v>19</v>
      </c>
      <c r="H4355" s="2">
        <v>0</v>
      </c>
    </row>
    <row r="4356" spans="1:8">
      <c r="A4356" t="s">
        <v>112</v>
      </c>
      <c r="B4356" t="s">
        <v>113</v>
      </c>
      <c r="C4356" t="s">
        <v>32</v>
      </c>
      <c r="D4356" t="s">
        <v>11</v>
      </c>
      <c r="E4356">
        <v>2007</v>
      </c>
      <c r="F4356" t="s">
        <v>22</v>
      </c>
      <c r="G4356" t="s">
        <v>13</v>
      </c>
      <c r="H4356" s="2">
        <v>9964.9599999999991</v>
      </c>
    </row>
    <row r="4357" spans="1:8">
      <c r="A4357" t="s">
        <v>112</v>
      </c>
      <c r="B4357" t="s">
        <v>113</v>
      </c>
      <c r="C4357" t="s">
        <v>32</v>
      </c>
      <c r="D4357" t="s">
        <v>11</v>
      </c>
      <c r="E4357">
        <v>2007</v>
      </c>
      <c r="F4357" t="s">
        <v>18</v>
      </c>
      <c r="G4357" t="s">
        <v>13</v>
      </c>
      <c r="H4357" s="2">
        <v>40244.01</v>
      </c>
    </row>
    <row r="4358" spans="1:8">
      <c r="A4358" t="s">
        <v>112</v>
      </c>
      <c r="B4358" t="s">
        <v>113</v>
      </c>
      <c r="C4358" t="s">
        <v>32</v>
      </c>
      <c r="D4358" t="s">
        <v>11</v>
      </c>
      <c r="E4358">
        <v>2007</v>
      </c>
      <c r="F4358" t="s">
        <v>21</v>
      </c>
      <c r="G4358" t="s">
        <v>17</v>
      </c>
      <c r="H4358" s="2">
        <v>737.76</v>
      </c>
    </row>
    <row r="4359" spans="1:8">
      <c r="A4359" t="s">
        <v>112</v>
      </c>
      <c r="B4359" t="s">
        <v>113</v>
      </c>
      <c r="C4359" t="s">
        <v>32</v>
      </c>
      <c r="D4359" t="s">
        <v>11</v>
      </c>
      <c r="E4359">
        <v>2007</v>
      </c>
      <c r="F4359" t="s">
        <v>16</v>
      </c>
      <c r="G4359" t="s">
        <v>19</v>
      </c>
      <c r="H4359" s="2">
        <v>0</v>
      </c>
    </row>
    <row r="4360" spans="1:8">
      <c r="A4360" t="s">
        <v>112</v>
      </c>
      <c r="B4360" t="s">
        <v>113</v>
      </c>
      <c r="C4360" t="s">
        <v>32</v>
      </c>
      <c r="D4360" t="s">
        <v>11</v>
      </c>
      <c r="E4360">
        <v>2008</v>
      </c>
      <c r="F4360" t="s">
        <v>18</v>
      </c>
      <c r="G4360" t="s">
        <v>15</v>
      </c>
      <c r="H4360" s="2">
        <v>2185.8000000000002</v>
      </c>
    </row>
    <row r="4361" spans="1:8">
      <c r="A4361" t="s">
        <v>112</v>
      </c>
      <c r="B4361" t="s">
        <v>113</v>
      </c>
      <c r="C4361" t="s">
        <v>32</v>
      </c>
      <c r="D4361" t="s">
        <v>11</v>
      </c>
      <c r="E4361">
        <v>2008</v>
      </c>
      <c r="F4361" t="s">
        <v>20</v>
      </c>
      <c r="G4361" t="s">
        <v>13</v>
      </c>
      <c r="H4361" s="2">
        <v>-33219.07</v>
      </c>
    </row>
    <row r="4362" spans="1:8">
      <c r="A4362" t="s">
        <v>112</v>
      </c>
      <c r="B4362" t="s">
        <v>113</v>
      </c>
      <c r="C4362" t="s">
        <v>32</v>
      </c>
      <c r="D4362" t="s">
        <v>11</v>
      </c>
      <c r="E4362">
        <v>2008</v>
      </c>
      <c r="F4362" t="s">
        <v>20</v>
      </c>
      <c r="G4362" t="s">
        <v>19</v>
      </c>
      <c r="H4362" s="2">
        <v>0</v>
      </c>
    </row>
    <row r="4363" spans="1:8">
      <c r="A4363" t="s">
        <v>112</v>
      </c>
      <c r="B4363" t="s">
        <v>113</v>
      </c>
      <c r="C4363" t="s">
        <v>32</v>
      </c>
      <c r="D4363" t="s">
        <v>11</v>
      </c>
      <c r="E4363">
        <v>2009</v>
      </c>
      <c r="F4363" t="s">
        <v>22</v>
      </c>
      <c r="G4363" t="s">
        <v>19</v>
      </c>
      <c r="H4363" s="2">
        <v>0</v>
      </c>
    </row>
    <row r="4364" spans="1:8">
      <c r="A4364" t="s">
        <v>112</v>
      </c>
      <c r="B4364" t="s">
        <v>113</v>
      </c>
      <c r="C4364" t="s">
        <v>32</v>
      </c>
      <c r="D4364" t="s">
        <v>11</v>
      </c>
      <c r="E4364">
        <v>2009</v>
      </c>
      <c r="F4364" t="s">
        <v>20</v>
      </c>
      <c r="G4364" t="s">
        <v>15</v>
      </c>
      <c r="H4364" s="2">
        <v>-360.97</v>
      </c>
    </row>
    <row r="4365" spans="1:8">
      <c r="A4365" t="s">
        <v>112</v>
      </c>
      <c r="B4365" t="s">
        <v>113</v>
      </c>
      <c r="C4365" t="s">
        <v>32</v>
      </c>
      <c r="D4365" t="s">
        <v>11</v>
      </c>
      <c r="E4365">
        <v>2009</v>
      </c>
      <c r="F4365" t="s">
        <v>20</v>
      </c>
      <c r="G4365" t="s">
        <v>13</v>
      </c>
      <c r="H4365" s="2">
        <v>-38195.89</v>
      </c>
    </row>
    <row r="4366" spans="1:8">
      <c r="A4366" t="s">
        <v>112</v>
      </c>
      <c r="B4366" t="s">
        <v>113</v>
      </c>
      <c r="C4366" t="s">
        <v>32</v>
      </c>
      <c r="D4366" t="s">
        <v>11</v>
      </c>
      <c r="E4366">
        <v>2009</v>
      </c>
      <c r="F4366" t="s">
        <v>14</v>
      </c>
      <c r="G4366" t="s">
        <v>15</v>
      </c>
      <c r="H4366" s="2">
        <v>4299.22</v>
      </c>
    </row>
    <row r="4367" spans="1:8">
      <c r="A4367" t="s">
        <v>112</v>
      </c>
      <c r="B4367" t="s">
        <v>113</v>
      </c>
      <c r="C4367" t="s">
        <v>32</v>
      </c>
      <c r="D4367" t="s">
        <v>11</v>
      </c>
      <c r="E4367">
        <v>2010</v>
      </c>
      <c r="F4367" t="s">
        <v>12</v>
      </c>
      <c r="G4367" t="s">
        <v>15</v>
      </c>
      <c r="H4367" s="2">
        <v>1421.38</v>
      </c>
    </row>
    <row r="4368" spans="1:8">
      <c r="A4368" t="s">
        <v>112</v>
      </c>
      <c r="B4368" t="s">
        <v>113</v>
      </c>
      <c r="C4368" t="s">
        <v>32</v>
      </c>
      <c r="D4368" t="s">
        <v>11</v>
      </c>
      <c r="E4368">
        <v>2010</v>
      </c>
      <c r="F4368" t="s">
        <v>12</v>
      </c>
      <c r="G4368" t="s">
        <v>13</v>
      </c>
      <c r="H4368" s="2">
        <v>19154.89</v>
      </c>
    </row>
    <row r="4369" spans="1:8">
      <c r="A4369" t="s">
        <v>112</v>
      </c>
      <c r="B4369" t="s">
        <v>113</v>
      </c>
      <c r="C4369" t="s">
        <v>32</v>
      </c>
      <c r="D4369" t="s">
        <v>11</v>
      </c>
      <c r="E4369">
        <v>2010</v>
      </c>
      <c r="F4369" t="s">
        <v>20</v>
      </c>
      <c r="G4369" t="s">
        <v>15</v>
      </c>
      <c r="H4369" s="2">
        <v>-386.32</v>
      </c>
    </row>
    <row r="4370" spans="1:8">
      <c r="A4370" t="s">
        <v>112</v>
      </c>
      <c r="B4370" t="s">
        <v>113</v>
      </c>
      <c r="C4370" t="s">
        <v>32</v>
      </c>
      <c r="D4370" t="s">
        <v>11</v>
      </c>
      <c r="E4370">
        <v>2010</v>
      </c>
      <c r="F4370" t="s">
        <v>14</v>
      </c>
      <c r="G4370" t="s">
        <v>19</v>
      </c>
      <c r="H4370" s="2">
        <v>0</v>
      </c>
    </row>
    <row r="4371" spans="1:8">
      <c r="A4371" t="s">
        <v>112</v>
      </c>
      <c r="B4371" t="s">
        <v>113</v>
      </c>
      <c r="C4371" t="s">
        <v>32</v>
      </c>
      <c r="D4371" t="s">
        <v>11</v>
      </c>
      <c r="E4371">
        <v>2011</v>
      </c>
      <c r="F4371" t="s">
        <v>22</v>
      </c>
      <c r="G4371" t="s">
        <v>15</v>
      </c>
      <c r="H4371" s="2">
        <v>74534.759999999995</v>
      </c>
    </row>
    <row r="4372" spans="1:8">
      <c r="A4372" t="s">
        <v>112</v>
      </c>
      <c r="B4372" t="s">
        <v>113</v>
      </c>
      <c r="C4372" t="s">
        <v>32</v>
      </c>
      <c r="D4372" t="s">
        <v>11</v>
      </c>
      <c r="E4372">
        <v>2011</v>
      </c>
      <c r="F4372" t="s">
        <v>20</v>
      </c>
      <c r="G4372" t="s">
        <v>13</v>
      </c>
      <c r="H4372" s="2">
        <v>-39596.53</v>
      </c>
    </row>
    <row r="4373" spans="1:8">
      <c r="A4373" t="s">
        <v>112</v>
      </c>
      <c r="B4373" t="s">
        <v>113</v>
      </c>
      <c r="C4373" t="s">
        <v>32</v>
      </c>
      <c r="D4373" t="s">
        <v>11</v>
      </c>
      <c r="E4373">
        <v>2011</v>
      </c>
      <c r="F4373" t="s">
        <v>21</v>
      </c>
      <c r="G4373" t="s">
        <v>13</v>
      </c>
      <c r="H4373" s="2">
        <v>74140.09</v>
      </c>
    </row>
    <row r="4374" spans="1:8">
      <c r="A4374" t="s">
        <v>112</v>
      </c>
      <c r="B4374" t="s">
        <v>113</v>
      </c>
      <c r="C4374" t="s">
        <v>32</v>
      </c>
      <c r="D4374" t="s">
        <v>11</v>
      </c>
      <c r="E4374">
        <v>2011</v>
      </c>
      <c r="F4374" t="s">
        <v>16</v>
      </c>
      <c r="G4374" t="s">
        <v>13</v>
      </c>
      <c r="H4374" s="2">
        <v>22379.41</v>
      </c>
    </row>
    <row r="4375" spans="1:8">
      <c r="A4375" t="s">
        <v>112</v>
      </c>
      <c r="B4375" t="s">
        <v>113</v>
      </c>
      <c r="C4375" t="s">
        <v>32</v>
      </c>
      <c r="D4375" t="s">
        <v>11</v>
      </c>
      <c r="E4375">
        <v>2012</v>
      </c>
      <c r="F4375" t="s">
        <v>12</v>
      </c>
      <c r="G4375" t="s">
        <v>19</v>
      </c>
      <c r="H4375" s="2">
        <v>0</v>
      </c>
    </row>
    <row r="4376" spans="1:8">
      <c r="A4376" t="s">
        <v>112</v>
      </c>
      <c r="B4376" t="s">
        <v>113</v>
      </c>
      <c r="C4376" t="s">
        <v>32</v>
      </c>
      <c r="D4376" t="s">
        <v>11</v>
      </c>
      <c r="E4376">
        <v>2012</v>
      </c>
      <c r="F4376" t="s">
        <v>14</v>
      </c>
      <c r="G4376" t="s">
        <v>15</v>
      </c>
      <c r="H4376" s="2">
        <v>4048.77</v>
      </c>
    </row>
    <row r="4377" spans="1:8">
      <c r="A4377" t="s">
        <v>112</v>
      </c>
      <c r="B4377" t="s">
        <v>113</v>
      </c>
      <c r="C4377" t="s">
        <v>32</v>
      </c>
      <c r="D4377" t="s">
        <v>11</v>
      </c>
      <c r="E4377">
        <v>2013</v>
      </c>
      <c r="F4377" t="s">
        <v>12</v>
      </c>
      <c r="G4377" t="s">
        <v>13</v>
      </c>
      <c r="H4377" s="2">
        <v>21673.599999999999</v>
      </c>
    </row>
    <row r="4378" spans="1:8">
      <c r="A4378" t="s">
        <v>112</v>
      </c>
      <c r="B4378" t="s">
        <v>113</v>
      </c>
      <c r="C4378" t="s">
        <v>32</v>
      </c>
      <c r="D4378" t="s">
        <v>11</v>
      </c>
      <c r="E4378">
        <v>2013</v>
      </c>
      <c r="F4378" t="s">
        <v>18</v>
      </c>
      <c r="G4378" t="s">
        <v>19</v>
      </c>
      <c r="H4378" s="2">
        <v>2732.32</v>
      </c>
    </row>
    <row r="4379" spans="1:8">
      <c r="A4379" t="s">
        <v>112</v>
      </c>
      <c r="B4379" t="s">
        <v>113</v>
      </c>
      <c r="C4379" t="s">
        <v>32</v>
      </c>
      <c r="D4379" t="s">
        <v>11</v>
      </c>
      <c r="E4379">
        <v>2013</v>
      </c>
      <c r="F4379" t="s">
        <v>14</v>
      </c>
      <c r="G4379" t="s">
        <v>15</v>
      </c>
      <c r="H4379" s="2">
        <v>4381.63</v>
      </c>
    </row>
    <row r="4380" spans="1:8">
      <c r="A4380" t="s">
        <v>112</v>
      </c>
      <c r="B4380" t="s">
        <v>113</v>
      </c>
      <c r="C4380" t="s">
        <v>32</v>
      </c>
      <c r="D4380" t="s">
        <v>11</v>
      </c>
      <c r="E4380">
        <v>2013</v>
      </c>
      <c r="F4380" t="s">
        <v>16</v>
      </c>
      <c r="G4380" t="s">
        <v>15</v>
      </c>
      <c r="H4380" s="2">
        <v>127666.57</v>
      </c>
    </row>
    <row r="4381" spans="1:8">
      <c r="A4381" t="s">
        <v>112</v>
      </c>
      <c r="B4381" t="s">
        <v>113</v>
      </c>
      <c r="C4381" t="s">
        <v>32</v>
      </c>
      <c r="D4381" t="s">
        <v>11</v>
      </c>
      <c r="E4381">
        <v>2013</v>
      </c>
      <c r="F4381" t="s">
        <v>16</v>
      </c>
      <c r="G4381" t="s">
        <v>17</v>
      </c>
      <c r="H4381" s="2">
        <v>8951.89</v>
      </c>
    </row>
    <row r="4382" spans="1:8">
      <c r="A4382" t="s">
        <v>112</v>
      </c>
      <c r="B4382" t="s">
        <v>113</v>
      </c>
      <c r="C4382" t="s">
        <v>32</v>
      </c>
      <c r="D4382" t="s">
        <v>11</v>
      </c>
      <c r="E4382">
        <v>2014</v>
      </c>
      <c r="F4382" t="s">
        <v>22</v>
      </c>
      <c r="G4382" t="s">
        <v>19</v>
      </c>
      <c r="H4382" s="2">
        <v>0</v>
      </c>
    </row>
    <row r="4383" spans="1:8">
      <c r="A4383" t="s">
        <v>112</v>
      </c>
      <c r="B4383" t="s">
        <v>113</v>
      </c>
      <c r="C4383" t="s">
        <v>32</v>
      </c>
      <c r="D4383" t="s">
        <v>11</v>
      </c>
      <c r="E4383">
        <v>2014</v>
      </c>
      <c r="F4383" t="s">
        <v>22</v>
      </c>
      <c r="G4383" t="s">
        <v>17</v>
      </c>
      <c r="H4383" s="2">
        <v>21595.35</v>
      </c>
    </row>
    <row r="4384" spans="1:8">
      <c r="A4384" t="s">
        <v>112</v>
      </c>
      <c r="B4384" t="s">
        <v>113</v>
      </c>
      <c r="C4384" t="s">
        <v>32</v>
      </c>
      <c r="D4384" t="s">
        <v>11</v>
      </c>
      <c r="E4384">
        <v>2014</v>
      </c>
      <c r="F4384" t="s">
        <v>12</v>
      </c>
      <c r="G4384" t="s">
        <v>15</v>
      </c>
      <c r="H4384" s="2">
        <v>1505.63</v>
      </c>
    </row>
    <row r="4385" spans="1:8">
      <c r="A4385" t="s">
        <v>112</v>
      </c>
      <c r="B4385" t="s">
        <v>113</v>
      </c>
      <c r="C4385" t="s">
        <v>32</v>
      </c>
      <c r="D4385" t="s">
        <v>11</v>
      </c>
      <c r="E4385">
        <v>2014</v>
      </c>
      <c r="F4385" t="s">
        <v>21</v>
      </c>
      <c r="G4385" t="s">
        <v>19</v>
      </c>
      <c r="H4385" s="2">
        <v>0</v>
      </c>
    </row>
    <row r="4386" spans="1:8">
      <c r="A4386" t="s">
        <v>112</v>
      </c>
      <c r="B4386" t="s">
        <v>113</v>
      </c>
      <c r="C4386" t="s">
        <v>32</v>
      </c>
      <c r="D4386" t="s">
        <v>11</v>
      </c>
      <c r="E4386">
        <v>2014</v>
      </c>
      <c r="F4386" t="s">
        <v>21</v>
      </c>
      <c r="G4386" t="s">
        <v>17</v>
      </c>
      <c r="H4386" s="2">
        <v>776.47</v>
      </c>
    </row>
    <row r="4387" spans="1:8">
      <c r="A4387" t="s">
        <v>112</v>
      </c>
      <c r="B4387" t="s">
        <v>113</v>
      </c>
      <c r="C4387" t="s">
        <v>32</v>
      </c>
      <c r="D4387" t="s">
        <v>11</v>
      </c>
      <c r="E4387">
        <v>2014</v>
      </c>
      <c r="F4387" t="s">
        <v>16</v>
      </c>
      <c r="G4387" t="s">
        <v>13</v>
      </c>
      <c r="H4387" s="2">
        <v>25353.77</v>
      </c>
    </row>
    <row r="4388" spans="1:8">
      <c r="A4388" t="s">
        <v>112</v>
      </c>
      <c r="B4388" t="s">
        <v>113</v>
      </c>
      <c r="C4388" t="s">
        <v>32</v>
      </c>
      <c r="D4388" t="s">
        <v>11</v>
      </c>
      <c r="E4388">
        <v>2015</v>
      </c>
      <c r="F4388" t="s">
        <v>22</v>
      </c>
      <c r="G4388" t="s">
        <v>15</v>
      </c>
      <c r="H4388" s="2">
        <v>72100.37</v>
      </c>
    </row>
    <row r="4389" spans="1:8">
      <c r="A4389" t="s">
        <v>112</v>
      </c>
      <c r="B4389" t="s">
        <v>113</v>
      </c>
      <c r="C4389" t="s">
        <v>32</v>
      </c>
      <c r="D4389" t="s">
        <v>11</v>
      </c>
      <c r="E4389">
        <v>2015</v>
      </c>
      <c r="F4389" t="s">
        <v>12</v>
      </c>
      <c r="G4389" t="s">
        <v>19</v>
      </c>
      <c r="H4389" s="2">
        <v>0</v>
      </c>
    </row>
    <row r="4390" spans="1:8">
      <c r="A4390" t="s">
        <v>112</v>
      </c>
      <c r="B4390" t="s">
        <v>113</v>
      </c>
      <c r="C4390" t="s">
        <v>32</v>
      </c>
      <c r="D4390" t="s">
        <v>11</v>
      </c>
      <c r="E4390">
        <v>2015</v>
      </c>
      <c r="F4390" t="s">
        <v>21</v>
      </c>
      <c r="G4390" t="s">
        <v>15</v>
      </c>
      <c r="H4390" s="2">
        <v>1644.56</v>
      </c>
    </row>
    <row r="4391" spans="1:8">
      <c r="A4391" t="s">
        <v>112</v>
      </c>
      <c r="B4391" t="s">
        <v>113</v>
      </c>
      <c r="C4391" t="s">
        <v>32</v>
      </c>
      <c r="D4391" t="s">
        <v>11</v>
      </c>
      <c r="E4391">
        <v>2015</v>
      </c>
      <c r="F4391" t="s">
        <v>16</v>
      </c>
      <c r="G4391" t="s">
        <v>19</v>
      </c>
      <c r="H4391" s="2">
        <v>0</v>
      </c>
    </row>
    <row r="4392" spans="1:8">
      <c r="A4392" t="s">
        <v>112</v>
      </c>
      <c r="B4392" t="s">
        <v>113</v>
      </c>
      <c r="C4392" t="s">
        <v>32</v>
      </c>
      <c r="D4392" t="s">
        <v>11</v>
      </c>
      <c r="E4392">
        <v>2016</v>
      </c>
      <c r="F4392" t="s">
        <v>21</v>
      </c>
      <c r="G4392" t="s">
        <v>19</v>
      </c>
      <c r="H4392" s="2">
        <v>0</v>
      </c>
    </row>
    <row r="4393" spans="1:8">
      <c r="A4393" t="s">
        <v>112</v>
      </c>
      <c r="B4393" t="s">
        <v>113</v>
      </c>
      <c r="C4393" t="s">
        <v>32</v>
      </c>
      <c r="D4393" t="s">
        <v>11</v>
      </c>
      <c r="E4393">
        <v>2016</v>
      </c>
      <c r="F4393" t="s">
        <v>16</v>
      </c>
      <c r="G4393" t="s">
        <v>15</v>
      </c>
      <c r="H4393" s="2">
        <v>133321.5</v>
      </c>
    </row>
    <row r="4394" spans="1:8">
      <c r="A4394" t="s">
        <v>112</v>
      </c>
      <c r="B4394" t="s">
        <v>113</v>
      </c>
      <c r="C4394" t="s">
        <v>32</v>
      </c>
      <c r="D4394" t="s">
        <v>11</v>
      </c>
      <c r="E4394">
        <v>2017</v>
      </c>
      <c r="F4394" t="s">
        <v>18</v>
      </c>
      <c r="G4394" t="s">
        <v>17</v>
      </c>
      <c r="H4394" s="2">
        <v>2644.38</v>
      </c>
    </row>
    <row r="4395" spans="1:8">
      <c r="A4395" t="s">
        <v>112</v>
      </c>
      <c r="B4395" t="s">
        <v>113</v>
      </c>
      <c r="C4395" t="s">
        <v>32</v>
      </c>
      <c r="D4395" t="s">
        <v>11</v>
      </c>
      <c r="E4395">
        <v>2017</v>
      </c>
      <c r="F4395" t="s">
        <v>14</v>
      </c>
      <c r="G4395" t="s">
        <v>15</v>
      </c>
      <c r="H4395" s="2">
        <v>4739.6400000000003</v>
      </c>
    </row>
    <row r="4396" spans="1:8">
      <c r="A4396" t="s">
        <v>112</v>
      </c>
      <c r="B4396" t="s">
        <v>113</v>
      </c>
      <c r="C4396" t="s">
        <v>32</v>
      </c>
      <c r="D4396" t="s">
        <v>11</v>
      </c>
      <c r="E4396">
        <v>2018</v>
      </c>
      <c r="F4396" t="s">
        <v>14</v>
      </c>
      <c r="G4396" t="s">
        <v>17</v>
      </c>
      <c r="H4396" s="2">
        <v>2888.45</v>
      </c>
    </row>
    <row r="4397" spans="1:8">
      <c r="A4397" t="s">
        <v>112</v>
      </c>
      <c r="B4397" t="s">
        <v>113</v>
      </c>
      <c r="C4397" t="s">
        <v>32</v>
      </c>
      <c r="D4397" t="s">
        <v>11</v>
      </c>
      <c r="E4397">
        <v>2018</v>
      </c>
      <c r="F4397" t="s">
        <v>21</v>
      </c>
      <c r="G4397" t="s">
        <v>19</v>
      </c>
      <c r="H4397" s="2">
        <v>0</v>
      </c>
    </row>
    <row r="4398" spans="1:8">
      <c r="A4398" t="s">
        <v>112</v>
      </c>
      <c r="B4398" t="s">
        <v>113</v>
      </c>
      <c r="C4398" t="s">
        <v>32</v>
      </c>
      <c r="D4398" t="s">
        <v>11</v>
      </c>
      <c r="E4398">
        <v>2018</v>
      </c>
      <c r="F4398" t="s">
        <v>16</v>
      </c>
      <c r="G4398" t="s">
        <v>13</v>
      </c>
      <c r="H4398" s="2">
        <v>22070.06</v>
      </c>
    </row>
    <row r="4399" spans="1:8">
      <c r="A4399" t="s">
        <v>112</v>
      </c>
      <c r="B4399" t="s">
        <v>113</v>
      </c>
      <c r="C4399" t="s">
        <v>32</v>
      </c>
      <c r="D4399" t="s">
        <v>11</v>
      </c>
      <c r="E4399">
        <v>2018</v>
      </c>
      <c r="F4399" t="s">
        <v>16</v>
      </c>
      <c r="G4399" t="s">
        <v>19</v>
      </c>
      <c r="H4399" s="2">
        <v>0</v>
      </c>
    </row>
    <row r="4400" spans="1:8">
      <c r="A4400" t="s">
        <v>112</v>
      </c>
      <c r="B4400" t="s">
        <v>113</v>
      </c>
      <c r="C4400" t="s">
        <v>32</v>
      </c>
      <c r="D4400" t="s">
        <v>11</v>
      </c>
      <c r="E4400">
        <v>2019</v>
      </c>
      <c r="F4400" t="s">
        <v>20</v>
      </c>
      <c r="G4400" t="s">
        <v>17</v>
      </c>
      <c r="H4400" s="2">
        <v>-393.05</v>
      </c>
    </row>
    <row r="4401" spans="1:8">
      <c r="A4401" t="s">
        <v>112</v>
      </c>
      <c r="B4401" t="s">
        <v>113</v>
      </c>
      <c r="C4401" t="s">
        <v>32</v>
      </c>
      <c r="D4401" t="s">
        <v>11</v>
      </c>
      <c r="E4401">
        <v>2019</v>
      </c>
      <c r="F4401" t="s">
        <v>14</v>
      </c>
      <c r="G4401" t="s">
        <v>17</v>
      </c>
      <c r="H4401" s="2">
        <v>2890.15</v>
      </c>
    </row>
    <row r="4402" spans="1:8">
      <c r="A4402" t="s">
        <v>112</v>
      </c>
      <c r="B4402" t="s">
        <v>113</v>
      </c>
      <c r="C4402" t="s">
        <v>32</v>
      </c>
      <c r="D4402" t="s">
        <v>11</v>
      </c>
      <c r="E4402">
        <v>2019</v>
      </c>
      <c r="F4402" t="s">
        <v>21</v>
      </c>
      <c r="G4402" t="s">
        <v>19</v>
      </c>
      <c r="H4402" s="2">
        <v>0</v>
      </c>
    </row>
    <row r="4403" spans="1:8">
      <c r="A4403" t="s">
        <v>112</v>
      </c>
      <c r="B4403" t="s">
        <v>113</v>
      </c>
      <c r="C4403" t="s">
        <v>32</v>
      </c>
      <c r="D4403" t="s">
        <v>11</v>
      </c>
      <c r="E4403">
        <v>2020</v>
      </c>
      <c r="F4403" t="s">
        <v>18</v>
      </c>
      <c r="G4403" t="s">
        <v>13</v>
      </c>
      <c r="H4403" s="2">
        <v>42303.48</v>
      </c>
    </row>
    <row r="4404" spans="1:8">
      <c r="A4404" t="s">
        <v>112</v>
      </c>
      <c r="B4404" t="s">
        <v>113</v>
      </c>
      <c r="C4404" t="s">
        <v>32</v>
      </c>
      <c r="D4404" t="s">
        <v>11</v>
      </c>
      <c r="E4404">
        <v>2020</v>
      </c>
      <c r="F4404" t="s">
        <v>21</v>
      </c>
      <c r="G4404" t="s">
        <v>17</v>
      </c>
      <c r="H4404" s="2">
        <v>753.51</v>
      </c>
    </row>
    <row r="4405" spans="1:8">
      <c r="A4405" t="s">
        <v>112</v>
      </c>
      <c r="B4405" t="s">
        <v>113</v>
      </c>
      <c r="C4405" t="s">
        <v>32</v>
      </c>
      <c r="D4405" t="s">
        <v>11</v>
      </c>
      <c r="E4405">
        <v>2021</v>
      </c>
      <c r="F4405" t="s">
        <v>22</v>
      </c>
      <c r="G4405" t="s">
        <v>13</v>
      </c>
      <c r="H4405" s="2">
        <v>12176.93</v>
      </c>
    </row>
    <row r="4406" spans="1:8">
      <c r="A4406" t="s">
        <v>112</v>
      </c>
      <c r="B4406" t="s">
        <v>113</v>
      </c>
      <c r="C4406" t="s">
        <v>32</v>
      </c>
      <c r="D4406" t="s">
        <v>11</v>
      </c>
      <c r="E4406">
        <v>2021</v>
      </c>
      <c r="F4406" t="s">
        <v>12</v>
      </c>
      <c r="G4406" t="s">
        <v>13</v>
      </c>
      <c r="H4406" s="2">
        <v>22574.2</v>
      </c>
    </row>
    <row r="4407" spans="1:8">
      <c r="A4407" t="s">
        <v>112</v>
      </c>
      <c r="B4407" t="s">
        <v>113</v>
      </c>
      <c r="C4407" t="s">
        <v>32</v>
      </c>
      <c r="D4407" t="s">
        <v>11</v>
      </c>
      <c r="E4407">
        <v>2021</v>
      </c>
      <c r="F4407" t="s">
        <v>20</v>
      </c>
      <c r="G4407" t="s">
        <v>19</v>
      </c>
      <c r="H4407" s="2">
        <v>0</v>
      </c>
    </row>
    <row r="4408" spans="1:8">
      <c r="A4408" t="s">
        <v>112</v>
      </c>
      <c r="B4408" t="s">
        <v>113</v>
      </c>
      <c r="C4408" t="s">
        <v>32</v>
      </c>
      <c r="D4408" t="s">
        <v>11</v>
      </c>
      <c r="E4408">
        <v>2021</v>
      </c>
      <c r="F4408" t="s">
        <v>21</v>
      </c>
      <c r="G4408" t="s">
        <v>15</v>
      </c>
      <c r="H4408" s="2">
        <v>1682.48</v>
      </c>
    </row>
    <row r="4409" spans="1:8">
      <c r="A4409" t="s">
        <v>112</v>
      </c>
      <c r="B4409" t="s">
        <v>113</v>
      </c>
      <c r="C4409" t="s">
        <v>32</v>
      </c>
      <c r="D4409" t="s">
        <v>11</v>
      </c>
      <c r="E4409">
        <v>2022</v>
      </c>
      <c r="F4409" t="s">
        <v>22</v>
      </c>
      <c r="G4409" t="s">
        <v>17</v>
      </c>
      <c r="H4409" s="2">
        <v>24335.45</v>
      </c>
    </row>
    <row r="4410" spans="1:8">
      <c r="A4410" t="s">
        <v>112</v>
      </c>
      <c r="B4410" t="s">
        <v>113</v>
      </c>
      <c r="C4410" t="s">
        <v>32</v>
      </c>
      <c r="D4410" t="s">
        <v>11</v>
      </c>
      <c r="E4410">
        <v>2022</v>
      </c>
      <c r="F4410" t="s">
        <v>21</v>
      </c>
      <c r="G4410" t="s">
        <v>19</v>
      </c>
      <c r="H4410" s="2">
        <v>0</v>
      </c>
    </row>
    <row r="4411" spans="1:8">
      <c r="A4411" t="s">
        <v>112</v>
      </c>
      <c r="B4411" t="s">
        <v>113</v>
      </c>
      <c r="C4411" t="s">
        <v>32</v>
      </c>
      <c r="D4411" t="s">
        <v>11</v>
      </c>
      <c r="E4411">
        <v>2022</v>
      </c>
      <c r="F4411" t="s">
        <v>16</v>
      </c>
      <c r="G4411" t="s">
        <v>15</v>
      </c>
      <c r="H4411" s="2">
        <v>137932.04999999999</v>
      </c>
    </row>
    <row r="4412" spans="1:8">
      <c r="A4412" t="s">
        <v>112</v>
      </c>
      <c r="B4412" t="s">
        <v>113</v>
      </c>
      <c r="C4412" t="s">
        <v>32</v>
      </c>
      <c r="D4412" t="s">
        <v>11</v>
      </c>
      <c r="E4412">
        <v>2022</v>
      </c>
      <c r="F4412" t="s">
        <v>16</v>
      </c>
      <c r="G4412" t="s">
        <v>17</v>
      </c>
      <c r="H4412" s="2">
        <v>9293.66</v>
      </c>
    </row>
    <row r="4413" spans="1:8">
      <c r="A4413" t="s">
        <v>112</v>
      </c>
      <c r="B4413" t="s">
        <v>113</v>
      </c>
      <c r="C4413" t="s">
        <v>32</v>
      </c>
      <c r="D4413" t="s">
        <v>11</v>
      </c>
      <c r="E4413">
        <v>2023</v>
      </c>
      <c r="F4413" t="s">
        <v>12</v>
      </c>
      <c r="G4413" t="s">
        <v>13</v>
      </c>
      <c r="H4413" s="2">
        <v>23246.01</v>
      </c>
    </row>
    <row r="4414" spans="1:8">
      <c r="A4414" t="s">
        <v>112</v>
      </c>
      <c r="B4414" t="s">
        <v>113</v>
      </c>
      <c r="C4414" t="s">
        <v>32</v>
      </c>
      <c r="D4414" t="s">
        <v>11</v>
      </c>
      <c r="E4414">
        <v>2023</v>
      </c>
      <c r="F4414" t="s">
        <v>12</v>
      </c>
      <c r="G4414" t="s">
        <v>19</v>
      </c>
      <c r="H4414" s="2">
        <v>0</v>
      </c>
    </row>
    <row r="4415" spans="1:8">
      <c r="A4415" t="s">
        <v>112</v>
      </c>
      <c r="B4415" t="s">
        <v>113</v>
      </c>
      <c r="C4415" t="s">
        <v>32</v>
      </c>
      <c r="D4415" t="s">
        <v>11</v>
      </c>
      <c r="E4415">
        <v>2023</v>
      </c>
      <c r="F4415" t="s">
        <v>18</v>
      </c>
      <c r="G4415" t="s">
        <v>13</v>
      </c>
      <c r="H4415" s="2">
        <v>48597.8</v>
      </c>
    </row>
    <row r="4416" spans="1:8">
      <c r="A4416" t="s">
        <v>112</v>
      </c>
      <c r="B4416" t="s">
        <v>113</v>
      </c>
      <c r="C4416" t="s">
        <v>32</v>
      </c>
      <c r="D4416" t="s">
        <v>11</v>
      </c>
      <c r="E4416">
        <v>2023</v>
      </c>
      <c r="F4416" t="s">
        <v>20</v>
      </c>
      <c r="G4416" t="s">
        <v>19</v>
      </c>
      <c r="H4416" s="2">
        <v>0</v>
      </c>
    </row>
    <row r="4417" spans="1:8">
      <c r="A4417" t="s">
        <v>112</v>
      </c>
      <c r="B4417" t="s">
        <v>113</v>
      </c>
      <c r="C4417" t="s">
        <v>32</v>
      </c>
      <c r="D4417" t="s">
        <v>11</v>
      </c>
      <c r="E4417">
        <v>2023</v>
      </c>
      <c r="F4417" t="s">
        <v>16</v>
      </c>
      <c r="G4417" t="s">
        <v>17</v>
      </c>
      <c r="H4417" s="2">
        <v>8515.1</v>
      </c>
    </row>
    <row r="4418" spans="1:8">
      <c r="A4418" t="s">
        <v>112</v>
      </c>
      <c r="B4418" t="s">
        <v>113</v>
      </c>
      <c r="C4418" t="s">
        <v>32</v>
      </c>
      <c r="D4418" t="s">
        <v>11</v>
      </c>
      <c r="E4418">
        <v>2024</v>
      </c>
      <c r="F4418" t="s">
        <v>18</v>
      </c>
      <c r="G4418" t="s">
        <v>13</v>
      </c>
      <c r="H4418" s="2">
        <v>45908.27</v>
      </c>
    </row>
    <row r="4419" spans="1:8">
      <c r="A4419" t="s">
        <v>112</v>
      </c>
      <c r="B4419" t="s">
        <v>113</v>
      </c>
      <c r="C4419" t="s">
        <v>32</v>
      </c>
      <c r="D4419" t="s">
        <v>11</v>
      </c>
      <c r="E4419">
        <v>2024</v>
      </c>
      <c r="F4419" t="s">
        <v>20</v>
      </c>
      <c r="G4419" t="s">
        <v>15</v>
      </c>
      <c r="H4419" s="2">
        <v>-414.2</v>
      </c>
    </row>
    <row r="4420" spans="1:8">
      <c r="A4420" t="s">
        <v>112</v>
      </c>
      <c r="B4420" t="s">
        <v>113</v>
      </c>
      <c r="C4420" t="s">
        <v>32</v>
      </c>
      <c r="D4420" t="s">
        <v>11</v>
      </c>
      <c r="E4420">
        <v>2024</v>
      </c>
      <c r="F4420" t="s">
        <v>14</v>
      </c>
      <c r="G4420" t="s">
        <v>19</v>
      </c>
      <c r="H4420" s="2">
        <v>0</v>
      </c>
    </row>
    <row r="4421" spans="1:8">
      <c r="A4421" t="s">
        <v>112</v>
      </c>
      <c r="B4421" t="s">
        <v>113</v>
      </c>
      <c r="C4421" t="s">
        <v>32</v>
      </c>
      <c r="D4421" t="s">
        <v>11</v>
      </c>
      <c r="E4421">
        <v>2024</v>
      </c>
      <c r="F4421" t="s">
        <v>16</v>
      </c>
      <c r="G4421" t="s">
        <v>15</v>
      </c>
      <c r="H4421" s="2">
        <v>133060.16</v>
      </c>
    </row>
    <row r="4422" spans="1:8">
      <c r="A4422" t="s">
        <v>114</v>
      </c>
      <c r="B4422" t="s">
        <v>115</v>
      </c>
      <c r="C4422" t="s">
        <v>51</v>
      </c>
      <c r="D4422" t="s">
        <v>33</v>
      </c>
      <c r="E4422">
        <v>1990</v>
      </c>
      <c r="F4422" t="s">
        <v>22</v>
      </c>
      <c r="G4422" t="s">
        <v>19</v>
      </c>
      <c r="H4422" s="2">
        <v>0</v>
      </c>
    </row>
    <row r="4423" spans="1:8">
      <c r="A4423" t="s">
        <v>114</v>
      </c>
      <c r="B4423" t="s">
        <v>115</v>
      </c>
      <c r="C4423" t="s">
        <v>51</v>
      </c>
      <c r="D4423" t="s">
        <v>33</v>
      </c>
      <c r="E4423">
        <v>1990</v>
      </c>
      <c r="F4423" t="s">
        <v>18</v>
      </c>
      <c r="G4423" t="s">
        <v>13</v>
      </c>
      <c r="H4423" s="2">
        <v>7378.29</v>
      </c>
    </row>
    <row r="4424" spans="1:8">
      <c r="A4424" t="s">
        <v>114</v>
      </c>
      <c r="B4424" t="s">
        <v>115</v>
      </c>
      <c r="C4424" t="s">
        <v>51</v>
      </c>
      <c r="D4424" t="s">
        <v>33</v>
      </c>
      <c r="E4424">
        <v>1990</v>
      </c>
      <c r="F4424" t="s">
        <v>18</v>
      </c>
      <c r="G4424" t="s">
        <v>17</v>
      </c>
      <c r="H4424" s="2">
        <v>427.23</v>
      </c>
    </row>
    <row r="4425" spans="1:8">
      <c r="A4425" t="s">
        <v>114</v>
      </c>
      <c r="B4425" t="s">
        <v>115</v>
      </c>
      <c r="C4425" t="s">
        <v>51</v>
      </c>
      <c r="D4425" t="s">
        <v>33</v>
      </c>
      <c r="E4425">
        <v>1990</v>
      </c>
      <c r="F4425" t="s">
        <v>14</v>
      </c>
      <c r="G4425" t="s">
        <v>19</v>
      </c>
      <c r="H4425" s="2">
        <v>0</v>
      </c>
    </row>
    <row r="4426" spans="1:8">
      <c r="A4426" t="s">
        <v>114</v>
      </c>
      <c r="B4426" t="s">
        <v>115</v>
      </c>
      <c r="C4426" t="s">
        <v>51</v>
      </c>
      <c r="D4426" t="s">
        <v>33</v>
      </c>
      <c r="E4426">
        <v>1990</v>
      </c>
      <c r="F4426" t="s">
        <v>21</v>
      </c>
      <c r="G4426" t="s">
        <v>13</v>
      </c>
      <c r="H4426" s="2">
        <v>5278.05</v>
      </c>
    </row>
    <row r="4427" spans="1:8">
      <c r="A4427" t="s">
        <v>114</v>
      </c>
      <c r="B4427" t="s">
        <v>115</v>
      </c>
      <c r="C4427" t="s">
        <v>51</v>
      </c>
      <c r="D4427" t="s">
        <v>33</v>
      </c>
      <c r="E4427">
        <v>1991</v>
      </c>
      <c r="F4427" t="s">
        <v>20</v>
      </c>
      <c r="G4427" t="s">
        <v>17</v>
      </c>
      <c r="H4427" s="2">
        <v>-23.19</v>
      </c>
    </row>
    <row r="4428" spans="1:8">
      <c r="A4428" t="s">
        <v>114</v>
      </c>
      <c r="B4428" t="s">
        <v>115</v>
      </c>
      <c r="C4428" t="s">
        <v>51</v>
      </c>
      <c r="D4428" t="s">
        <v>33</v>
      </c>
      <c r="E4428">
        <v>1991</v>
      </c>
      <c r="F4428" t="s">
        <v>16</v>
      </c>
      <c r="G4428" t="s">
        <v>15</v>
      </c>
      <c r="H4428" s="2">
        <v>919.56</v>
      </c>
    </row>
    <row r="4429" spans="1:8">
      <c r="A4429" t="s">
        <v>114</v>
      </c>
      <c r="B4429" t="s">
        <v>115</v>
      </c>
      <c r="C4429" t="s">
        <v>51</v>
      </c>
      <c r="D4429" t="s">
        <v>33</v>
      </c>
      <c r="E4429">
        <v>1992</v>
      </c>
      <c r="F4429" t="s">
        <v>14</v>
      </c>
      <c r="G4429" t="s">
        <v>13</v>
      </c>
      <c r="H4429" s="2">
        <v>3166.34</v>
      </c>
    </row>
    <row r="4430" spans="1:8">
      <c r="A4430" t="s">
        <v>114</v>
      </c>
      <c r="B4430" t="s">
        <v>115</v>
      </c>
      <c r="C4430" t="s">
        <v>51</v>
      </c>
      <c r="D4430" t="s">
        <v>33</v>
      </c>
      <c r="E4430">
        <v>1992</v>
      </c>
      <c r="F4430" t="s">
        <v>16</v>
      </c>
      <c r="G4430" t="s">
        <v>15</v>
      </c>
      <c r="H4430" s="2">
        <v>937.62</v>
      </c>
    </row>
    <row r="4431" spans="1:8">
      <c r="A4431" t="s">
        <v>114</v>
      </c>
      <c r="B4431" t="s">
        <v>115</v>
      </c>
      <c r="C4431" t="s">
        <v>51</v>
      </c>
      <c r="D4431" t="s">
        <v>33</v>
      </c>
      <c r="E4431">
        <v>1992</v>
      </c>
      <c r="F4431" t="s">
        <v>16</v>
      </c>
      <c r="G4431" t="s">
        <v>13</v>
      </c>
      <c r="H4431" s="2">
        <v>161.62</v>
      </c>
    </row>
    <row r="4432" spans="1:8">
      <c r="A4432" t="s">
        <v>114</v>
      </c>
      <c r="B4432" t="s">
        <v>115</v>
      </c>
      <c r="C4432" t="s">
        <v>51</v>
      </c>
      <c r="D4432" t="s">
        <v>33</v>
      </c>
      <c r="E4432">
        <v>1993</v>
      </c>
      <c r="F4432" t="s">
        <v>22</v>
      </c>
      <c r="G4432" t="s">
        <v>17</v>
      </c>
      <c r="H4432" s="2">
        <v>1566.12</v>
      </c>
    </row>
    <row r="4433" spans="1:8">
      <c r="A4433" t="s">
        <v>114</v>
      </c>
      <c r="B4433" t="s">
        <v>115</v>
      </c>
      <c r="C4433" t="s">
        <v>51</v>
      </c>
      <c r="D4433" t="s">
        <v>33</v>
      </c>
      <c r="E4433">
        <v>1993</v>
      </c>
      <c r="F4433" t="s">
        <v>12</v>
      </c>
      <c r="G4433" t="s">
        <v>17</v>
      </c>
      <c r="H4433" s="2">
        <v>215.85</v>
      </c>
    </row>
    <row r="4434" spans="1:8">
      <c r="A4434" t="s">
        <v>114</v>
      </c>
      <c r="B4434" t="s">
        <v>115</v>
      </c>
      <c r="C4434" t="s">
        <v>51</v>
      </c>
      <c r="D4434" t="s">
        <v>33</v>
      </c>
      <c r="E4434">
        <v>1993</v>
      </c>
      <c r="F4434" t="s">
        <v>14</v>
      </c>
      <c r="G4434" t="s">
        <v>13</v>
      </c>
      <c r="H4434" s="2">
        <v>3149.35</v>
      </c>
    </row>
    <row r="4435" spans="1:8">
      <c r="A4435" t="s">
        <v>114</v>
      </c>
      <c r="B4435" t="s">
        <v>115</v>
      </c>
      <c r="C4435" t="s">
        <v>51</v>
      </c>
      <c r="D4435" t="s">
        <v>33</v>
      </c>
      <c r="E4435">
        <v>1994</v>
      </c>
      <c r="F4435" t="s">
        <v>18</v>
      </c>
      <c r="G4435" t="s">
        <v>15</v>
      </c>
      <c r="H4435" s="2">
        <v>504.39</v>
      </c>
    </row>
    <row r="4436" spans="1:8">
      <c r="A4436" t="s">
        <v>114</v>
      </c>
      <c r="B4436" t="s">
        <v>115</v>
      </c>
      <c r="C4436" t="s">
        <v>51</v>
      </c>
      <c r="D4436" t="s">
        <v>33</v>
      </c>
      <c r="E4436">
        <v>1994</v>
      </c>
      <c r="F4436" t="s">
        <v>18</v>
      </c>
      <c r="G4436" t="s">
        <v>17</v>
      </c>
      <c r="H4436" s="2">
        <v>539.6</v>
      </c>
    </row>
    <row r="4437" spans="1:8">
      <c r="A4437" t="s">
        <v>114</v>
      </c>
      <c r="B4437" t="s">
        <v>115</v>
      </c>
      <c r="C4437" t="s">
        <v>51</v>
      </c>
      <c r="D4437" t="s">
        <v>33</v>
      </c>
      <c r="E4437">
        <v>1995</v>
      </c>
      <c r="F4437" t="s">
        <v>12</v>
      </c>
      <c r="G4437" t="s">
        <v>19</v>
      </c>
      <c r="H4437" s="2">
        <v>0</v>
      </c>
    </row>
    <row r="4438" spans="1:8">
      <c r="A4438" t="s">
        <v>114</v>
      </c>
      <c r="B4438" t="s">
        <v>115</v>
      </c>
      <c r="C4438" t="s">
        <v>51</v>
      </c>
      <c r="D4438" t="s">
        <v>33</v>
      </c>
      <c r="E4438">
        <v>1995</v>
      </c>
      <c r="F4438" t="s">
        <v>20</v>
      </c>
      <c r="G4438" t="s">
        <v>19</v>
      </c>
      <c r="H4438" s="2">
        <v>0</v>
      </c>
    </row>
    <row r="4439" spans="1:8">
      <c r="A4439" t="s">
        <v>114</v>
      </c>
      <c r="B4439" t="s">
        <v>115</v>
      </c>
      <c r="C4439" t="s">
        <v>51</v>
      </c>
      <c r="D4439" t="s">
        <v>33</v>
      </c>
      <c r="E4439">
        <v>1995</v>
      </c>
      <c r="F4439" t="s">
        <v>16</v>
      </c>
      <c r="G4439" t="s">
        <v>13</v>
      </c>
      <c r="H4439" s="2">
        <v>163.38999999999999</v>
      </c>
    </row>
    <row r="4440" spans="1:8">
      <c r="A4440" t="s">
        <v>114</v>
      </c>
      <c r="B4440" t="s">
        <v>115</v>
      </c>
      <c r="C4440" t="s">
        <v>51</v>
      </c>
      <c r="D4440" t="s">
        <v>33</v>
      </c>
      <c r="E4440">
        <v>1996</v>
      </c>
      <c r="F4440" t="s">
        <v>20</v>
      </c>
      <c r="G4440" t="s">
        <v>19</v>
      </c>
      <c r="H4440" s="2">
        <v>0</v>
      </c>
    </row>
    <row r="4441" spans="1:8">
      <c r="A4441" t="s">
        <v>114</v>
      </c>
      <c r="B4441" t="s">
        <v>115</v>
      </c>
      <c r="C4441" t="s">
        <v>51</v>
      </c>
      <c r="D4441" t="s">
        <v>33</v>
      </c>
      <c r="E4441">
        <v>1996</v>
      </c>
      <c r="F4441" t="s">
        <v>21</v>
      </c>
      <c r="G4441" t="s">
        <v>17</v>
      </c>
      <c r="H4441" s="2">
        <v>67.069999999999993</v>
      </c>
    </row>
    <row r="4442" spans="1:8">
      <c r="A4442" t="s">
        <v>114</v>
      </c>
      <c r="B4442" t="s">
        <v>115</v>
      </c>
      <c r="C4442" t="s">
        <v>51</v>
      </c>
      <c r="D4442" t="s">
        <v>33</v>
      </c>
      <c r="E4442">
        <v>1997</v>
      </c>
      <c r="F4442" t="s">
        <v>18</v>
      </c>
      <c r="G4442" t="s">
        <v>15</v>
      </c>
      <c r="H4442" s="2">
        <v>535.66999999999996</v>
      </c>
    </row>
    <row r="4443" spans="1:8">
      <c r="A4443" t="s">
        <v>114</v>
      </c>
      <c r="B4443" t="s">
        <v>115</v>
      </c>
      <c r="C4443" t="s">
        <v>51</v>
      </c>
      <c r="D4443" t="s">
        <v>33</v>
      </c>
      <c r="E4443">
        <v>1997</v>
      </c>
      <c r="F4443" t="s">
        <v>18</v>
      </c>
      <c r="G4443" t="s">
        <v>13</v>
      </c>
      <c r="H4443" s="2">
        <v>7737.29</v>
      </c>
    </row>
    <row r="4444" spans="1:8">
      <c r="A4444" t="s">
        <v>114</v>
      </c>
      <c r="B4444" t="s">
        <v>115</v>
      </c>
      <c r="C4444" t="s">
        <v>51</v>
      </c>
      <c r="D4444" t="s">
        <v>33</v>
      </c>
      <c r="E4444">
        <v>1998</v>
      </c>
      <c r="F4444" t="s">
        <v>12</v>
      </c>
      <c r="G4444" t="s">
        <v>19</v>
      </c>
      <c r="H4444" s="2">
        <v>0</v>
      </c>
    </row>
    <row r="4445" spans="1:8">
      <c r="A4445" t="s">
        <v>114</v>
      </c>
      <c r="B4445" t="s">
        <v>115</v>
      </c>
      <c r="C4445" t="s">
        <v>51</v>
      </c>
      <c r="D4445" t="s">
        <v>33</v>
      </c>
      <c r="E4445">
        <v>1998</v>
      </c>
      <c r="F4445" t="s">
        <v>20</v>
      </c>
      <c r="G4445" t="s">
        <v>13</v>
      </c>
      <c r="H4445" s="2">
        <v>-2604.02</v>
      </c>
    </row>
    <row r="4446" spans="1:8">
      <c r="A4446" t="s">
        <v>114</v>
      </c>
      <c r="B4446" t="s">
        <v>115</v>
      </c>
      <c r="C4446" t="s">
        <v>51</v>
      </c>
      <c r="D4446" t="s">
        <v>33</v>
      </c>
      <c r="E4446">
        <v>1998</v>
      </c>
      <c r="F4446" t="s">
        <v>20</v>
      </c>
      <c r="G4446" t="s">
        <v>19</v>
      </c>
      <c r="H4446" s="2">
        <v>0</v>
      </c>
    </row>
    <row r="4447" spans="1:8">
      <c r="A4447" t="s">
        <v>114</v>
      </c>
      <c r="B4447" t="s">
        <v>115</v>
      </c>
      <c r="C4447" t="s">
        <v>51</v>
      </c>
      <c r="D4447" t="s">
        <v>33</v>
      </c>
      <c r="E4447">
        <v>1998</v>
      </c>
      <c r="F4447" t="s">
        <v>16</v>
      </c>
      <c r="G4447" t="s">
        <v>17</v>
      </c>
      <c r="H4447" s="2">
        <v>63.53</v>
      </c>
    </row>
    <row r="4448" spans="1:8">
      <c r="A4448" t="s">
        <v>114</v>
      </c>
      <c r="B4448" t="s">
        <v>115</v>
      </c>
      <c r="C4448" t="s">
        <v>51</v>
      </c>
      <c r="D4448" t="s">
        <v>33</v>
      </c>
      <c r="E4448">
        <v>1999</v>
      </c>
      <c r="F4448" t="s">
        <v>22</v>
      </c>
      <c r="G4448" t="s">
        <v>17</v>
      </c>
      <c r="H4448" s="2">
        <v>1728.72</v>
      </c>
    </row>
    <row r="4449" spans="1:8">
      <c r="A4449" t="s">
        <v>114</v>
      </c>
      <c r="B4449" t="s">
        <v>115</v>
      </c>
      <c r="C4449" t="s">
        <v>51</v>
      </c>
      <c r="D4449" t="s">
        <v>33</v>
      </c>
      <c r="E4449">
        <v>1999</v>
      </c>
      <c r="F4449" t="s">
        <v>21</v>
      </c>
      <c r="G4449" t="s">
        <v>19</v>
      </c>
      <c r="H4449" s="2">
        <v>0</v>
      </c>
    </row>
    <row r="4450" spans="1:8">
      <c r="A4450" t="s">
        <v>114</v>
      </c>
      <c r="B4450" t="s">
        <v>115</v>
      </c>
      <c r="C4450" t="s">
        <v>51</v>
      </c>
      <c r="D4450" t="s">
        <v>33</v>
      </c>
      <c r="E4450">
        <v>2000</v>
      </c>
      <c r="F4450" t="s">
        <v>20</v>
      </c>
      <c r="G4450" t="s">
        <v>17</v>
      </c>
      <c r="H4450" s="2">
        <v>-24.39</v>
      </c>
    </row>
    <row r="4451" spans="1:8">
      <c r="A4451" t="s">
        <v>114</v>
      </c>
      <c r="B4451" t="s">
        <v>115</v>
      </c>
      <c r="C4451" t="s">
        <v>51</v>
      </c>
      <c r="D4451" t="s">
        <v>33</v>
      </c>
      <c r="E4451">
        <v>2000</v>
      </c>
      <c r="F4451" t="s">
        <v>14</v>
      </c>
      <c r="G4451" t="s">
        <v>15</v>
      </c>
      <c r="H4451" s="2">
        <v>107.99</v>
      </c>
    </row>
    <row r="4452" spans="1:8">
      <c r="A4452" t="s">
        <v>114</v>
      </c>
      <c r="B4452" t="s">
        <v>115</v>
      </c>
      <c r="C4452" t="s">
        <v>51</v>
      </c>
      <c r="D4452" t="s">
        <v>33</v>
      </c>
      <c r="E4452">
        <v>2001</v>
      </c>
      <c r="F4452" t="s">
        <v>22</v>
      </c>
      <c r="G4452" t="s">
        <v>17</v>
      </c>
      <c r="H4452" s="2">
        <v>1880.96</v>
      </c>
    </row>
    <row r="4453" spans="1:8">
      <c r="A4453" t="s">
        <v>114</v>
      </c>
      <c r="B4453" t="s">
        <v>115</v>
      </c>
      <c r="C4453" t="s">
        <v>51</v>
      </c>
      <c r="D4453" t="s">
        <v>33</v>
      </c>
      <c r="E4453">
        <v>2001</v>
      </c>
      <c r="F4453" t="s">
        <v>18</v>
      </c>
      <c r="G4453" t="s">
        <v>17</v>
      </c>
      <c r="H4453" s="2">
        <v>518.30999999999995</v>
      </c>
    </row>
    <row r="4454" spans="1:8">
      <c r="A4454" t="s">
        <v>114</v>
      </c>
      <c r="B4454" t="s">
        <v>115</v>
      </c>
      <c r="C4454" t="s">
        <v>51</v>
      </c>
      <c r="D4454" t="s">
        <v>33</v>
      </c>
      <c r="E4454">
        <v>2001</v>
      </c>
      <c r="F4454" t="s">
        <v>21</v>
      </c>
      <c r="G4454" t="s">
        <v>19</v>
      </c>
      <c r="H4454" s="2">
        <v>0</v>
      </c>
    </row>
    <row r="4455" spans="1:8">
      <c r="A4455" t="s">
        <v>114</v>
      </c>
      <c r="B4455" t="s">
        <v>115</v>
      </c>
      <c r="C4455" t="s">
        <v>51</v>
      </c>
      <c r="D4455" t="s">
        <v>33</v>
      </c>
      <c r="E4455">
        <v>2001</v>
      </c>
      <c r="F4455" t="s">
        <v>16</v>
      </c>
      <c r="G4455" t="s">
        <v>13</v>
      </c>
      <c r="H4455" s="2">
        <v>195.65</v>
      </c>
    </row>
    <row r="4456" spans="1:8">
      <c r="A4456" t="s">
        <v>114</v>
      </c>
      <c r="B4456" t="s">
        <v>115</v>
      </c>
      <c r="C4456" t="s">
        <v>51</v>
      </c>
      <c r="D4456" t="s">
        <v>33</v>
      </c>
      <c r="E4456">
        <v>2001</v>
      </c>
      <c r="F4456" t="s">
        <v>16</v>
      </c>
      <c r="G4456" t="s">
        <v>17</v>
      </c>
      <c r="H4456" s="2">
        <v>58.37</v>
      </c>
    </row>
    <row r="4457" spans="1:8">
      <c r="A4457" t="s">
        <v>114</v>
      </c>
      <c r="B4457" t="s">
        <v>115</v>
      </c>
      <c r="C4457" t="s">
        <v>51</v>
      </c>
      <c r="D4457" t="s">
        <v>33</v>
      </c>
      <c r="E4457">
        <v>2002</v>
      </c>
      <c r="F4457" t="s">
        <v>22</v>
      </c>
      <c r="G4457" t="s">
        <v>13</v>
      </c>
      <c r="H4457" s="2">
        <v>878.8</v>
      </c>
    </row>
    <row r="4458" spans="1:8">
      <c r="A4458" t="s">
        <v>114</v>
      </c>
      <c r="B4458" t="s">
        <v>115</v>
      </c>
      <c r="C4458" t="s">
        <v>51</v>
      </c>
      <c r="D4458" t="s">
        <v>33</v>
      </c>
      <c r="E4458">
        <v>2002</v>
      </c>
      <c r="F4458" t="s">
        <v>14</v>
      </c>
      <c r="G4458" t="s">
        <v>13</v>
      </c>
      <c r="H4458" s="2">
        <v>3704.69</v>
      </c>
    </row>
    <row r="4459" spans="1:8">
      <c r="A4459" t="s">
        <v>114</v>
      </c>
      <c r="B4459" t="s">
        <v>115</v>
      </c>
      <c r="C4459" t="s">
        <v>51</v>
      </c>
      <c r="D4459" t="s">
        <v>33</v>
      </c>
      <c r="E4459">
        <v>2003</v>
      </c>
      <c r="F4459" t="s">
        <v>12</v>
      </c>
      <c r="G4459" t="s">
        <v>17</v>
      </c>
      <c r="H4459" s="2">
        <v>243.83</v>
      </c>
    </row>
    <row r="4460" spans="1:8">
      <c r="A4460" t="s">
        <v>114</v>
      </c>
      <c r="B4460" t="s">
        <v>115</v>
      </c>
      <c r="C4460" t="s">
        <v>51</v>
      </c>
      <c r="D4460" t="s">
        <v>33</v>
      </c>
      <c r="E4460">
        <v>2003</v>
      </c>
      <c r="F4460" t="s">
        <v>18</v>
      </c>
      <c r="G4460" t="s">
        <v>15</v>
      </c>
      <c r="H4460" s="2">
        <v>519.49</v>
      </c>
    </row>
    <row r="4461" spans="1:8">
      <c r="A4461" t="s">
        <v>114</v>
      </c>
      <c r="B4461" t="s">
        <v>115</v>
      </c>
      <c r="C4461" t="s">
        <v>51</v>
      </c>
      <c r="D4461" t="s">
        <v>33</v>
      </c>
      <c r="E4461">
        <v>2003</v>
      </c>
      <c r="F4461" t="s">
        <v>20</v>
      </c>
      <c r="G4461" t="s">
        <v>15</v>
      </c>
      <c r="H4461" s="2">
        <v>-27.97</v>
      </c>
    </row>
    <row r="4462" spans="1:8">
      <c r="A4462" t="s">
        <v>114</v>
      </c>
      <c r="B4462" t="s">
        <v>115</v>
      </c>
      <c r="C4462" t="s">
        <v>51</v>
      </c>
      <c r="D4462" t="s">
        <v>33</v>
      </c>
      <c r="E4462">
        <v>2004</v>
      </c>
      <c r="F4462" t="s">
        <v>22</v>
      </c>
      <c r="G4462" t="s">
        <v>13</v>
      </c>
      <c r="H4462" s="2">
        <v>1034.81</v>
      </c>
    </row>
    <row r="4463" spans="1:8">
      <c r="A4463" t="s">
        <v>114</v>
      </c>
      <c r="B4463" t="s">
        <v>115</v>
      </c>
      <c r="C4463" t="s">
        <v>51</v>
      </c>
      <c r="D4463" t="s">
        <v>33</v>
      </c>
      <c r="E4463">
        <v>2004</v>
      </c>
      <c r="F4463" t="s">
        <v>12</v>
      </c>
      <c r="G4463" t="s">
        <v>15</v>
      </c>
      <c r="H4463" s="2">
        <v>589.87</v>
      </c>
    </row>
    <row r="4464" spans="1:8">
      <c r="A4464" t="s">
        <v>114</v>
      </c>
      <c r="B4464" t="s">
        <v>115</v>
      </c>
      <c r="C4464" t="s">
        <v>51</v>
      </c>
      <c r="D4464" t="s">
        <v>33</v>
      </c>
      <c r="E4464">
        <v>2004</v>
      </c>
      <c r="F4464" t="s">
        <v>18</v>
      </c>
      <c r="G4464" t="s">
        <v>17</v>
      </c>
      <c r="H4464" s="2">
        <v>608.79999999999995</v>
      </c>
    </row>
    <row r="4465" spans="1:8">
      <c r="A4465" t="s">
        <v>114</v>
      </c>
      <c r="B4465" t="s">
        <v>115</v>
      </c>
      <c r="C4465" t="s">
        <v>51</v>
      </c>
      <c r="D4465" t="s">
        <v>33</v>
      </c>
      <c r="E4465">
        <v>2005</v>
      </c>
      <c r="F4465" t="s">
        <v>22</v>
      </c>
      <c r="G4465" t="s">
        <v>15</v>
      </c>
      <c r="H4465" s="2">
        <v>6738.67</v>
      </c>
    </row>
    <row r="4466" spans="1:8">
      <c r="A4466" t="s">
        <v>114</v>
      </c>
      <c r="B4466" t="s">
        <v>115</v>
      </c>
      <c r="C4466" t="s">
        <v>51</v>
      </c>
      <c r="D4466" t="s">
        <v>33</v>
      </c>
      <c r="E4466">
        <v>2005</v>
      </c>
      <c r="F4466" t="s">
        <v>14</v>
      </c>
      <c r="G4466" t="s">
        <v>13</v>
      </c>
      <c r="H4466" s="2">
        <v>3680.52</v>
      </c>
    </row>
    <row r="4467" spans="1:8">
      <c r="A4467" t="s">
        <v>114</v>
      </c>
      <c r="B4467" t="s">
        <v>115</v>
      </c>
      <c r="C4467" t="s">
        <v>51</v>
      </c>
      <c r="D4467" t="s">
        <v>33</v>
      </c>
      <c r="E4467">
        <v>2005</v>
      </c>
      <c r="F4467" t="s">
        <v>16</v>
      </c>
      <c r="G4467" t="s">
        <v>13</v>
      </c>
      <c r="H4467" s="2">
        <v>204.58</v>
      </c>
    </row>
    <row r="4468" spans="1:8">
      <c r="A4468" t="s">
        <v>114</v>
      </c>
      <c r="B4468" t="s">
        <v>115</v>
      </c>
      <c r="C4468" t="s">
        <v>51</v>
      </c>
      <c r="D4468" t="s">
        <v>33</v>
      </c>
      <c r="E4468">
        <v>2006</v>
      </c>
      <c r="F4468" t="s">
        <v>12</v>
      </c>
      <c r="G4468" t="s">
        <v>15</v>
      </c>
      <c r="H4468" s="2">
        <v>525.9</v>
      </c>
    </row>
    <row r="4469" spans="1:8">
      <c r="A4469" t="s">
        <v>114</v>
      </c>
      <c r="B4469" t="s">
        <v>115</v>
      </c>
      <c r="C4469" t="s">
        <v>51</v>
      </c>
      <c r="D4469" t="s">
        <v>33</v>
      </c>
      <c r="E4469">
        <v>2006</v>
      </c>
      <c r="F4469" t="s">
        <v>20</v>
      </c>
      <c r="G4469" t="s">
        <v>15</v>
      </c>
      <c r="H4469" s="2">
        <v>-26.87</v>
      </c>
    </row>
    <row r="4470" spans="1:8">
      <c r="A4470" t="s">
        <v>114</v>
      </c>
      <c r="B4470" t="s">
        <v>115</v>
      </c>
      <c r="C4470" t="s">
        <v>51</v>
      </c>
      <c r="D4470" t="s">
        <v>33</v>
      </c>
      <c r="E4470">
        <v>2006</v>
      </c>
      <c r="F4470" t="s">
        <v>20</v>
      </c>
      <c r="G4470" t="s">
        <v>17</v>
      </c>
      <c r="H4470" s="2">
        <v>-26.56</v>
      </c>
    </row>
    <row r="4471" spans="1:8">
      <c r="A4471" t="s">
        <v>114</v>
      </c>
      <c r="B4471" t="s">
        <v>115</v>
      </c>
      <c r="C4471" t="s">
        <v>51</v>
      </c>
      <c r="D4471" t="s">
        <v>33</v>
      </c>
      <c r="E4471">
        <v>2006</v>
      </c>
      <c r="F4471" t="s">
        <v>14</v>
      </c>
      <c r="G4471" t="s">
        <v>17</v>
      </c>
      <c r="H4471" s="2">
        <v>73.78</v>
      </c>
    </row>
    <row r="4472" spans="1:8">
      <c r="A4472" t="s">
        <v>114</v>
      </c>
      <c r="B4472" t="s">
        <v>115</v>
      </c>
      <c r="C4472" t="s">
        <v>51</v>
      </c>
      <c r="D4472" t="s">
        <v>33</v>
      </c>
      <c r="E4472">
        <v>2006</v>
      </c>
      <c r="F4472" t="s">
        <v>16</v>
      </c>
      <c r="G4472" t="s">
        <v>19</v>
      </c>
      <c r="H4472" s="2">
        <v>0</v>
      </c>
    </row>
    <row r="4473" spans="1:8">
      <c r="A4473" t="s">
        <v>114</v>
      </c>
      <c r="B4473" t="s">
        <v>115</v>
      </c>
      <c r="C4473" t="s">
        <v>51</v>
      </c>
      <c r="D4473" t="s">
        <v>33</v>
      </c>
      <c r="E4473">
        <v>2007</v>
      </c>
      <c r="F4473" t="s">
        <v>22</v>
      </c>
      <c r="G4473" t="s">
        <v>19</v>
      </c>
      <c r="H4473" s="2">
        <v>0</v>
      </c>
    </row>
    <row r="4474" spans="1:8">
      <c r="A4474" t="s">
        <v>114</v>
      </c>
      <c r="B4474" t="s">
        <v>115</v>
      </c>
      <c r="C4474" t="s">
        <v>51</v>
      </c>
      <c r="D4474" t="s">
        <v>33</v>
      </c>
      <c r="E4474">
        <v>2007</v>
      </c>
      <c r="F4474" t="s">
        <v>12</v>
      </c>
      <c r="G4474" t="s">
        <v>19</v>
      </c>
      <c r="H4474" s="2">
        <v>0</v>
      </c>
    </row>
    <row r="4475" spans="1:8">
      <c r="A4475" t="s">
        <v>114</v>
      </c>
      <c r="B4475" t="s">
        <v>115</v>
      </c>
      <c r="C4475" t="s">
        <v>51</v>
      </c>
      <c r="D4475" t="s">
        <v>33</v>
      </c>
      <c r="E4475">
        <v>2007</v>
      </c>
      <c r="F4475" t="s">
        <v>18</v>
      </c>
      <c r="G4475" t="s">
        <v>13</v>
      </c>
      <c r="H4475" s="2">
        <v>9248.0400000000009</v>
      </c>
    </row>
    <row r="4476" spans="1:8">
      <c r="A4476" t="s">
        <v>114</v>
      </c>
      <c r="B4476" t="s">
        <v>115</v>
      </c>
      <c r="C4476" t="s">
        <v>51</v>
      </c>
      <c r="D4476" t="s">
        <v>33</v>
      </c>
      <c r="E4476">
        <v>2007</v>
      </c>
      <c r="F4476" t="s">
        <v>18</v>
      </c>
      <c r="G4476" t="s">
        <v>19</v>
      </c>
      <c r="H4476" s="2">
        <v>631.69000000000005</v>
      </c>
    </row>
    <row r="4477" spans="1:8">
      <c r="A4477" t="s">
        <v>114</v>
      </c>
      <c r="B4477" t="s">
        <v>115</v>
      </c>
      <c r="C4477" t="s">
        <v>51</v>
      </c>
      <c r="D4477" t="s">
        <v>33</v>
      </c>
      <c r="E4477">
        <v>2007</v>
      </c>
      <c r="F4477" t="s">
        <v>14</v>
      </c>
      <c r="G4477" t="s">
        <v>19</v>
      </c>
      <c r="H4477" s="2">
        <v>0</v>
      </c>
    </row>
    <row r="4478" spans="1:8">
      <c r="A4478" t="s">
        <v>114</v>
      </c>
      <c r="B4478" t="s">
        <v>115</v>
      </c>
      <c r="C4478" t="s">
        <v>51</v>
      </c>
      <c r="D4478" t="s">
        <v>33</v>
      </c>
      <c r="E4478">
        <v>2008</v>
      </c>
      <c r="F4478" t="s">
        <v>22</v>
      </c>
      <c r="G4478" t="s">
        <v>19</v>
      </c>
      <c r="H4478" s="2">
        <v>0</v>
      </c>
    </row>
    <row r="4479" spans="1:8">
      <c r="A4479" t="s">
        <v>114</v>
      </c>
      <c r="B4479" t="s">
        <v>115</v>
      </c>
      <c r="C4479" t="s">
        <v>51</v>
      </c>
      <c r="D4479" t="s">
        <v>33</v>
      </c>
      <c r="E4479">
        <v>2008</v>
      </c>
      <c r="F4479" t="s">
        <v>18</v>
      </c>
      <c r="G4479" t="s">
        <v>15</v>
      </c>
      <c r="H4479" s="2">
        <v>614</v>
      </c>
    </row>
    <row r="4480" spans="1:8">
      <c r="A4480" t="s">
        <v>114</v>
      </c>
      <c r="B4480" t="s">
        <v>115</v>
      </c>
      <c r="C4480" t="s">
        <v>51</v>
      </c>
      <c r="D4480" t="s">
        <v>33</v>
      </c>
      <c r="E4480">
        <v>2008</v>
      </c>
      <c r="F4480" t="s">
        <v>18</v>
      </c>
      <c r="G4480" t="s">
        <v>17</v>
      </c>
      <c r="H4480" s="2">
        <v>649.29</v>
      </c>
    </row>
    <row r="4481" spans="1:8">
      <c r="A4481" t="s">
        <v>114</v>
      </c>
      <c r="B4481" t="s">
        <v>115</v>
      </c>
      <c r="C4481" t="s">
        <v>51</v>
      </c>
      <c r="D4481" t="s">
        <v>33</v>
      </c>
      <c r="E4481">
        <v>2009</v>
      </c>
      <c r="F4481" t="s">
        <v>22</v>
      </c>
      <c r="G4481" t="s">
        <v>15</v>
      </c>
      <c r="H4481" s="2">
        <v>7955.78</v>
      </c>
    </row>
    <row r="4482" spans="1:8">
      <c r="A4482" t="s">
        <v>114</v>
      </c>
      <c r="B4482" t="s">
        <v>115</v>
      </c>
      <c r="C4482" t="s">
        <v>51</v>
      </c>
      <c r="D4482" t="s">
        <v>33</v>
      </c>
      <c r="E4482">
        <v>2009</v>
      </c>
      <c r="F4482" t="s">
        <v>18</v>
      </c>
      <c r="G4482" t="s">
        <v>15</v>
      </c>
      <c r="H4482" s="2">
        <v>631.94000000000005</v>
      </c>
    </row>
    <row r="4483" spans="1:8">
      <c r="A4483" t="s">
        <v>114</v>
      </c>
      <c r="B4483" t="s">
        <v>115</v>
      </c>
      <c r="C4483" t="s">
        <v>51</v>
      </c>
      <c r="D4483" t="s">
        <v>33</v>
      </c>
      <c r="E4483">
        <v>2009</v>
      </c>
      <c r="F4483" t="s">
        <v>20</v>
      </c>
      <c r="G4483" t="s">
        <v>17</v>
      </c>
      <c r="H4483" s="2">
        <v>-30.24</v>
      </c>
    </row>
    <row r="4484" spans="1:8">
      <c r="A4484" t="s">
        <v>114</v>
      </c>
      <c r="B4484" t="s">
        <v>115</v>
      </c>
      <c r="C4484" t="s">
        <v>51</v>
      </c>
      <c r="D4484" t="s">
        <v>33</v>
      </c>
      <c r="E4484">
        <v>2011</v>
      </c>
      <c r="F4484" t="s">
        <v>16</v>
      </c>
      <c r="G4484" t="s">
        <v>13</v>
      </c>
      <c r="H4484" s="2">
        <v>241.43</v>
      </c>
    </row>
    <row r="4485" spans="1:8">
      <c r="A4485" t="s">
        <v>114</v>
      </c>
      <c r="B4485" t="s">
        <v>115</v>
      </c>
      <c r="C4485" t="s">
        <v>51</v>
      </c>
      <c r="D4485" t="s">
        <v>33</v>
      </c>
      <c r="E4485">
        <v>2012</v>
      </c>
      <c r="F4485" t="s">
        <v>20</v>
      </c>
      <c r="G4485" t="s">
        <v>15</v>
      </c>
      <c r="H4485" s="2">
        <v>-30.64</v>
      </c>
    </row>
    <row r="4486" spans="1:8">
      <c r="A4486" t="s">
        <v>114</v>
      </c>
      <c r="B4486" t="s">
        <v>115</v>
      </c>
      <c r="C4486" t="s">
        <v>51</v>
      </c>
      <c r="D4486" t="s">
        <v>33</v>
      </c>
      <c r="E4486">
        <v>2013</v>
      </c>
      <c r="F4486" t="s">
        <v>12</v>
      </c>
      <c r="G4486" t="s">
        <v>13</v>
      </c>
      <c r="H4486" s="2">
        <v>8456.9699999999993</v>
      </c>
    </row>
    <row r="4487" spans="1:8">
      <c r="A4487" t="s">
        <v>114</v>
      </c>
      <c r="B4487" t="s">
        <v>115</v>
      </c>
      <c r="C4487" t="s">
        <v>51</v>
      </c>
      <c r="D4487" t="s">
        <v>33</v>
      </c>
      <c r="E4487">
        <v>2013</v>
      </c>
      <c r="F4487" t="s">
        <v>18</v>
      </c>
      <c r="G4487" t="s">
        <v>15</v>
      </c>
      <c r="H4487" s="2">
        <v>573.24</v>
      </c>
    </row>
    <row r="4488" spans="1:8">
      <c r="A4488" t="s">
        <v>114</v>
      </c>
      <c r="B4488" t="s">
        <v>115</v>
      </c>
      <c r="C4488" t="s">
        <v>51</v>
      </c>
      <c r="D4488" t="s">
        <v>33</v>
      </c>
      <c r="E4488">
        <v>2013</v>
      </c>
      <c r="F4488" t="s">
        <v>14</v>
      </c>
      <c r="G4488" t="s">
        <v>19</v>
      </c>
      <c r="H4488" s="2">
        <v>0</v>
      </c>
    </row>
    <row r="4489" spans="1:8">
      <c r="A4489" t="s">
        <v>114</v>
      </c>
      <c r="B4489" t="s">
        <v>115</v>
      </c>
      <c r="C4489" t="s">
        <v>51</v>
      </c>
      <c r="D4489" t="s">
        <v>33</v>
      </c>
      <c r="E4489">
        <v>2013</v>
      </c>
      <c r="F4489" t="s">
        <v>16</v>
      </c>
      <c r="G4489" t="s">
        <v>15</v>
      </c>
      <c r="H4489" s="2">
        <v>1249.0999999999999</v>
      </c>
    </row>
    <row r="4490" spans="1:8">
      <c r="A4490" t="s">
        <v>114</v>
      </c>
      <c r="B4490" t="s">
        <v>115</v>
      </c>
      <c r="C4490" t="s">
        <v>51</v>
      </c>
      <c r="D4490" t="s">
        <v>33</v>
      </c>
      <c r="E4490">
        <v>2014</v>
      </c>
      <c r="F4490" t="s">
        <v>12</v>
      </c>
      <c r="G4490" t="s">
        <v>17</v>
      </c>
      <c r="H4490" s="2">
        <v>280.75</v>
      </c>
    </row>
    <row r="4491" spans="1:8">
      <c r="A4491" t="s">
        <v>114</v>
      </c>
      <c r="B4491" t="s">
        <v>115</v>
      </c>
      <c r="C4491" t="s">
        <v>51</v>
      </c>
      <c r="D4491" t="s">
        <v>33</v>
      </c>
      <c r="E4491">
        <v>2014</v>
      </c>
      <c r="F4491" t="s">
        <v>21</v>
      </c>
      <c r="G4491" t="s">
        <v>19</v>
      </c>
      <c r="H4491" s="2">
        <v>0</v>
      </c>
    </row>
    <row r="4492" spans="1:8">
      <c r="A4492" t="s">
        <v>114</v>
      </c>
      <c r="B4492" t="s">
        <v>115</v>
      </c>
      <c r="C4492" t="s">
        <v>51</v>
      </c>
      <c r="D4492" t="s">
        <v>33</v>
      </c>
      <c r="E4492">
        <v>2015</v>
      </c>
      <c r="F4492" t="s">
        <v>22</v>
      </c>
      <c r="G4492" t="s">
        <v>19</v>
      </c>
      <c r="H4492" s="2">
        <v>0</v>
      </c>
    </row>
    <row r="4493" spans="1:8">
      <c r="A4493" t="s">
        <v>114</v>
      </c>
      <c r="B4493" t="s">
        <v>115</v>
      </c>
      <c r="C4493" t="s">
        <v>51</v>
      </c>
      <c r="D4493" t="s">
        <v>33</v>
      </c>
      <c r="E4493">
        <v>2015</v>
      </c>
      <c r="F4493" t="s">
        <v>12</v>
      </c>
      <c r="G4493" t="s">
        <v>13</v>
      </c>
      <c r="H4493" s="2">
        <v>8111.06</v>
      </c>
    </row>
    <row r="4494" spans="1:8">
      <c r="A4494" t="s">
        <v>114</v>
      </c>
      <c r="B4494" t="s">
        <v>115</v>
      </c>
      <c r="C4494" t="s">
        <v>51</v>
      </c>
      <c r="D4494" t="s">
        <v>33</v>
      </c>
      <c r="E4494">
        <v>2015</v>
      </c>
      <c r="F4494" t="s">
        <v>18</v>
      </c>
      <c r="G4494" t="s">
        <v>15</v>
      </c>
      <c r="H4494" s="2">
        <v>620.39</v>
      </c>
    </row>
    <row r="4495" spans="1:8">
      <c r="A4495" t="s">
        <v>114</v>
      </c>
      <c r="B4495" t="s">
        <v>115</v>
      </c>
      <c r="C4495" t="s">
        <v>51</v>
      </c>
      <c r="D4495" t="s">
        <v>33</v>
      </c>
      <c r="E4495">
        <v>2015</v>
      </c>
      <c r="F4495" t="s">
        <v>20</v>
      </c>
      <c r="G4495" t="s">
        <v>13</v>
      </c>
      <c r="H4495" s="2">
        <v>-3041.95</v>
      </c>
    </row>
    <row r="4496" spans="1:8">
      <c r="A4496" t="s">
        <v>114</v>
      </c>
      <c r="B4496" t="s">
        <v>115</v>
      </c>
      <c r="C4496" t="s">
        <v>51</v>
      </c>
      <c r="D4496" t="s">
        <v>33</v>
      </c>
      <c r="E4496">
        <v>2015</v>
      </c>
      <c r="F4496" t="s">
        <v>14</v>
      </c>
      <c r="G4496" t="s">
        <v>19</v>
      </c>
      <c r="H4496" s="2">
        <v>0</v>
      </c>
    </row>
    <row r="4497" spans="1:8">
      <c r="A4497" t="s">
        <v>114</v>
      </c>
      <c r="B4497" t="s">
        <v>115</v>
      </c>
      <c r="C4497" t="s">
        <v>51</v>
      </c>
      <c r="D4497" t="s">
        <v>33</v>
      </c>
      <c r="E4497">
        <v>2016</v>
      </c>
      <c r="F4497" t="s">
        <v>22</v>
      </c>
      <c r="G4497" t="s">
        <v>13</v>
      </c>
      <c r="H4497" s="2">
        <v>1186.1500000000001</v>
      </c>
    </row>
    <row r="4498" spans="1:8">
      <c r="A4498" t="s">
        <v>114</v>
      </c>
      <c r="B4498" t="s">
        <v>115</v>
      </c>
      <c r="C4498" t="s">
        <v>51</v>
      </c>
      <c r="D4498" t="s">
        <v>33</v>
      </c>
      <c r="E4498">
        <v>2016</v>
      </c>
      <c r="F4498" t="s">
        <v>18</v>
      </c>
      <c r="G4498" t="s">
        <v>19</v>
      </c>
      <c r="H4498" s="2">
        <v>629.78</v>
      </c>
    </row>
    <row r="4499" spans="1:8">
      <c r="A4499" t="s">
        <v>114</v>
      </c>
      <c r="B4499" t="s">
        <v>115</v>
      </c>
      <c r="C4499" t="s">
        <v>51</v>
      </c>
      <c r="D4499" t="s">
        <v>33</v>
      </c>
      <c r="E4499">
        <v>2017</v>
      </c>
      <c r="F4499" t="s">
        <v>12</v>
      </c>
      <c r="G4499" t="s">
        <v>15</v>
      </c>
      <c r="H4499" s="2">
        <v>605.95000000000005</v>
      </c>
    </row>
    <row r="4500" spans="1:8">
      <c r="A4500" t="s">
        <v>114</v>
      </c>
      <c r="B4500" t="s">
        <v>115</v>
      </c>
      <c r="C4500" t="s">
        <v>51</v>
      </c>
      <c r="D4500" t="s">
        <v>33</v>
      </c>
      <c r="E4500">
        <v>2017</v>
      </c>
      <c r="F4500" t="s">
        <v>12</v>
      </c>
      <c r="G4500" t="s">
        <v>17</v>
      </c>
      <c r="H4500" s="2">
        <v>252.8</v>
      </c>
    </row>
    <row r="4501" spans="1:8">
      <c r="A4501" t="s">
        <v>114</v>
      </c>
      <c r="B4501" t="s">
        <v>115</v>
      </c>
      <c r="C4501" t="s">
        <v>51</v>
      </c>
      <c r="D4501" t="s">
        <v>33</v>
      </c>
      <c r="E4501">
        <v>2017</v>
      </c>
      <c r="F4501" t="s">
        <v>20</v>
      </c>
      <c r="G4501" t="s">
        <v>15</v>
      </c>
      <c r="H4501" s="2">
        <v>-29.43</v>
      </c>
    </row>
    <row r="4502" spans="1:8">
      <c r="A4502" t="s">
        <v>114</v>
      </c>
      <c r="B4502" t="s">
        <v>115</v>
      </c>
      <c r="C4502" t="s">
        <v>51</v>
      </c>
      <c r="D4502" t="s">
        <v>33</v>
      </c>
      <c r="E4502">
        <v>2017</v>
      </c>
      <c r="F4502" t="s">
        <v>14</v>
      </c>
      <c r="G4502" t="s">
        <v>13</v>
      </c>
      <c r="H4502" s="2">
        <v>4195.3999999999996</v>
      </c>
    </row>
    <row r="4503" spans="1:8">
      <c r="A4503" t="s">
        <v>114</v>
      </c>
      <c r="B4503" t="s">
        <v>115</v>
      </c>
      <c r="C4503" t="s">
        <v>51</v>
      </c>
      <c r="D4503" t="s">
        <v>33</v>
      </c>
      <c r="E4503">
        <v>2017</v>
      </c>
      <c r="F4503" t="s">
        <v>16</v>
      </c>
      <c r="G4503" t="s">
        <v>17</v>
      </c>
      <c r="H4503" s="2">
        <v>72.47</v>
      </c>
    </row>
    <row r="4504" spans="1:8">
      <c r="A4504" t="s">
        <v>114</v>
      </c>
      <c r="B4504" t="s">
        <v>115</v>
      </c>
      <c r="C4504" t="s">
        <v>51</v>
      </c>
      <c r="D4504" t="s">
        <v>33</v>
      </c>
      <c r="E4504">
        <v>2018</v>
      </c>
      <c r="F4504" t="s">
        <v>14</v>
      </c>
      <c r="G4504" t="s">
        <v>13</v>
      </c>
      <c r="H4504" s="2">
        <v>4299.8</v>
      </c>
    </row>
    <row r="4505" spans="1:8">
      <c r="A4505" t="s">
        <v>114</v>
      </c>
      <c r="B4505" t="s">
        <v>115</v>
      </c>
      <c r="C4505" t="s">
        <v>51</v>
      </c>
      <c r="D4505" t="s">
        <v>33</v>
      </c>
      <c r="E4505">
        <v>2018</v>
      </c>
      <c r="F4505" t="s">
        <v>21</v>
      </c>
      <c r="G4505" t="s">
        <v>17</v>
      </c>
      <c r="H4505" s="2">
        <v>86.4</v>
      </c>
    </row>
    <row r="4506" spans="1:8">
      <c r="A4506" t="s">
        <v>114</v>
      </c>
      <c r="B4506" t="s">
        <v>115</v>
      </c>
      <c r="C4506" t="s">
        <v>51</v>
      </c>
      <c r="D4506" t="s">
        <v>33</v>
      </c>
      <c r="E4506">
        <v>2018</v>
      </c>
      <c r="F4506" t="s">
        <v>16</v>
      </c>
      <c r="G4506" t="s">
        <v>19</v>
      </c>
      <c r="H4506" s="2">
        <v>0</v>
      </c>
    </row>
    <row r="4507" spans="1:8">
      <c r="A4507" t="s">
        <v>114</v>
      </c>
      <c r="B4507" t="s">
        <v>115</v>
      </c>
      <c r="C4507" t="s">
        <v>51</v>
      </c>
      <c r="D4507" t="s">
        <v>33</v>
      </c>
      <c r="E4507">
        <v>2019</v>
      </c>
      <c r="F4507" t="s">
        <v>22</v>
      </c>
      <c r="G4507" t="s">
        <v>15</v>
      </c>
      <c r="H4507" s="2">
        <v>8520.8799999999992</v>
      </c>
    </row>
    <row r="4508" spans="1:8">
      <c r="A4508" t="s">
        <v>114</v>
      </c>
      <c r="B4508" t="s">
        <v>115</v>
      </c>
      <c r="C4508" t="s">
        <v>51</v>
      </c>
      <c r="D4508" t="s">
        <v>33</v>
      </c>
      <c r="E4508">
        <v>2019</v>
      </c>
      <c r="F4508" t="s">
        <v>22</v>
      </c>
      <c r="G4508" t="s">
        <v>17</v>
      </c>
      <c r="H4508" s="2">
        <v>2059.5300000000002</v>
      </c>
    </row>
    <row r="4509" spans="1:8">
      <c r="A4509" t="s">
        <v>114</v>
      </c>
      <c r="B4509" t="s">
        <v>115</v>
      </c>
      <c r="C4509" t="s">
        <v>51</v>
      </c>
      <c r="D4509" t="s">
        <v>33</v>
      </c>
      <c r="E4509">
        <v>2020</v>
      </c>
      <c r="F4509" t="s">
        <v>16</v>
      </c>
      <c r="G4509" t="s">
        <v>19</v>
      </c>
      <c r="H4509" s="2">
        <v>0</v>
      </c>
    </row>
    <row r="4510" spans="1:8">
      <c r="A4510" t="s">
        <v>114</v>
      </c>
      <c r="B4510" t="s">
        <v>115</v>
      </c>
      <c r="C4510" t="s">
        <v>51</v>
      </c>
      <c r="D4510" t="s">
        <v>33</v>
      </c>
      <c r="E4510">
        <v>2022</v>
      </c>
      <c r="F4510" t="s">
        <v>20</v>
      </c>
      <c r="G4510" t="s">
        <v>15</v>
      </c>
      <c r="H4510" s="2">
        <v>-29.68</v>
      </c>
    </row>
    <row r="4511" spans="1:8">
      <c r="A4511" t="s">
        <v>114</v>
      </c>
      <c r="B4511" t="s">
        <v>115</v>
      </c>
      <c r="C4511" t="s">
        <v>51</v>
      </c>
      <c r="D4511" t="s">
        <v>33</v>
      </c>
      <c r="E4511">
        <v>2023</v>
      </c>
      <c r="F4511" t="s">
        <v>22</v>
      </c>
      <c r="G4511" t="s">
        <v>13</v>
      </c>
      <c r="H4511" s="2">
        <v>958.36</v>
      </c>
    </row>
    <row r="4512" spans="1:8">
      <c r="A4512" t="s">
        <v>114</v>
      </c>
      <c r="B4512" t="s">
        <v>115</v>
      </c>
      <c r="C4512" t="s">
        <v>51</v>
      </c>
      <c r="D4512" t="s">
        <v>33</v>
      </c>
      <c r="E4512">
        <v>2023</v>
      </c>
      <c r="F4512" t="s">
        <v>18</v>
      </c>
      <c r="G4512" t="s">
        <v>13</v>
      </c>
      <c r="H4512" s="2">
        <v>10739.05</v>
      </c>
    </row>
    <row r="4513" spans="1:8">
      <c r="A4513" t="s">
        <v>114</v>
      </c>
      <c r="B4513" t="s">
        <v>115</v>
      </c>
      <c r="C4513" t="s">
        <v>51</v>
      </c>
      <c r="D4513" t="s">
        <v>33</v>
      </c>
      <c r="E4513">
        <v>2024</v>
      </c>
      <c r="F4513" t="s">
        <v>22</v>
      </c>
      <c r="G4513" t="s">
        <v>13</v>
      </c>
      <c r="H4513" s="2">
        <v>1157.2</v>
      </c>
    </row>
    <row r="4514" spans="1:8">
      <c r="A4514" t="s">
        <v>114</v>
      </c>
      <c r="B4514" t="s">
        <v>115</v>
      </c>
      <c r="C4514" t="s">
        <v>51</v>
      </c>
      <c r="D4514" t="s">
        <v>33</v>
      </c>
      <c r="E4514">
        <v>2024</v>
      </c>
      <c r="F4514" t="s">
        <v>12</v>
      </c>
      <c r="G4514" t="s">
        <v>15</v>
      </c>
      <c r="H4514" s="2">
        <v>693.79</v>
      </c>
    </row>
    <row r="4515" spans="1:8">
      <c r="A4515" t="s">
        <v>114</v>
      </c>
      <c r="B4515" t="s">
        <v>115</v>
      </c>
      <c r="C4515" t="s">
        <v>51</v>
      </c>
      <c r="D4515" t="s">
        <v>33</v>
      </c>
      <c r="E4515">
        <v>2024</v>
      </c>
      <c r="F4515" t="s">
        <v>18</v>
      </c>
      <c r="G4515" t="s">
        <v>15</v>
      </c>
      <c r="H4515" s="2">
        <v>682.08</v>
      </c>
    </row>
    <row r="4516" spans="1:8">
      <c r="A4516" t="s">
        <v>114</v>
      </c>
      <c r="B4516" t="s">
        <v>115</v>
      </c>
      <c r="C4516" t="s">
        <v>51</v>
      </c>
      <c r="D4516" t="s">
        <v>33</v>
      </c>
      <c r="E4516">
        <v>2024</v>
      </c>
      <c r="F4516" t="s">
        <v>20</v>
      </c>
      <c r="G4516" t="s">
        <v>13</v>
      </c>
      <c r="H4516" s="2">
        <v>-3004.3</v>
      </c>
    </row>
    <row r="4517" spans="1:8">
      <c r="A4517" t="s">
        <v>116</v>
      </c>
      <c r="B4517" t="s">
        <v>117</v>
      </c>
      <c r="C4517" t="s">
        <v>32</v>
      </c>
      <c r="D4517" t="s">
        <v>29</v>
      </c>
      <c r="E4517">
        <v>1990</v>
      </c>
      <c r="F4517" t="s">
        <v>14</v>
      </c>
      <c r="G4517" t="s">
        <v>15</v>
      </c>
      <c r="H4517" s="2">
        <v>5836.05</v>
      </c>
    </row>
    <row r="4518" spans="1:8">
      <c r="A4518" t="s">
        <v>116</v>
      </c>
      <c r="B4518" t="s">
        <v>117</v>
      </c>
      <c r="C4518" t="s">
        <v>32</v>
      </c>
      <c r="D4518" t="s">
        <v>29</v>
      </c>
      <c r="E4518">
        <v>1990</v>
      </c>
      <c r="F4518" t="s">
        <v>21</v>
      </c>
      <c r="G4518" t="s">
        <v>17</v>
      </c>
      <c r="H4518" s="2">
        <v>558.99</v>
      </c>
    </row>
    <row r="4519" spans="1:8">
      <c r="A4519" t="s">
        <v>116</v>
      </c>
      <c r="B4519" t="s">
        <v>117</v>
      </c>
      <c r="C4519" t="s">
        <v>32</v>
      </c>
      <c r="D4519" t="s">
        <v>29</v>
      </c>
      <c r="E4519">
        <v>1990</v>
      </c>
      <c r="F4519" t="s">
        <v>16</v>
      </c>
      <c r="G4519" t="s">
        <v>15</v>
      </c>
      <c r="H4519" s="2">
        <v>21984.05</v>
      </c>
    </row>
    <row r="4520" spans="1:8">
      <c r="A4520" t="s">
        <v>116</v>
      </c>
      <c r="B4520" t="s">
        <v>117</v>
      </c>
      <c r="C4520" t="s">
        <v>32</v>
      </c>
      <c r="D4520" t="s">
        <v>29</v>
      </c>
      <c r="E4520">
        <v>1991</v>
      </c>
      <c r="F4520" t="s">
        <v>22</v>
      </c>
      <c r="G4520" t="s">
        <v>13</v>
      </c>
      <c r="H4520" s="2">
        <v>1913.45</v>
      </c>
    </row>
    <row r="4521" spans="1:8">
      <c r="A4521" t="s">
        <v>116</v>
      </c>
      <c r="B4521" t="s">
        <v>117</v>
      </c>
      <c r="C4521" t="s">
        <v>32</v>
      </c>
      <c r="D4521" t="s">
        <v>29</v>
      </c>
      <c r="E4521">
        <v>1991</v>
      </c>
      <c r="F4521" t="s">
        <v>12</v>
      </c>
      <c r="G4521" t="s">
        <v>13</v>
      </c>
      <c r="H4521" s="2">
        <v>72844.679999999993</v>
      </c>
    </row>
    <row r="4522" spans="1:8">
      <c r="A4522" t="s">
        <v>116</v>
      </c>
      <c r="B4522" t="s">
        <v>117</v>
      </c>
      <c r="C4522" t="s">
        <v>32</v>
      </c>
      <c r="D4522" t="s">
        <v>29</v>
      </c>
      <c r="E4522">
        <v>1991</v>
      </c>
      <c r="F4522" t="s">
        <v>20</v>
      </c>
      <c r="G4522" t="s">
        <v>15</v>
      </c>
      <c r="H4522" s="2">
        <v>-160.59</v>
      </c>
    </row>
    <row r="4523" spans="1:8">
      <c r="A4523" t="s">
        <v>116</v>
      </c>
      <c r="B4523" t="s">
        <v>117</v>
      </c>
      <c r="C4523" t="s">
        <v>32</v>
      </c>
      <c r="D4523" t="s">
        <v>29</v>
      </c>
      <c r="E4523">
        <v>1992</v>
      </c>
      <c r="F4523" t="s">
        <v>18</v>
      </c>
      <c r="G4523" t="s">
        <v>19</v>
      </c>
      <c r="H4523" s="2">
        <v>1796.4</v>
      </c>
    </row>
    <row r="4524" spans="1:8">
      <c r="A4524" t="s">
        <v>116</v>
      </c>
      <c r="B4524" t="s">
        <v>117</v>
      </c>
      <c r="C4524" t="s">
        <v>32</v>
      </c>
      <c r="D4524" t="s">
        <v>29</v>
      </c>
      <c r="E4524">
        <v>1992</v>
      </c>
      <c r="F4524" t="s">
        <v>20</v>
      </c>
      <c r="G4524" t="s">
        <v>15</v>
      </c>
      <c r="H4524" s="2">
        <v>-160.22999999999999</v>
      </c>
    </row>
    <row r="4525" spans="1:8">
      <c r="A4525" t="s">
        <v>116</v>
      </c>
      <c r="B4525" t="s">
        <v>117</v>
      </c>
      <c r="C4525" t="s">
        <v>32</v>
      </c>
      <c r="D4525" t="s">
        <v>29</v>
      </c>
      <c r="E4525">
        <v>1993</v>
      </c>
      <c r="F4525" t="s">
        <v>22</v>
      </c>
      <c r="G4525" t="s">
        <v>17</v>
      </c>
      <c r="H4525" s="2">
        <v>3378.64</v>
      </c>
    </row>
    <row r="4526" spans="1:8">
      <c r="A4526" t="s">
        <v>116</v>
      </c>
      <c r="B4526" t="s">
        <v>117</v>
      </c>
      <c r="C4526" t="s">
        <v>32</v>
      </c>
      <c r="D4526" t="s">
        <v>29</v>
      </c>
      <c r="E4526">
        <v>1993</v>
      </c>
      <c r="F4526" t="s">
        <v>21</v>
      </c>
      <c r="G4526" t="s">
        <v>17</v>
      </c>
      <c r="H4526" s="2">
        <v>579.91999999999996</v>
      </c>
    </row>
    <row r="4527" spans="1:8">
      <c r="A4527" t="s">
        <v>116</v>
      </c>
      <c r="B4527" t="s">
        <v>117</v>
      </c>
      <c r="C4527" t="s">
        <v>32</v>
      </c>
      <c r="D4527" t="s">
        <v>29</v>
      </c>
      <c r="E4527">
        <v>1993</v>
      </c>
      <c r="F4527" t="s">
        <v>16</v>
      </c>
      <c r="G4527" t="s">
        <v>15</v>
      </c>
      <c r="H4527" s="2">
        <v>21108.65</v>
      </c>
    </row>
    <row r="4528" spans="1:8">
      <c r="A4528" t="s">
        <v>116</v>
      </c>
      <c r="B4528" t="s">
        <v>117</v>
      </c>
      <c r="C4528" t="s">
        <v>32</v>
      </c>
      <c r="D4528" t="s">
        <v>29</v>
      </c>
      <c r="E4528">
        <v>1993</v>
      </c>
      <c r="F4528" t="s">
        <v>16</v>
      </c>
      <c r="G4528" t="s">
        <v>13</v>
      </c>
      <c r="H4528" s="2">
        <v>3782.46</v>
      </c>
    </row>
    <row r="4529" spans="1:8">
      <c r="A4529" t="s">
        <v>116</v>
      </c>
      <c r="B4529" t="s">
        <v>117</v>
      </c>
      <c r="C4529" t="s">
        <v>32</v>
      </c>
      <c r="D4529" t="s">
        <v>29</v>
      </c>
      <c r="E4529">
        <v>1993</v>
      </c>
      <c r="F4529" t="s">
        <v>16</v>
      </c>
      <c r="G4529" t="s">
        <v>19</v>
      </c>
      <c r="H4529" s="2">
        <v>0</v>
      </c>
    </row>
    <row r="4530" spans="1:8">
      <c r="A4530" t="s">
        <v>116</v>
      </c>
      <c r="B4530" t="s">
        <v>117</v>
      </c>
      <c r="C4530" t="s">
        <v>32</v>
      </c>
      <c r="D4530" t="s">
        <v>29</v>
      </c>
      <c r="E4530">
        <v>1994</v>
      </c>
      <c r="F4530" t="s">
        <v>22</v>
      </c>
      <c r="G4530" t="s">
        <v>13</v>
      </c>
      <c r="H4530" s="2">
        <v>1816.94</v>
      </c>
    </row>
    <row r="4531" spans="1:8">
      <c r="A4531" t="s">
        <v>116</v>
      </c>
      <c r="B4531" t="s">
        <v>117</v>
      </c>
      <c r="C4531" t="s">
        <v>32</v>
      </c>
      <c r="D4531" t="s">
        <v>29</v>
      </c>
      <c r="E4531">
        <v>1995</v>
      </c>
      <c r="F4531" t="s">
        <v>18</v>
      </c>
      <c r="G4531" t="s">
        <v>17</v>
      </c>
      <c r="H4531" s="2">
        <v>1702.43</v>
      </c>
    </row>
    <row r="4532" spans="1:8">
      <c r="A4532" t="s">
        <v>116</v>
      </c>
      <c r="B4532" t="s">
        <v>117</v>
      </c>
      <c r="C4532" t="s">
        <v>32</v>
      </c>
      <c r="D4532" t="s">
        <v>29</v>
      </c>
      <c r="E4532">
        <v>1995</v>
      </c>
      <c r="F4532" t="s">
        <v>21</v>
      </c>
      <c r="G4532" t="s">
        <v>13</v>
      </c>
      <c r="H4532" s="2">
        <v>66097.429999999993</v>
      </c>
    </row>
    <row r="4533" spans="1:8">
      <c r="A4533" t="s">
        <v>116</v>
      </c>
      <c r="B4533" t="s">
        <v>117</v>
      </c>
      <c r="C4533" t="s">
        <v>32</v>
      </c>
      <c r="D4533" t="s">
        <v>29</v>
      </c>
      <c r="E4533">
        <v>1995</v>
      </c>
      <c r="F4533" t="s">
        <v>16</v>
      </c>
      <c r="G4533" t="s">
        <v>13</v>
      </c>
      <c r="H4533" s="2">
        <v>4586.97</v>
      </c>
    </row>
    <row r="4534" spans="1:8">
      <c r="A4534" t="s">
        <v>116</v>
      </c>
      <c r="B4534" t="s">
        <v>117</v>
      </c>
      <c r="C4534" t="s">
        <v>32</v>
      </c>
      <c r="D4534" t="s">
        <v>29</v>
      </c>
      <c r="E4534">
        <v>1996</v>
      </c>
      <c r="F4534" t="s">
        <v>20</v>
      </c>
      <c r="G4534" t="s">
        <v>19</v>
      </c>
      <c r="H4534" s="2">
        <v>0</v>
      </c>
    </row>
    <row r="4535" spans="1:8">
      <c r="A4535" t="s">
        <v>116</v>
      </c>
      <c r="B4535" t="s">
        <v>117</v>
      </c>
      <c r="C4535" t="s">
        <v>32</v>
      </c>
      <c r="D4535" t="s">
        <v>29</v>
      </c>
      <c r="E4535">
        <v>1996</v>
      </c>
      <c r="F4535" t="s">
        <v>21</v>
      </c>
      <c r="G4535" t="s">
        <v>17</v>
      </c>
      <c r="H4535" s="2">
        <v>603.19000000000005</v>
      </c>
    </row>
    <row r="4536" spans="1:8">
      <c r="A4536" t="s">
        <v>116</v>
      </c>
      <c r="B4536" t="s">
        <v>117</v>
      </c>
      <c r="C4536" t="s">
        <v>32</v>
      </c>
      <c r="D4536" t="s">
        <v>29</v>
      </c>
      <c r="E4536">
        <v>1997</v>
      </c>
      <c r="F4536" t="s">
        <v>12</v>
      </c>
      <c r="G4536" t="s">
        <v>15</v>
      </c>
      <c r="H4536" s="2">
        <v>4688.9799999999996</v>
      </c>
    </row>
    <row r="4537" spans="1:8">
      <c r="A4537" t="s">
        <v>116</v>
      </c>
      <c r="B4537" t="s">
        <v>117</v>
      </c>
      <c r="C4537" t="s">
        <v>32</v>
      </c>
      <c r="D4537" t="s">
        <v>29</v>
      </c>
      <c r="E4537">
        <v>1997</v>
      </c>
      <c r="F4537" t="s">
        <v>21</v>
      </c>
      <c r="G4537" t="s">
        <v>19</v>
      </c>
      <c r="H4537" s="2">
        <v>0</v>
      </c>
    </row>
    <row r="4538" spans="1:8">
      <c r="A4538" t="s">
        <v>116</v>
      </c>
      <c r="B4538" t="s">
        <v>117</v>
      </c>
      <c r="C4538" t="s">
        <v>32</v>
      </c>
      <c r="D4538" t="s">
        <v>29</v>
      </c>
      <c r="E4538">
        <v>1998</v>
      </c>
      <c r="F4538" t="s">
        <v>22</v>
      </c>
      <c r="G4538" t="s">
        <v>17</v>
      </c>
      <c r="H4538" s="2">
        <v>3848.79</v>
      </c>
    </row>
    <row r="4539" spans="1:8">
      <c r="A4539" t="s">
        <v>116</v>
      </c>
      <c r="B4539" t="s">
        <v>117</v>
      </c>
      <c r="C4539" t="s">
        <v>32</v>
      </c>
      <c r="D4539" t="s">
        <v>29</v>
      </c>
      <c r="E4539">
        <v>1998</v>
      </c>
      <c r="F4539" t="s">
        <v>12</v>
      </c>
      <c r="G4539" t="s">
        <v>19</v>
      </c>
      <c r="H4539" s="2">
        <v>0</v>
      </c>
    </row>
    <row r="4540" spans="1:8">
      <c r="A4540" t="s">
        <v>116</v>
      </c>
      <c r="B4540" t="s">
        <v>117</v>
      </c>
      <c r="C4540" t="s">
        <v>32</v>
      </c>
      <c r="D4540" t="s">
        <v>29</v>
      </c>
      <c r="E4540">
        <v>1998</v>
      </c>
      <c r="F4540" t="s">
        <v>18</v>
      </c>
      <c r="G4540" t="s">
        <v>15</v>
      </c>
      <c r="H4540" s="2">
        <v>1600.67</v>
      </c>
    </row>
    <row r="4541" spans="1:8">
      <c r="A4541" t="s">
        <v>116</v>
      </c>
      <c r="B4541" t="s">
        <v>117</v>
      </c>
      <c r="C4541" t="s">
        <v>32</v>
      </c>
      <c r="D4541" t="s">
        <v>29</v>
      </c>
      <c r="E4541">
        <v>1998</v>
      </c>
      <c r="F4541" t="s">
        <v>18</v>
      </c>
      <c r="G4541" t="s">
        <v>13</v>
      </c>
      <c r="H4541" s="2">
        <v>28938.26</v>
      </c>
    </row>
    <row r="4542" spans="1:8">
      <c r="A4542" t="s">
        <v>116</v>
      </c>
      <c r="B4542" t="s">
        <v>117</v>
      </c>
      <c r="C4542" t="s">
        <v>32</v>
      </c>
      <c r="D4542" t="s">
        <v>29</v>
      </c>
      <c r="E4542">
        <v>1998</v>
      </c>
      <c r="F4542" t="s">
        <v>20</v>
      </c>
      <c r="G4542" t="s">
        <v>17</v>
      </c>
      <c r="H4542" s="2">
        <v>-173.37</v>
      </c>
    </row>
    <row r="4543" spans="1:8">
      <c r="A4543" t="s">
        <v>116</v>
      </c>
      <c r="B4543" t="s">
        <v>117</v>
      </c>
      <c r="C4543" t="s">
        <v>32</v>
      </c>
      <c r="D4543" t="s">
        <v>29</v>
      </c>
      <c r="E4543">
        <v>1998</v>
      </c>
      <c r="F4543" t="s">
        <v>21</v>
      </c>
      <c r="G4543" t="s">
        <v>17</v>
      </c>
      <c r="H4543" s="2">
        <v>653.92999999999995</v>
      </c>
    </row>
    <row r="4544" spans="1:8">
      <c r="A4544" t="s">
        <v>116</v>
      </c>
      <c r="B4544" t="s">
        <v>117</v>
      </c>
      <c r="C4544" t="s">
        <v>32</v>
      </c>
      <c r="D4544" t="s">
        <v>29</v>
      </c>
      <c r="E4544">
        <v>1999</v>
      </c>
      <c r="F4544" t="s">
        <v>18</v>
      </c>
      <c r="G4544" t="s">
        <v>15</v>
      </c>
      <c r="H4544" s="2">
        <v>1771.46</v>
      </c>
    </row>
    <row r="4545" spans="1:8">
      <c r="A4545" t="s">
        <v>116</v>
      </c>
      <c r="B4545" t="s">
        <v>117</v>
      </c>
      <c r="C4545" t="s">
        <v>32</v>
      </c>
      <c r="D4545" t="s">
        <v>29</v>
      </c>
      <c r="E4545">
        <v>1999</v>
      </c>
      <c r="F4545" t="s">
        <v>14</v>
      </c>
      <c r="G4545" t="s">
        <v>17</v>
      </c>
      <c r="H4545" s="2">
        <v>3936.35</v>
      </c>
    </row>
    <row r="4546" spans="1:8">
      <c r="A4546" t="s">
        <v>116</v>
      </c>
      <c r="B4546" t="s">
        <v>117</v>
      </c>
      <c r="C4546" t="s">
        <v>32</v>
      </c>
      <c r="D4546" t="s">
        <v>29</v>
      </c>
      <c r="E4546">
        <v>1999</v>
      </c>
      <c r="F4546" t="s">
        <v>21</v>
      </c>
      <c r="G4546" t="s">
        <v>13</v>
      </c>
      <c r="H4546" s="2">
        <v>58675.68</v>
      </c>
    </row>
    <row r="4547" spans="1:8">
      <c r="A4547" t="s">
        <v>116</v>
      </c>
      <c r="B4547" t="s">
        <v>117</v>
      </c>
      <c r="C4547" t="s">
        <v>32</v>
      </c>
      <c r="D4547" t="s">
        <v>29</v>
      </c>
      <c r="E4547">
        <v>1999</v>
      </c>
      <c r="F4547" t="s">
        <v>16</v>
      </c>
      <c r="G4547" t="s">
        <v>15</v>
      </c>
      <c r="H4547" s="2">
        <v>22213.99</v>
      </c>
    </row>
    <row r="4548" spans="1:8">
      <c r="A4548" t="s">
        <v>116</v>
      </c>
      <c r="B4548" t="s">
        <v>117</v>
      </c>
      <c r="C4548" t="s">
        <v>32</v>
      </c>
      <c r="D4548" t="s">
        <v>29</v>
      </c>
      <c r="E4548">
        <v>1999</v>
      </c>
      <c r="F4548" t="s">
        <v>16</v>
      </c>
      <c r="G4548" t="s">
        <v>13</v>
      </c>
      <c r="H4548" s="2">
        <v>4188.78</v>
      </c>
    </row>
    <row r="4549" spans="1:8">
      <c r="A4549" t="s">
        <v>116</v>
      </c>
      <c r="B4549" t="s">
        <v>117</v>
      </c>
      <c r="C4549" t="s">
        <v>32</v>
      </c>
      <c r="D4549" t="s">
        <v>29</v>
      </c>
      <c r="E4549">
        <v>2000</v>
      </c>
      <c r="F4549" t="s">
        <v>20</v>
      </c>
      <c r="G4549" t="s">
        <v>19</v>
      </c>
      <c r="H4549" s="2">
        <v>0</v>
      </c>
    </row>
    <row r="4550" spans="1:8">
      <c r="A4550" t="s">
        <v>116</v>
      </c>
      <c r="B4550" t="s">
        <v>117</v>
      </c>
      <c r="C4550" t="s">
        <v>32</v>
      </c>
      <c r="D4550" t="s">
        <v>29</v>
      </c>
      <c r="E4550">
        <v>2000</v>
      </c>
      <c r="F4550" t="s">
        <v>16</v>
      </c>
      <c r="G4550" t="s">
        <v>19</v>
      </c>
      <c r="H4550" s="2">
        <v>0</v>
      </c>
    </row>
    <row r="4551" spans="1:8">
      <c r="A4551" t="s">
        <v>116</v>
      </c>
      <c r="B4551" t="s">
        <v>117</v>
      </c>
      <c r="C4551" t="s">
        <v>32</v>
      </c>
      <c r="D4551" t="s">
        <v>29</v>
      </c>
      <c r="E4551">
        <v>2001</v>
      </c>
      <c r="F4551" t="s">
        <v>22</v>
      </c>
      <c r="G4551" t="s">
        <v>13</v>
      </c>
      <c r="H4551" s="2">
        <v>1712.57</v>
      </c>
    </row>
    <row r="4552" spans="1:8">
      <c r="A4552" t="s">
        <v>116</v>
      </c>
      <c r="B4552" t="s">
        <v>117</v>
      </c>
      <c r="C4552" t="s">
        <v>32</v>
      </c>
      <c r="D4552" t="s">
        <v>29</v>
      </c>
      <c r="E4552">
        <v>2001</v>
      </c>
      <c r="F4552" t="s">
        <v>14</v>
      </c>
      <c r="G4552" t="s">
        <v>17</v>
      </c>
      <c r="H4552" s="2">
        <v>3455.57</v>
      </c>
    </row>
    <row r="4553" spans="1:8">
      <c r="A4553" t="s">
        <v>116</v>
      </c>
      <c r="B4553" t="s">
        <v>117</v>
      </c>
      <c r="C4553" t="s">
        <v>32</v>
      </c>
      <c r="D4553" t="s">
        <v>29</v>
      </c>
      <c r="E4553">
        <v>2001</v>
      </c>
      <c r="F4553" t="s">
        <v>21</v>
      </c>
      <c r="G4553" t="s">
        <v>15</v>
      </c>
      <c r="H4553" s="2">
        <v>1240.08</v>
      </c>
    </row>
    <row r="4554" spans="1:8">
      <c r="A4554" t="s">
        <v>116</v>
      </c>
      <c r="B4554" t="s">
        <v>117</v>
      </c>
      <c r="C4554" t="s">
        <v>32</v>
      </c>
      <c r="D4554" t="s">
        <v>29</v>
      </c>
      <c r="E4554">
        <v>2002</v>
      </c>
      <c r="F4554" t="s">
        <v>12</v>
      </c>
      <c r="G4554" t="s">
        <v>17</v>
      </c>
      <c r="H4554" s="2">
        <v>2405.81</v>
      </c>
    </row>
    <row r="4555" spans="1:8">
      <c r="A4555" t="s">
        <v>116</v>
      </c>
      <c r="B4555" t="s">
        <v>117</v>
      </c>
      <c r="C4555" t="s">
        <v>32</v>
      </c>
      <c r="D4555" t="s">
        <v>29</v>
      </c>
      <c r="E4555">
        <v>2002</v>
      </c>
      <c r="F4555" t="s">
        <v>21</v>
      </c>
      <c r="G4555" t="s">
        <v>15</v>
      </c>
      <c r="H4555" s="2">
        <v>1323.39</v>
      </c>
    </row>
    <row r="4556" spans="1:8">
      <c r="A4556" t="s">
        <v>116</v>
      </c>
      <c r="B4556" t="s">
        <v>117</v>
      </c>
      <c r="C4556" t="s">
        <v>32</v>
      </c>
      <c r="D4556" t="s">
        <v>29</v>
      </c>
      <c r="E4556">
        <v>2002</v>
      </c>
      <c r="F4556" t="s">
        <v>16</v>
      </c>
      <c r="G4556" t="s">
        <v>19</v>
      </c>
      <c r="H4556" s="2">
        <v>0</v>
      </c>
    </row>
    <row r="4557" spans="1:8">
      <c r="A4557" t="s">
        <v>116</v>
      </c>
      <c r="B4557" t="s">
        <v>117</v>
      </c>
      <c r="C4557" t="s">
        <v>32</v>
      </c>
      <c r="D4557" t="s">
        <v>29</v>
      </c>
      <c r="E4557">
        <v>2003</v>
      </c>
      <c r="F4557" t="s">
        <v>22</v>
      </c>
      <c r="G4557" t="s">
        <v>19</v>
      </c>
      <c r="H4557" s="2">
        <v>0</v>
      </c>
    </row>
    <row r="4558" spans="1:8">
      <c r="A4558" t="s">
        <v>116</v>
      </c>
      <c r="B4558" t="s">
        <v>117</v>
      </c>
      <c r="C4558" t="s">
        <v>32</v>
      </c>
      <c r="D4558" t="s">
        <v>29</v>
      </c>
      <c r="E4558">
        <v>2003</v>
      </c>
      <c r="F4558" t="s">
        <v>18</v>
      </c>
      <c r="G4558" t="s">
        <v>13</v>
      </c>
      <c r="H4558" s="2">
        <v>27731.24</v>
      </c>
    </row>
    <row r="4559" spans="1:8">
      <c r="A4559" t="s">
        <v>116</v>
      </c>
      <c r="B4559" t="s">
        <v>117</v>
      </c>
      <c r="C4559" t="s">
        <v>32</v>
      </c>
      <c r="D4559" t="s">
        <v>29</v>
      </c>
      <c r="E4559">
        <v>2003</v>
      </c>
      <c r="F4559" t="s">
        <v>18</v>
      </c>
      <c r="G4559" t="s">
        <v>19</v>
      </c>
      <c r="H4559" s="2">
        <v>1835.07</v>
      </c>
    </row>
    <row r="4560" spans="1:8">
      <c r="A4560" t="s">
        <v>116</v>
      </c>
      <c r="B4560" t="s">
        <v>117</v>
      </c>
      <c r="C4560" t="s">
        <v>32</v>
      </c>
      <c r="D4560" t="s">
        <v>29</v>
      </c>
      <c r="E4560">
        <v>2004</v>
      </c>
      <c r="F4560" t="s">
        <v>14</v>
      </c>
      <c r="G4560" t="s">
        <v>17</v>
      </c>
      <c r="H4560" s="2">
        <v>3659.15</v>
      </c>
    </row>
    <row r="4561" spans="1:8">
      <c r="A4561" t="s">
        <v>116</v>
      </c>
      <c r="B4561" t="s">
        <v>117</v>
      </c>
      <c r="C4561" t="s">
        <v>32</v>
      </c>
      <c r="D4561" t="s">
        <v>29</v>
      </c>
      <c r="E4561">
        <v>2004</v>
      </c>
      <c r="F4561" t="s">
        <v>21</v>
      </c>
      <c r="G4561" t="s">
        <v>19</v>
      </c>
      <c r="H4561" s="2">
        <v>0</v>
      </c>
    </row>
    <row r="4562" spans="1:8">
      <c r="A4562" t="s">
        <v>116</v>
      </c>
      <c r="B4562" t="s">
        <v>117</v>
      </c>
      <c r="C4562" t="s">
        <v>32</v>
      </c>
      <c r="D4562" t="s">
        <v>29</v>
      </c>
      <c r="E4562">
        <v>2004</v>
      </c>
      <c r="F4562" t="s">
        <v>16</v>
      </c>
      <c r="G4562" t="s">
        <v>17</v>
      </c>
      <c r="H4562" s="2">
        <v>1471.08</v>
      </c>
    </row>
    <row r="4563" spans="1:8">
      <c r="A4563" t="s">
        <v>116</v>
      </c>
      <c r="B4563" t="s">
        <v>117</v>
      </c>
      <c r="C4563" t="s">
        <v>32</v>
      </c>
      <c r="D4563" t="s">
        <v>29</v>
      </c>
      <c r="E4563">
        <v>2005</v>
      </c>
      <c r="F4563" t="s">
        <v>16</v>
      </c>
      <c r="G4563" t="s">
        <v>15</v>
      </c>
      <c r="H4563" s="2">
        <v>20925.759999999998</v>
      </c>
    </row>
    <row r="4564" spans="1:8">
      <c r="A4564" t="s">
        <v>116</v>
      </c>
      <c r="B4564" t="s">
        <v>117</v>
      </c>
      <c r="C4564" t="s">
        <v>32</v>
      </c>
      <c r="D4564" t="s">
        <v>29</v>
      </c>
      <c r="E4564">
        <v>2006</v>
      </c>
      <c r="F4564" t="s">
        <v>12</v>
      </c>
      <c r="G4564" t="s">
        <v>15</v>
      </c>
      <c r="H4564" s="2">
        <v>4827.7</v>
      </c>
    </row>
    <row r="4565" spans="1:8">
      <c r="A4565" t="s">
        <v>116</v>
      </c>
      <c r="B4565" t="s">
        <v>117</v>
      </c>
      <c r="C4565" t="s">
        <v>32</v>
      </c>
      <c r="D4565" t="s">
        <v>29</v>
      </c>
      <c r="E4565">
        <v>2006</v>
      </c>
      <c r="F4565" t="s">
        <v>12</v>
      </c>
      <c r="G4565" t="s">
        <v>19</v>
      </c>
      <c r="H4565" s="2">
        <v>0</v>
      </c>
    </row>
    <row r="4566" spans="1:8">
      <c r="A4566" t="s">
        <v>116</v>
      </c>
      <c r="B4566" t="s">
        <v>117</v>
      </c>
      <c r="C4566" t="s">
        <v>32</v>
      </c>
      <c r="D4566" t="s">
        <v>29</v>
      </c>
      <c r="E4566">
        <v>2006</v>
      </c>
      <c r="F4566" t="s">
        <v>12</v>
      </c>
      <c r="G4566" t="s">
        <v>17</v>
      </c>
      <c r="H4566" s="2">
        <v>2062.9299999999998</v>
      </c>
    </row>
    <row r="4567" spans="1:8">
      <c r="A4567" t="s">
        <v>116</v>
      </c>
      <c r="B4567" t="s">
        <v>117</v>
      </c>
      <c r="C4567" t="s">
        <v>32</v>
      </c>
      <c r="D4567" t="s">
        <v>29</v>
      </c>
      <c r="E4567">
        <v>2006</v>
      </c>
      <c r="F4567" t="s">
        <v>14</v>
      </c>
      <c r="G4567" t="s">
        <v>15</v>
      </c>
      <c r="H4567" s="2">
        <v>5297.29</v>
      </c>
    </row>
    <row r="4568" spans="1:8">
      <c r="A4568" t="s">
        <v>116</v>
      </c>
      <c r="B4568" t="s">
        <v>117</v>
      </c>
      <c r="C4568" t="s">
        <v>32</v>
      </c>
      <c r="D4568" t="s">
        <v>29</v>
      </c>
      <c r="E4568">
        <v>2006</v>
      </c>
      <c r="F4568" t="s">
        <v>16</v>
      </c>
      <c r="G4568" t="s">
        <v>13</v>
      </c>
      <c r="H4568" s="2">
        <v>4122.71</v>
      </c>
    </row>
    <row r="4569" spans="1:8">
      <c r="A4569" t="s">
        <v>116</v>
      </c>
      <c r="B4569" t="s">
        <v>117</v>
      </c>
      <c r="C4569" t="s">
        <v>32</v>
      </c>
      <c r="D4569" t="s">
        <v>29</v>
      </c>
      <c r="E4569">
        <v>2006</v>
      </c>
      <c r="F4569" t="s">
        <v>16</v>
      </c>
      <c r="G4569" t="s">
        <v>17</v>
      </c>
      <c r="H4569" s="2">
        <v>1353.09</v>
      </c>
    </row>
    <row r="4570" spans="1:8">
      <c r="A4570" t="s">
        <v>116</v>
      </c>
      <c r="B4570" t="s">
        <v>117</v>
      </c>
      <c r="C4570" t="s">
        <v>32</v>
      </c>
      <c r="D4570" t="s">
        <v>29</v>
      </c>
      <c r="E4570">
        <v>2007</v>
      </c>
      <c r="F4570" t="s">
        <v>12</v>
      </c>
      <c r="G4570" t="s">
        <v>19</v>
      </c>
      <c r="H4570" s="2">
        <v>0</v>
      </c>
    </row>
    <row r="4571" spans="1:8">
      <c r="A4571" t="s">
        <v>116</v>
      </c>
      <c r="B4571" t="s">
        <v>117</v>
      </c>
      <c r="C4571" t="s">
        <v>32</v>
      </c>
      <c r="D4571" t="s">
        <v>29</v>
      </c>
      <c r="E4571">
        <v>2007</v>
      </c>
      <c r="F4571" t="s">
        <v>12</v>
      </c>
      <c r="G4571" t="s">
        <v>17</v>
      </c>
      <c r="H4571" s="2">
        <v>2150.9699999999998</v>
      </c>
    </row>
    <row r="4572" spans="1:8">
      <c r="A4572" t="s">
        <v>116</v>
      </c>
      <c r="B4572" t="s">
        <v>117</v>
      </c>
      <c r="C4572" t="s">
        <v>32</v>
      </c>
      <c r="D4572" t="s">
        <v>29</v>
      </c>
      <c r="E4572">
        <v>2007</v>
      </c>
      <c r="F4572" t="s">
        <v>14</v>
      </c>
      <c r="G4572" t="s">
        <v>19</v>
      </c>
      <c r="H4572" s="2">
        <v>0</v>
      </c>
    </row>
    <row r="4573" spans="1:8">
      <c r="A4573" t="s">
        <v>116</v>
      </c>
      <c r="B4573" t="s">
        <v>117</v>
      </c>
      <c r="C4573" t="s">
        <v>32</v>
      </c>
      <c r="D4573" t="s">
        <v>29</v>
      </c>
      <c r="E4573">
        <v>2007</v>
      </c>
      <c r="F4573" t="s">
        <v>16</v>
      </c>
      <c r="G4573" t="s">
        <v>13</v>
      </c>
      <c r="H4573" s="2">
        <v>4290.3599999999997</v>
      </c>
    </row>
    <row r="4574" spans="1:8">
      <c r="A4574" t="s">
        <v>116</v>
      </c>
      <c r="B4574" t="s">
        <v>117</v>
      </c>
      <c r="C4574" t="s">
        <v>32</v>
      </c>
      <c r="D4574" t="s">
        <v>29</v>
      </c>
      <c r="E4574">
        <v>2008</v>
      </c>
      <c r="F4574" t="s">
        <v>22</v>
      </c>
      <c r="G4574" t="s">
        <v>13</v>
      </c>
      <c r="H4574" s="2">
        <v>1904.83</v>
      </c>
    </row>
    <row r="4575" spans="1:8">
      <c r="A4575" t="s">
        <v>116</v>
      </c>
      <c r="B4575" t="s">
        <v>117</v>
      </c>
      <c r="C4575" t="s">
        <v>32</v>
      </c>
      <c r="D4575" t="s">
        <v>29</v>
      </c>
      <c r="E4575">
        <v>2008</v>
      </c>
      <c r="F4575" t="s">
        <v>18</v>
      </c>
      <c r="G4575" t="s">
        <v>17</v>
      </c>
      <c r="H4575" s="2">
        <v>1753.54</v>
      </c>
    </row>
    <row r="4576" spans="1:8">
      <c r="A4576" t="s">
        <v>116</v>
      </c>
      <c r="B4576" t="s">
        <v>117</v>
      </c>
      <c r="C4576" t="s">
        <v>32</v>
      </c>
      <c r="D4576" t="s">
        <v>29</v>
      </c>
      <c r="E4576">
        <v>2008</v>
      </c>
      <c r="F4576" t="s">
        <v>14</v>
      </c>
      <c r="G4576" t="s">
        <v>13</v>
      </c>
      <c r="H4576" s="2">
        <v>189678.47</v>
      </c>
    </row>
    <row r="4577" spans="1:8">
      <c r="A4577" t="s">
        <v>116</v>
      </c>
      <c r="B4577" t="s">
        <v>117</v>
      </c>
      <c r="C4577" t="s">
        <v>32</v>
      </c>
      <c r="D4577" t="s">
        <v>29</v>
      </c>
      <c r="E4577">
        <v>2009</v>
      </c>
      <c r="F4577" t="s">
        <v>22</v>
      </c>
      <c r="G4577" t="s">
        <v>15</v>
      </c>
      <c r="H4577" s="2">
        <v>14421.52</v>
      </c>
    </row>
    <row r="4578" spans="1:8">
      <c r="A4578" t="s">
        <v>116</v>
      </c>
      <c r="B4578" t="s">
        <v>117</v>
      </c>
      <c r="C4578" t="s">
        <v>32</v>
      </c>
      <c r="D4578" t="s">
        <v>29</v>
      </c>
      <c r="E4578">
        <v>2009</v>
      </c>
      <c r="F4578" t="s">
        <v>12</v>
      </c>
      <c r="G4578" t="s">
        <v>15</v>
      </c>
      <c r="H4578" s="2">
        <v>5532.3</v>
      </c>
    </row>
    <row r="4579" spans="1:8">
      <c r="A4579" t="s">
        <v>116</v>
      </c>
      <c r="B4579" t="s">
        <v>117</v>
      </c>
      <c r="C4579" t="s">
        <v>32</v>
      </c>
      <c r="D4579" t="s">
        <v>29</v>
      </c>
      <c r="E4579">
        <v>2009</v>
      </c>
      <c r="F4579" t="s">
        <v>21</v>
      </c>
      <c r="G4579" t="s">
        <v>19</v>
      </c>
      <c r="H4579" s="2">
        <v>0</v>
      </c>
    </row>
    <row r="4580" spans="1:8">
      <c r="A4580" t="s">
        <v>116</v>
      </c>
      <c r="B4580" t="s">
        <v>117</v>
      </c>
      <c r="C4580" t="s">
        <v>32</v>
      </c>
      <c r="D4580" t="s">
        <v>29</v>
      </c>
      <c r="E4580">
        <v>2009</v>
      </c>
      <c r="F4580" t="s">
        <v>16</v>
      </c>
      <c r="G4580" t="s">
        <v>15</v>
      </c>
      <c r="H4580" s="2">
        <v>21399.1</v>
      </c>
    </row>
    <row r="4581" spans="1:8">
      <c r="A4581" t="s">
        <v>116</v>
      </c>
      <c r="B4581" t="s">
        <v>117</v>
      </c>
      <c r="C4581" t="s">
        <v>32</v>
      </c>
      <c r="D4581" t="s">
        <v>29</v>
      </c>
      <c r="E4581">
        <v>2011</v>
      </c>
      <c r="F4581" t="s">
        <v>12</v>
      </c>
      <c r="G4581" t="s">
        <v>19</v>
      </c>
      <c r="H4581" s="2">
        <v>0</v>
      </c>
    </row>
    <row r="4582" spans="1:8">
      <c r="A4582" t="s">
        <v>116</v>
      </c>
      <c r="B4582" t="s">
        <v>117</v>
      </c>
      <c r="C4582" t="s">
        <v>32</v>
      </c>
      <c r="D4582" t="s">
        <v>29</v>
      </c>
      <c r="E4582">
        <v>2011</v>
      </c>
      <c r="F4582" t="s">
        <v>18</v>
      </c>
      <c r="G4582" t="s">
        <v>13</v>
      </c>
      <c r="H4582" s="2">
        <v>23893.93</v>
      </c>
    </row>
    <row r="4583" spans="1:8">
      <c r="A4583" t="s">
        <v>116</v>
      </c>
      <c r="B4583" t="s">
        <v>117</v>
      </c>
      <c r="C4583" t="s">
        <v>32</v>
      </c>
      <c r="D4583" t="s">
        <v>29</v>
      </c>
      <c r="E4583">
        <v>2011</v>
      </c>
      <c r="F4583" t="s">
        <v>16</v>
      </c>
      <c r="G4583" t="s">
        <v>13</v>
      </c>
      <c r="H4583" s="2">
        <v>3678.39</v>
      </c>
    </row>
    <row r="4584" spans="1:8">
      <c r="A4584" t="s">
        <v>116</v>
      </c>
      <c r="B4584" t="s">
        <v>117</v>
      </c>
      <c r="C4584" t="s">
        <v>32</v>
      </c>
      <c r="D4584" t="s">
        <v>29</v>
      </c>
      <c r="E4584">
        <v>2011</v>
      </c>
      <c r="F4584" t="s">
        <v>16</v>
      </c>
      <c r="G4584" t="s">
        <v>19</v>
      </c>
      <c r="H4584" s="2">
        <v>0</v>
      </c>
    </row>
    <row r="4585" spans="1:8">
      <c r="A4585" t="s">
        <v>116</v>
      </c>
      <c r="B4585" t="s">
        <v>117</v>
      </c>
      <c r="C4585" t="s">
        <v>32</v>
      </c>
      <c r="D4585" t="s">
        <v>29</v>
      </c>
      <c r="E4585">
        <v>2012</v>
      </c>
      <c r="F4585" t="s">
        <v>20</v>
      </c>
      <c r="G4585" t="s">
        <v>19</v>
      </c>
      <c r="H4585" s="2">
        <v>0</v>
      </c>
    </row>
    <row r="4586" spans="1:8">
      <c r="A4586" t="s">
        <v>116</v>
      </c>
      <c r="B4586" t="s">
        <v>117</v>
      </c>
      <c r="C4586" t="s">
        <v>32</v>
      </c>
      <c r="D4586" t="s">
        <v>29</v>
      </c>
      <c r="E4586">
        <v>2012</v>
      </c>
      <c r="F4586" t="s">
        <v>14</v>
      </c>
      <c r="G4586" t="s">
        <v>13</v>
      </c>
      <c r="H4586" s="2">
        <v>165519.37</v>
      </c>
    </row>
    <row r="4587" spans="1:8">
      <c r="A4587" t="s">
        <v>116</v>
      </c>
      <c r="B4587" t="s">
        <v>117</v>
      </c>
      <c r="C4587" t="s">
        <v>32</v>
      </c>
      <c r="D4587" t="s">
        <v>29</v>
      </c>
      <c r="E4587">
        <v>2014</v>
      </c>
      <c r="F4587" t="s">
        <v>22</v>
      </c>
      <c r="G4587" t="s">
        <v>19</v>
      </c>
      <c r="H4587" s="2">
        <v>0</v>
      </c>
    </row>
    <row r="4588" spans="1:8">
      <c r="A4588" t="s">
        <v>116</v>
      </c>
      <c r="B4588" t="s">
        <v>117</v>
      </c>
      <c r="C4588" t="s">
        <v>32</v>
      </c>
      <c r="D4588" t="s">
        <v>29</v>
      </c>
      <c r="E4588">
        <v>2014</v>
      </c>
      <c r="F4588" t="s">
        <v>12</v>
      </c>
      <c r="G4588" t="s">
        <v>15</v>
      </c>
      <c r="H4588" s="2">
        <v>5232.05</v>
      </c>
    </row>
    <row r="4589" spans="1:8">
      <c r="A4589" t="s">
        <v>116</v>
      </c>
      <c r="B4589" t="s">
        <v>117</v>
      </c>
      <c r="C4589" t="s">
        <v>32</v>
      </c>
      <c r="D4589" t="s">
        <v>29</v>
      </c>
      <c r="E4589">
        <v>2014</v>
      </c>
      <c r="F4589" t="s">
        <v>12</v>
      </c>
      <c r="G4589" t="s">
        <v>17</v>
      </c>
      <c r="H4589" s="2">
        <v>2098.1999999999998</v>
      </c>
    </row>
    <row r="4590" spans="1:8">
      <c r="A4590" t="s">
        <v>116</v>
      </c>
      <c r="B4590" t="s">
        <v>117</v>
      </c>
      <c r="C4590" t="s">
        <v>32</v>
      </c>
      <c r="D4590" t="s">
        <v>29</v>
      </c>
      <c r="E4590">
        <v>2014</v>
      </c>
      <c r="F4590" t="s">
        <v>18</v>
      </c>
      <c r="G4590" t="s">
        <v>15</v>
      </c>
      <c r="H4590" s="2">
        <v>1719.53</v>
      </c>
    </row>
    <row r="4591" spans="1:8">
      <c r="A4591" t="s">
        <v>116</v>
      </c>
      <c r="B4591" t="s">
        <v>117</v>
      </c>
      <c r="C4591" t="s">
        <v>32</v>
      </c>
      <c r="D4591" t="s">
        <v>29</v>
      </c>
      <c r="E4591">
        <v>2014</v>
      </c>
      <c r="F4591" t="s">
        <v>18</v>
      </c>
      <c r="G4591" t="s">
        <v>17</v>
      </c>
      <c r="H4591" s="2">
        <v>1645.53</v>
      </c>
    </row>
    <row r="4592" spans="1:8">
      <c r="A4592" t="s">
        <v>116</v>
      </c>
      <c r="B4592" t="s">
        <v>117</v>
      </c>
      <c r="C4592" t="s">
        <v>32</v>
      </c>
      <c r="D4592" t="s">
        <v>29</v>
      </c>
      <c r="E4592">
        <v>2014</v>
      </c>
      <c r="F4592" t="s">
        <v>20</v>
      </c>
      <c r="G4592" t="s">
        <v>19</v>
      </c>
      <c r="H4592" s="2">
        <v>0</v>
      </c>
    </row>
    <row r="4593" spans="1:8">
      <c r="A4593" t="s">
        <v>116</v>
      </c>
      <c r="B4593" t="s">
        <v>117</v>
      </c>
      <c r="C4593" t="s">
        <v>32</v>
      </c>
      <c r="D4593" t="s">
        <v>29</v>
      </c>
      <c r="E4593">
        <v>2015</v>
      </c>
      <c r="F4593" t="s">
        <v>22</v>
      </c>
      <c r="G4593" t="s">
        <v>19</v>
      </c>
      <c r="H4593" s="2">
        <v>0</v>
      </c>
    </row>
    <row r="4594" spans="1:8">
      <c r="A4594" t="s">
        <v>116</v>
      </c>
      <c r="B4594" t="s">
        <v>117</v>
      </c>
      <c r="C4594" t="s">
        <v>32</v>
      </c>
      <c r="D4594" t="s">
        <v>29</v>
      </c>
      <c r="E4594">
        <v>2015</v>
      </c>
      <c r="F4594" t="s">
        <v>20</v>
      </c>
      <c r="G4594" t="s">
        <v>17</v>
      </c>
      <c r="H4594" s="2">
        <v>-154.62</v>
      </c>
    </row>
    <row r="4595" spans="1:8">
      <c r="A4595" t="s">
        <v>116</v>
      </c>
      <c r="B4595" t="s">
        <v>117</v>
      </c>
      <c r="C4595" t="s">
        <v>32</v>
      </c>
      <c r="D4595" t="s">
        <v>29</v>
      </c>
      <c r="E4595">
        <v>2016</v>
      </c>
      <c r="F4595" t="s">
        <v>22</v>
      </c>
      <c r="G4595" t="s">
        <v>17</v>
      </c>
      <c r="H4595" s="2">
        <v>3886.47</v>
      </c>
    </row>
    <row r="4596" spans="1:8">
      <c r="A4596" t="s">
        <v>116</v>
      </c>
      <c r="B4596" t="s">
        <v>117</v>
      </c>
      <c r="C4596" t="s">
        <v>32</v>
      </c>
      <c r="D4596" t="s">
        <v>29</v>
      </c>
      <c r="E4596">
        <v>2016</v>
      </c>
      <c r="F4596" t="s">
        <v>20</v>
      </c>
      <c r="G4596" t="s">
        <v>15</v>
      </c>
      <c r="H4596" s="2">
        <v>-162.55000000000001</v>
      </c>
    </row>
    <row r="4597" spans="1:8">
      <c r="A4597" t="s">
        <v>116</v>
      </c>
      <c r="B4597" t="s">
        <v>117</v>
      </c>
      <c r="C4597" t="s">
        <v>32</v>
      </c>
      <c r="D4597" t="s">
        <v>29</v>
      </c>
      <c r="E4597">
        <v>2016</v>
      </c>
      <c r="F4597" t="s">
        <v>20</v>
      </c>
      <c r="G4597" t="s">
        <v>19</v>
      </c>
      <c r="H4597" s="2">
        <v>0</v>
      </c>
    </row>
    <row r="4598" spans="1:8">
      <c r="A4598" t="s">
        <v>116</v>
      </c>
      <c r="B4598" t="s">
        <v>117</v>
      </c>
      <c r="C4598" t="s">
        <v>32</v>
      </c>
      <c r="D4598" t="s">
        <v>29</v>
      </c>
      <c r="E4598">
        <v>2016</v>
      </c>
      <c r="F4598" t="s">
        <v>21</v>
      </c>
      <c r="G4598" t="s">
        <v>17</v>
      </c>
      <c r="H4598" s="2">
        <v>548.91999999999996</v>
      </c>
    </row>
    <row r="4599" spans="1:8">
      <c r="A4599" t="s">
        <v>116</v>
      </c>
      <c r="B4599" t="s">
        <v>117</v>
      </c>
      <c r="C4599" t="s">
        <v>32</v>
      </c>
      <c r="D4599" t="s">
        <v>29</v>
      </c>
      <c r="E4599">
        <v>2017</v>
      </c>
      <c r="F4599" t="s">
        <v>14</v>
      </c>
      <c r="G4599" t="s">
        <v>19</v>
      </c>
      <c r="H4599" s="2">
        <v>0</v>
      </c>
    </row>
    <row r="4600" spans="1:8">
      <c r="A4600" t="s">
        <v>116</v>
      </c>
      <c r="B4600" t="s">
        <v>117</v>
      </c>
      <c r="C4600" t="s">
        <v>32</v>
      </c>
      <c r="D4600" t="s">
        <v>29</v>
      </c>
      <c r="E4600">
        <v>2017</v>
      </c>
      <c r="F4600" t="s">
        <v>21</v>
      </c>
      <c r="G4600" t="s">
        <v>19</v>
      </c>
      <c r="H4600" s="2">
        <v>0</v>
      </c>
    </row>
    <row r="4601" spans="1:8">
      <c r="A4601" t="s">
        <v>116</v>
      </c>
      <c r="B4601" t="s">
        <v>117</v>
      </c>
      <c r="C4601" t="s">
        <v>32</v>
      </c>
      <c r="D4601" t="s">
        <v>29</v>
      </c>
      <c r="E4601">
        <v>2017</v>
      </c>
      <c r="F4601" t="s">
        <v>16</v>
      </c>
      <c r="G4601" t="s">
        <v>15</v>
      </c>
      <c r="H4601" s="2">
        <v>22114.29</v>
      </c>
    </row>
    <row r="4602" spans="1:8">
      <c r="A4602" t="s">
        <v>116</v>
      </c>
      <c r="B4602" t="s">
        <v>117</v>
      </c>
      <c r="C4602" t="s">
        <v>32</v>
      </c>
      <c r="D4602" t="s">
        <v>29</v>
      </c>
      <c r="E4602">
        <v>2018</v>
      </c>
      <c r="F4602" t="s">
        <v>20</v>
      </c>
      <c r="G4602" t="s">
        <v>17</v>
      </c>
      <c r="H4602" s="2">
        <v>-156.87</v>
      </c>
    </row>
    <row r="4603" spans="1:8">
      <c r="A4603" t="s">
        <v>116</v>
      </c>
      <c r="B4603" t="s">
        <v>117</v>
      </c>
      <c r="C4603" t="s">
        <v>32</v>
      </c>
      <c r="D4603" t="s">
        <v>29</v>
      </c>
      <c r="E4603">
        <v>2019</v>
      </c>
      <c r="F4603" t="s">
        <v>12</v>
      </c>
      <c r="G4603" t="s">
        <v>13</v>
      </c>
      <c r="H4603" s="2">
        <v>57476.51</v>
      </c>
    </row>
    <row r="4604" spans="1:8">
      <c r="A4604" t="s">
        <v>116</v>
      </c>
      <c r="B4604" t="s">
        <v>117</v>
      </c>
      <c r="C4604" t="s">
        <v>32</v>
      </c>
      <c r="D4604" t="s">
        <v>29</v>
      </c>
      <c r="E4604">
        <v>2019</v>
      </c>
      <c r="F4604" t="s">
        <v>12</v>
      </c>
      <c r="G4604" t="s">
        <v>17</v>
      </c>
      <c r="H4604" s="2">
        <v>1946.63</v>
      </c>
    </row>
    <row r="4605" spans="1:8">
      <c r="A4605" t="s">
        <v>116</v>
      </c>
      <c r="B4605" t="s">
        <v>117</v>
      </c>
      <c r="C4605" t="s">
        <v>32</v>
      </c>
      <c r="D4605" t="s">
        <v>29</v>
      </c>
      <c r="E4605">
        <v>2019</v>
      </c>
      <c r="F4605" t="s">
        <v>18</v>
      </c>
      <c r="G4605" t="s">
        <v>19</v>
      </c>
      <c r="H4605" s="2">
        <v>1507.09</v>
      </c>
    </row>
    <row r="4606" spans="1:8">
      <c r="A4606" t="s">
        <v>116</v>
      </c>
      <c r="B4606" t="s">
        <v>117</v>
      </c>
      <c r="C4606" t="s">
        <v>32</v>
      </c>
      <c r="D4606" t="s">
        <v>29</v>
      </c>
      <c r="E4606">
        <v>2019</v>
      </c>
      <c r="F4606" t="s">
        <v>21</v>
      </c>
      <c r="G4606" t="s">
        <v>19</v>
      </c>
      <c r="H4606" s="2">
        <v>0</v>
      </c>
    </row>
    <row r="4607" spans="1:8">
      <c r="A4607" t="s">
        <v>116</v>
      </c>
      <c r="B4607" t="s">
        <v>117</v>
      </c>
      <c r="C4607" t="s">
        <v>32</v>
      </c>
      <c r="D4607" t="s">
        <v>29</v>
      </c>
      <c r="E4607">
        <v>2020</v>
      </c>
      <c r="F4607" t="s">
        <v>14</v>
      </c>
      <c r="G4607" t="s">
        <v>15</v>
      </c>
      <c r="H4607" s="2">
        <v>4707.58</v>
      </c>
    </row>
    <row r="4608" spans="1:8">
      <c r="A4608" t="s">
        <v>116</v>
      </c>
      <c r="B4608" t="s">
        <v>117</v>
      </c>
      <c r="C4608" t="s">
        <v>32</v>
      </c>
      <c r="D4608" t="s">
        <v>29</v>
      </c>
      <c r="E4608">
        <v>2020</v>
      </c>
      <c r="F4608" t="s">
        <v>21</v>
      </c>
      <c r="G4608" t="s">
        <v>19</v>
      </c>
      <c r="H4608" s="2">
        <v>0</v>
      </c>
    </row>
    <row r="4609" spans="1:8">
      <c r="A4609" t="s">
        <v>116</v>
      </c>
      <c r="B4609" t="s">
        <v>117</v>
      </c>
      <c r="C4609" t="s">
        <v>32</v>
      </c>
      <c r="D4609" t="s">
        <v>29</v>
      </c>
      <c r="E4609">
        <v>2020</v>
      </c>
      <c r="F4609" t="s">
        <v>16</v>
      </c>
      <c r="G4609" t="s">
        <v>17</v>
      </c>
      <c r="H4609" s="2">
        <v>1146.1199999999999</v>
      </c>
    </row>
    <row r="4610" spans="1:8">
      <c r="A4610" t="s">
        <v>116</v>
      </c>
      <c r="B4610" t="s">
        <v>117</v>
      </c>
      <c r="C4610" t="s">
        <v>32</v>
      </c>
      <c r="D4610" t="s">
        <v>29</v>
      </c>
      <c r="E4610">
        <v>2021</v>
      </c>
      <c r="F4610" t="s">
        <v>12</v>
      </c>
      <c r="G4610" t="s">
        <v>13</v>
      </c>
      <c r="H4610" s="2">
        <v>50400.42</v>
      </c>
    </row>
    <row r="4611" spans="1:8">
      <c r="A4611" t="s">
        <v>116</v>
      </c>
      <c r="B4611" t="s">
        <v>117</v>
      </c>
      <c r="C4611" t="s">
        <v>32</v>
      </c>
      <c r="D4611" t="s">
        <v>29</v>
      </c>
      <c r="E4611">
        <v>2021</v>
      </c>
      <c r="F4611" t="s">
        <v>20</v>
      </c>
      <c r="G4611" t="s">
        <v>13</v>
      </c>
      <c r="H4611" s="2">
        <v>-12858.33</v>
      </c>
    </row>
    <row r="4612" spans="1:8">
      <c r="A4612" t="s">
        <v>116</v>
      </c>
      <c r="B4612" t="s">
        <v>117</v>
      </c>
      <c r="C4612" t="s">
        <v>32</v>
      </c>
      <c r="D4612" t="s">
        <v>29</v>
      </c>
      <c r="E4612">
        <v>2021</v>
      </c>
      <c r="F4612" t="s">
        <v>14</v>
      </c>
      <c r="G4612" t="s">
        <v>13</v>
      </c>
      <c r="H4612" s="2">
        <v>146130.46</v>
      </c>
    </row>
    <row r="4613" spans="1:8">
      <c r="A4613" t="s">
        <v>116</v>
      </c>
      <c r="B4613" t="s">
        <v>117</v>
      </c>
      <c r="C4613" t="s">
        <v>32</v>
      </c>
      <c r="D4613" t="s">
        <v>29</v>
      </c>
      <c r="E4613">
        <v>2021</v>
      </c>
      <c r="F4613" t="s">
        <v>21</v>
      </c>
      <c r="G4613" t="s">
        <v>15</v>
      </c>
      <c r="H4613" s="2">
        <v>1026.4000000000001</v>
      </c>
    </row>
    <row r="4614" spans="1:8">
      <c r="A4614" t="s">
        <v>116</v>
      </c>
      <c r="B4614" t="s">
        <v>117</v>
      </c>
      <c r="C4614" t="s">
        <v>32</v>
      </c>
      <c r="D4614" t="s">
        <v>29</v>
      </c>
      <c r="E4614">
        <v>2022</v>
      </c>
      <c r="F4614" t="s">
        <v>12</v>
      </c>
      <c r="G4614" t="s">
        <v>19</v>
      </c>
      <c r="H4614" s="2">
        <v>0</v>
      </c>
    </row>
    <row r="4615" spans="1:8">
      <c r="A4615" t="s">
        <v>116</v>
      </c>
      <c r="B4615" t="s">
        <v>117</v>
      </c>
      <c r="C4615" t="s">
        <v>32</v>
      </c>
      <c r="D4615" t="s">
        <v>29</v>
      </c>
      <c r="E4615">
        <v>2022</v>
      </c>
      <c r="F4615" t="s">
        <v>14</v>
      </c>
      <c r="G4615" t="s">
        <v>13</v>
      </c>
      <c r="H4615" s="2">
        <v>147653.63</v>
      </c>
    </row>
    <row r="4616" spans="1:8">
      <c r="A4616" t="s">
        <v>116</v>
      </c>
      <c r="B4616" t="s">
        <v>117</v>
      </c>
      <c r="C4616" t="s">
        <v>32</v>
      </c>
      <c r="D4616" t="s">
        <v>29</v>
      </c>
      <c r="E4616">
        <v>2023</v>
      </c>
      <c r="F4616" t="s">
        <v>22</v>
      </c>
      <c r="G4616" t="s">
        <v>17</v>
      </c>
      <c r="H4616" s="2">
        <v>3312.74</v>
      </c>
    </row>
    <row r="4617" spans="1:8">
      <c r="A4617" t="s">
        <v>116</v>
      </c>
      <c r="B4617" t="s">
        <v>117</v>
      </c>
      <c r="C4617" t="s">
        <v>32</v>
      </c>
      <c r="D4617" t="s">
        <v>29</v>
      </c>
      <c r="E4617">
        <v>2023</v>
      </c>
      <c r="F4617" t="s">
        <v>12</v>
      </c>
      <c r="G4617" t="s">
        <v>19</v>
      </c>
      <c r="H4617" s="2">
        <v>0</v>
      </c>
    </row>
    <row r="4618" spans="1:8">
      <c r="A4618" t="s">
        <v>116</v>
      </c>
      <c r="B4618" t="s">
        <v>117</v>
      </c>
      <c r="C4618" t="s">
        <v>32</v>
      </c>
      <c r="D4618" t="s">
        <v>29</v>
      </c>
      <c r="E4618">
        <v>2023</v>
      </c>
      <c r="F4618" t="s">
        <v>14</v>
      </c>
      <c r="G4618" t="s">
        <v>19</v>
      </c>
      <c r="H4618" s="2">
        <v>0</v>
      </c>
    </row>
    <row r="4619" spans="1:8">
      <c r="A4619" t="s">
        <v>116</v>
      </c>
      <c r="B4619" t="s">
        <v>117</v>
      </c>
      <c r="C4619" t="s">
        <v>32</v>
      </c>
      <c r="D4619" t="s">
        <v>29</v>
      </c>
      <c r="E4619">
        <v>2023</v>
      </c>
      <c r="F4619" t="s">
        <v>16</v>
      </c>
      <c r="G4619" t="s">
        <v>19</v>
      </c>
      <c r="H4619" s="2">
        <v>0</v>
      </c>
    </row>
    <row r="4620" spans="1:8">
      <c r="A4620" t="s">
        <v>116</v>
      </c>
      <c r="B4620" t="s">
        <v>117</v>
      </c>
      <c r="C4620" t="s">
        <v>32</v>
      </c>
      <c r="D4620" t="s">
        <v>29</v>
      </c>
      <c r="E4620">
        <v>2024</v>
      </c>
      <c r="F4620" t="s">
        <v>20</v>
      </c>
      <c r="G4620" t="s">
        <v>19</v>
      </c>
      <c r="H4620" s="2">
        <v>0</v>
      </c>
    </row>
    <row r="4621" spans="1:8">
      <c r="A4621" t="s">
        <v>116</v>
      </c>
      <c r="B4621" t="s">
        <v>117</v>
      </c>
      <c r="C4621" t="s">
        <v>32</v>
      </c>
      <c r="D4621" t="s">
        <v>29</v>
      </c>
      <c r="E4621">
        <v>2024</v>
      </c>
      <c r="F4621" t="s">
        <v>16</v>
      </c>
      <c r="G4621" t="s">
        <v>17</v>
      </c>
      <c r="H4621" s="2">
        <v>1126.6500000000001</v>
      </c>
    </row>
    <row r="4622" spans="1:8">
      <c r="A4622" t="s">
        <v>118</v>
      </c>
      <c r="B4622" t="s">
        <v>119</v>
      </c>
      <c r="C4622" t="s">
        <v>51</v>
      </c>
      <c r="D4622" t="s">
        <v>29</v>
      </c>
      <c r="E4622">
        <v>1990</v>
      </c>
      <c r="F4622" t="s">
        <v>12</v>
      </c>
      <c r="G4622" t="s">
        <v>13</v>
      </c>
      <c r="H4622" s="2">
        <v>168142.62</v>
      </c>
    </row>
    <row r="4623" spans="1:8">
      <c r="A4623" t="s">
        <v>118</v>
      </c>
      <c r="B4623" t="s">
        <v>119</v>
      </c>
      <c r="C4623" t="s">
        <v>51</v>
      </c>
      <c r="D4623" t="s">
        <v>29</v>
      </c>
      <c r="E4623">
        <v>1990</v>
      </c>
      <c r="F4623" t="s">
        <v>18</v>
      </c>
      <c r="G4623" t="s">
        <v>13</v>
      </c>
      <c r="H4623" s="2">
        <v>80806.210000000006</v>
      </c>
    </row>
    <row r="4624" spans="1:8">
      <c r="A4624" t="s">
        <v>118</v>
      </c>
      <c r="B4624" t="s">
        <v>119</v>
      </c>
      <c r="C4624" t="s">
        <v>51</v>
      </c>
      <c r="D4624" t="s">
        <v>29</v>
      </c>
      <c r="E4624">
        <v>1990</v>
      </c>
      <c r="F4624" t="s">
        <v>20</v>
      </c>
      <c r="G4624" t="s">
        <v>15</v>
      </c>
      <c r="H4624" s="2">
        <v>311.92</v>
      </c>
    </row>
    <row r="4625" spans="1:8">
      <c r="A4625" t="s">
        <v>118</v>
      </c>
      <c r="B4625" t="s">
        <v>119</v>
      </c>
      <c r="C4625" t="s">
        <v>51</v>
      </c>
      <c r="D4625" t="s">
        <v>29</v>
      </c>
      <c r="E4625">
        <v>1990</v>
      </c>
      <c r="F4625" t="s">
        <v>20</v>
      </c>
      <c r="G4625" t="s">
        <v>13</v>
      </c>
      <c r="H4625" s="2">
        <v>32961.72</v>
      </c>
    </row>
    <row r="4626" spans="1:8">
      <c r="A4626" t="s">
        <v>118</v>
      </c>
      <c r="B4626" t="s">
        <v>119</v>
      </c>
      <c r="C4626" t="s">
        <v>51</v>
      </c>
      <c r="D4626" t="s">
        <v>29</v>
      </c>
      <c r="E4626">
        <v>1990</v>
      </c>
      <c r="F4626" t="s">
        <v>14</v>
      </c>
      <c r="G4626" t="s">
        <v>15</v>
      </c>
      <c r="H4626" s="2">
        <v>11543.84</v>
      </c>
    </row>
    <row r="4627" spans="1:8">
      <c r="A4627" t="s">
        <v>118</v>
      </c>
      <c r="B4627" t="s">
        <v>119</v>
      </c>
      <c r="C4627" t="s">
        <v>51</v>
      </c>
      <c r="D4627" t="s">
        <v>29</v>
      </c>
      <c r="E4627">
        <v>1991</v>
      </c>
      <c r="F4627" t="s">
        <v>18</v>
      </c>
      <c r="G4627" t="s">
        <v>13</v>
      </c>
      <c r="H4627" s="2">
        <v>77558.899999999994</v>
      </c>
    </row>
    <row r="4628" spans="1:8">
      <c r="A4628" t="s">
        <v>118</v>
      </c>
      <c r="B4628" t="s">
        <v>119</v>
      </c>
      <c r="C4628" t="s">
        <v>51</v>
      </c>
      <c r="D4628" t="s">
        <v>29</v>
      </c>
      <c r="E4628">
        <v>1991</v>
      </c>
      <c r="F4628" t="s">
        <v>20</v>
      </c>
      <c r="G4628" t="s">
        <v>13</v>
      </c>
      <c r="H4628" s="2">
        <v>33736.57</v>
      </c>
    </row>
    <row r="4629" spans="1:8">
      <c r="A4629" t="s">
        <v>118</v>
      </c>
      <c r="B4629" t="s">
        <v>119</v>
      </c>
      <c r="C4629" t="s">
        <v>51</v>
      </c>
      <c r="D4629" t="s">
        <v>29</v>
      </c>
      <c r="E4629">
        <v>1991</v>
      </c>
      <c r="F4629" t="s">
        <v>14</v>
      </c>
      <c r="G4629" t="s">
        <v>17</v>
      </c>
      <c r="H4629" s="2">
        <v>8325.61</v>
      </c>
    </row>
    <row r="4630" spans="1:8">
      <c r="A4630" t="s">
        <v>118</v>
      </c>
      <c r="B4630" t="s">
        <v>119</v>
      </c>
      <c r="C4630" t="s">
        <v>51</v>
      </c>
      <c r="D4630" t="s">
        <v>29</v>
      </c>
      <c r="E4630">
        <v>1991</v>
      </c>
      <c r="F4630" t="s">
        <v>16</v>
      </c>
      <c r="G4630" t="s">
        <v>15</v>
      </c>
      <c r="H4630" s="2">
        <v>15130.99</v>
      </c>
    </row>
    <row r="4631" spans="1:8">
      <c r="A4631" t="s">
        <v>118</v>
      </c>
      <c r="B4631" t="s">
        <v>119</v>
      </c>
      <c r="C4631" t="s">
        <v>51</v>
      </c>
      <c r="D4631" t="s">
        <v>29</v>
      </c>
      <c r="E4631">
        <v>1992</v>
      </c>
      <c r="F4631" t="s">
        <v>22</v>
      </c>
      <c r="G4631" t="s">
        <v>17</v>
      </c>
      <c r="H4631" s="2">
        <v>398.85</v>
      </c>
    </row>
    <row r="4632" spans="1:8">
      <c r="A4632" t="s">
        <v>118</v>
      </c>
      <c r="B4632" t="s">
        <v>119</v>
      </c>
      <c r="C4632" t="s">
        <v>51</v>
      </c>
      <c r="D4632" t="s">
        <v>29</v>
      </c>
      <c r="E4632">
        <v>1992</v>
      </c>
      <c r="F4632" t="s">
        <v>18</v>
      </c>
      <c r="G4632" t="s">
        <v>17</v>
      </c>
      <c r="H4632" s="2">
        <v>4244.6899999999996</v>
      </c>
    </row>
    <row r="4633" spans="1:8">
      <c r="A4633" t="s">
        <v>118</v>
      </c>
      <c r="B4633" t="s">
        <v>119</v>
      </c>
      <c r="C4633" t="s">
        <v>51</v>
      </c>
      <c r="D4633" t="s">
        <v>29</v>
      </c>
      <c r="E4633">
        <v>1994</v>
      </c>
      <c r="F4633" t="s">
        <v>22</v>
      </c>
      <c r="G4633" t="s">
        <v>15</v>
      </c>
      <c r="H4633" s="2">
        <v>1330.92</v>
      </c>
    </row>
    <row r="4634" spans="1:8">
      <c r="A4634" t="s">
        <v>118</v>
      </c>
      <c r="B4634" t="s">
        <v>119</v>
      </c>
      <c r="C4634" t="s">
        <v>51</v>
      </c>
      <c r="D4634" t="s">
        <v>29</v>
      </c>
      <c r="E4634">
        <v>1994</v>
      </c>
      <c r="F4634" t="s">
        <v>12</v>
      </c>
      <c r="G4634" t="s">
        <v>19</v>
      </c>
      <c r="H4634" s="2">
        <v>0</v>
      </c>
    </row>
    <row r="4635" spans="1:8">
      <c r="A4635" t="s">
        <v>118</v>
      </c>
      <c r="B4635" t="s">
        <v>119</v>
      </c>
      <c r="C4635" t="s">
        <v>51</v>
      </c>
      <c r="D4635" t="s">
        <v>29</v>
      </c>
      <c r="E4635">
        <v>1994</v>
      </c>
      <c r="F4635" t="s">
        <v>18</v>
      </c>
      <c r="G4635" t="s">
        <v>19</v>
      </c>
      <c r="H4635" s="2">
        <v>4472.59</v>
      </c>
    </row>
    <row r="4636" spans="1:8">
      <c r="A4636" t="s">
        <v>118</v>
      </c>
      <c r="B4636" t="s">
        <v>119</v>
      </c>
      <c r="C4636" t="s">
        <v>51</v>
      </c>
      <c r="D4636" t="s">
        <v>29</v>
      </c>
      <c r="E4636">
        <v>1995</v>
      </c>
      <c r="F4636" t="s">
        <v>21</v>
      </c>
      <c r="G4636" t="s">
        <v>17</v>
      </c>
      <c r="H4636" s="2">
        <v>593.07000000000005</v>
      </c>
    </row>
    <row r="4637" spans="1:8">
      <c r="A4637" t="s">
        <v>118</v>
      </c>
      <c r="B4637" t="s">
        <v>119</v>
      </c>
      <c r="C4637" t="s">
        <v>51</v>
      </c>
      <c r="D4637" t="s">
        <v>29</v>
      </c>
      <c r="E4637">
        <v>1996</v>
      </c>
      <c r="F4637" t="s">
        <v>20</v>
      </c>
      <c r="G4637" t="s">
        <v>13</v>
      </c>
      <c r="H4637" s="2">
        <v>32215.42</v>
      </c>
    </row>
    <row r="4638" spans="1:8">
      <c r="A4638" t="s">
        <v>118</v>
      </c>
      <c r="B4638" t="s">
        <v>119</v>
      </c>
      <c r="C4638" t="s">
        <v>51</v>
      </c>
      <c r="D4638" t="s">
        <v>29</v>
      </c>
      <c r="E4638">
        <v>1997</v>
      </c>
      <c r="F4638" t="s">
        <v>21</v>
      </c>
      <c r="G4638" t="s">
        <v>13</v>
      </c>
      <c r="H4638" s="2">
        <v>51994.75</v>
      </c>
    </row>
    <row r="4639" spans="1:8">
      <c r="A4639" t="s">
        <v>118</v>
      </c>
      <c r="B4639" t="s">
        <v>119</v>
      </c>
      <c r="C4639" t="s">
        <v>51</v>
      </c>
      <c r="D4639" t="s">
        <v>29</v>
      </c>
      <c r="E4639">
        <v>1998</v>
      </c>
      <c r="F4639" t="s">
        <v>18</v>
      </c>
      <c r="G4639" t="s">
        <v>19</v>
      </c>
      <c r="H4639" s="2">
        <v>5037.83</v>
      </c>
    </row>
    <row r="4640" spans="1:8">
      <c r="A4640" t="s">
        <v>118</v>
      </c>
      <c r="B4640" t="s">
        <v>119</v>
      </c>
      <c r="C4640" t="s">
        <v>51</v>
      </c>
      <c r="D4640" t="s">
        <v>29</v>
      </c>
      <c r="E4640">
        <v>1999</v>
      </c>
      <c r="F4640" t="s">
        <v>12</v>
      </c>
      <c r="G4640" t="s">
        <v>19</v>
      </c>
      <c r="H4640" s="2">
        <v>0</v>
      </c>
    </row>
    <row r="4641" spans="1:8">
      <c r="A4641" t="s">
        <v>118</v>
      </c>
      <c r="B4641" t="s">
        <v>119</v>
      </c>
      <c r="C4641" t="s">
        <v>51</v>
      </c>
      <c r="D4641" t="s">
        <v>29</v>
      </c>
      <c r="E4641">
        <v>1999</v>
      </c>
      <c r="F4641" t="s">
        <v>18</v>
      </c>
      <c r="G4641" t="s">
        <v>13</v>
      </c>
      <c r="H4641" s="2">
        <v>75307.8</v>
      </c>
    </row>
    <row r="4642" spans="1:8">
      <c r="A4642" t="s">
        <v>118</v>
      </c>
      <c r="B4642" t="s">
        <v>119</v>
      </c>
      <c r="C4642" t="s">
        <v>51</v>
      </c>
      <c r="D4642" t="s">
        <v>29</v>
      </c>
      <c r="E4642">
        <v>2000</v>
      </c>
      <c r="F4642" t="s">
        <v>18</v>
      </c>
      <c r="G4642" t="s">
        <v>13</v>
      </c>
      <c r="H4642" s="2">
        <v>81234.41</v>
      </c>
    </row>
    <row r="4643" spans="1:8">
      <c r="A4643" t="s">
        <v>118</v>
      </c>
      <c r="B4643" t="s">
        <v>119</v>
      </c>
      <c r="C4643" t="s">
        <v>51</v>
      </c>
      <c r="D4643" t="s">
        <v>29</v>
      </c>
      <c r="E4643">
        <v>2000</v>
      </c>
      <c r="F4643" t="s">
        <v>14</v>
      </c>
      <c r="G4643" t="s">
        <v>19</v>
      </c>
      <c r="H4643" s="2">
        <v>0</v>
      </c>
    </row>
    <row r="4644" spans="1:8">
      <c r="A4644" t="s">
        <v>118</v>
      </c>
      <c r="B4644" t="s">
        <v>119</v>
      </c>
      <c r="C4644" t="s">
        <v>51</v>
      </c>
      <c r="D4644" t="s">
        <v>29</v>
      </c>
      <c r="E4644">
        <v>2000</v>
      </c>
      <c r="F4644" t="s">
        <v>21</v>
      </c>
      <c r="G4644" t="s">
        <v>15</v>
      </c>
      <c r="H4644" s="2">
        <v>1196.1300000000001</v>
      </c>
    </row>
    <row r="4645" spans="1:8">
      <c r="A4645" t="s">
        <v>118</v>
      </c>
      <c r="B4645" t="s">
        <v>119</v>
      </c>
      <c r="C4645" t="s">
        <v>51</v>
      </c>
      <c r="D4645" t="s">
        <v>29</v>
      </c>
      <c r="E4645">
        <v>2001</v>
      </c>
      <c r="F4645" t="s">
        <v>14</v>
      </c>
      <c r="G4645" t="s">
        <v>19</v>
      </c>
      <c r="H4645" s="2">
        <v>0</v>
      </c>
    </row>
    <row r="4646" spans="1:8">
      <c r="A4646" t="s">
        <v>118</v>
      </c>
      <c r="B4646" t="s">
        <v>119</v>
      </c>
      <c r="C4646" t="s">
        <v>51</v>
      </c>
      <c r="D4646" t="s">
        <v>29</v>
      </c>
      <c r="E4646">
        <v>2001</v>
      </c>
      <c r="F4646" t="s">
        <v>16</v>
      </c>
      <c r="G4646" t="s">
        <v>19</v>
      </c>
      <c r="H4646" s="2">
        <v>0</v>
      </c>
    </row>
    <row r="4647" spans="1:8">
      <c r="A4647" t="s">
        <v>118</v>
      </c>
      <c r="B4647" t="s">
        <v>119</v>
      </c>
      <c r="C4647" t="s">
        <v>51</v>
      </c>
      <c r="D4647" t="s">
        <v>29</v>
      </c>
      <c r="E4647">
        <v>2002</v>
      </c>
      <c r="F4647" t="s">
        <v>16</v>
      </c>
      <c r="G4647" t="s">
        <v>13</v>
      </c>
      <c r="H4647" s="2">
        <v>3244.58</v>
      </c>
    </row>
    <row r="4648" spans="1:8">
      <c r="A4648" t="s">
        <v>118</v>
      </c>
      <c r="B4648" t="s">
        <v>119</v>
      </c>
      <c r="C4648" t="s">
        <v>51</v>
      </c>
      <c r="D4648" t="s">
        <v>29</v>
      </c>
      <c r="E4648">
        <v>2003</v>
      </c>
      <c r="F4648" t="s">
        <v>16</v>
      </c>
      <c r="G4648" t="s">
        <v>17</v>
      </c>
      <c r="H4648" s="2">
        <v>1101.49</v>
      </c>
    </row>
    <row r="4649" spans="1:8">
      <c r="A4649" t="s">
        <v>118</v>
      </c>
      <c r="B4649" t="s">
        <v>119</v>
      </c>
      <c r="C4649" t="s">
        <v>51</v>
      </c>
      <c r="D4649" t="s">
        <v>29</v>
      </c>
      <c r="E4649">
        <v>2004</v>
      </c>
      <c r="F4649" t="s">
        <v>16</v>
      </c>
      <c r="G4649" t="s">
        <v>13</v>
      </c>
      <c r="H4649" s="2">
        <v>3560.73</v>
      </c>
    </row>
    <row r="4650" spans="1:8">
      <c r="A4650" t="s">
        <v>118</v>
      </c>
      <c r="B4650" t="s">
        <v>119</v>
      </c>
      <c r="C4650" t="s">
        <v>51</v>
      </c>
      <c r="D4650" t="s">
        <v>29</v>
      </c>
      <c r="E4650">
        <v>2006</v>
      </c>
      <c r="F4650" t="s">
        <v>22</v>
      </c>
      <c r="G4650" t="s">
        <v>13</v>
      </c>
      <c r="H4650" s="2">
        <v>202.12</v>
      </c>
    </row>
    <row r="4651" spans="1:8">
      <c r="A4651" t="s">
        <v>118</v>
      </c>
      <c r="B4651" t="s">
        <v>119</v>
      </c>
      <c r="C4651" t="s">
        <v>51</v>
      </c>
      <c r="D4651" t="s">
        <v>29</v>
      </c>
      <c r="E4651">
        <v>2006</v>
      </c>
      <c r="F4651" t="s">
        <v>21</v>
      </c>
      <c r="G4651" t="s">
        <v>13</v>
      </c>
      <c r="H4651" s="2">
        <v>56761.42</v>
      </c>
    </row>
    <row r="4652" spans="1:8">
      <c r="A4652" t="s">
        <v>118</v>
      </c>
      <c r="B4652" t="s">
        <v>119</v>
      </c>
      <c r="C4652" t="s">
        <v>51</v>
      </c>
      <c r="D4652" t="s">
        <v>29</v>
      </c>
      <c r="E4652">
        <v>2006</v>
      </c>
      <c r="F4652" t="s">
        <v>16</v>
      </c>
      <c r="G4652" t="s">
        <v>17</v>
      </c>
      <c r="H4652" s="2">
        <v>1035.06</v>
      </c>
    </row>
    <row r="4653" spans="1:8">
      <c r="A4653" t="s">
        <v>118</v>
      </c>
      <c r="B4653" t="s">
        <v>119</v>
      </c>
      <c r="C4653" t="s">
        <v>51</v>
      </c>
      <c r="D4653" t="s">
        <v>29</v>
      </c>
      <c r="E4653">
        <v>2007</v>
      </c>
      <c r="F4653" t="s">
        <v>18</v>
      </c>
      <c r="G4653" t="s">
        <v>13</v>
      </c>
      <c r="H4653" s="2">
        <v>82829.48</v>
      </c>
    </row>
    <row r="4654" spans="1:8">
      <c r="A4654" t="s">
        <v>118</v>
      </c>
      <c r="B4654" t="s">
        <v>119</v>
      </c>
      <c r="C4654" t="s">
        <v>51</v>
      </c>
      <c r="D4654" t="s">
        <v>29</v>
      </c>
      <c r="E4654">
        <v>2007</v>
      </c>
      <c r="F4654" t="s">
        <v>20</v>
      </c>
      <c r="G4654" t="s">
        <v>13</v>
      </c>
      <c r="H4654" s="2">
        <v>32507.83</v>
      </c>
    </row>
    <row r="4655" spans="1:8">
      <c r="A4655" t="s">
        <v>118</v>
      </c>
      <c r="B4655" t="s">
        <v>119</v>
      </c>
      <c r="C4655" t="s">
        <v>51</v>
      </c>
      <c r="D4655" t="s">
        <v>29</v>
      </c>
      <c r="E4655">
        <v>2007</v>
      </c>
      <c r="F4655" t="s">
        <v>21</v>
      </c>
      <c r="G4655" t="s">
        <v>15</v>
      </c>
      <c r="H4655" s="2">
        <v>1135.8699999999999</v>
      </c>
    </row>
    <row r="4656" spans="1:8">
      <c r="A4656" t="s">
        <v>118</v>
      </c>
      <c r="B4656" t="s">
        <v>119</v>
      </c>
      <c r="C4656" t="s">
        <v>51</v>
      </c>
      <c r="D4656" t="s">
        <v>29</v>
      </c>
      <c r="E4656">
        <v>2007</v>
      </c>
      <c r="F4656" t="s">
        <v>21</v>
      </c>
      <c r="G4656" t="s">
        <v>13</v>
      </c>
      <c r="H4656" s="2">
        <v>49050.03</v>
      </c>
    </row>
    <row r="4657" spans="1:8">
      <c r="A4657" t="s">
        <v>118</v>
      </c>
      <c r="B4657" t="s">
        <v>119</v>
      </c>
      <c r="C4657" t="s">
        <v>51</v>
      </c>
      <c r="D4657" t="s">
        <v>29</v>
      </c>
      <c r="E4657">
        <v>2007</v>
      </c>
      <c r="F4657" t="s">
        <v>16</v>
      </c>
      <c r="G4657" t="s">
        <v>13</v>
      </c>
      <c r="H4657" s="2">
        <v>3193.08</v>
      </c>
    </row>
    <row r="4658" spans="1:8">
      <c r="A4658" t="s">
        <v>118</v>
      </c>
      <c r="B4658" t="s">
        <v>119</v>
      </c>
      <c r="C4658" t="s">
        <v>51</v>
      </c>
      <c r="D4658" t="s">
        <v>29</v>
      </c>
      <c r="E4658">
        <v>2008</v>
      </c>
      <c r="F4658" t="s">
        <v>12</v>
      </c>
      <c r="G4658" t="s">
        <v>13</v>
      </c>
      <c r="H4658" s="2">
        <v>174934.01</v>
      </c>
    </row>
    <row r="4659" spans="1:8">
      <c r="A4659" t="s">
        <v>118</v>
      </c>
      <c r="B4659" t="s">
        <v>119</v>
      </c>
      <c r="C4659" t="s">
        <v>51</v>
      </c>
      <c r="D4659" t="s">
        <v>29</v>
      </c>
      <c r="E4659">
        <v>2009</v>
      </c>
      <c r="F4659" t="s">
        <v>18</v>
      </c>
      <c r="G4659" t="s">
        <v>17</v>
      </c>
      <c r="H4659" s="2">
        <v>4587.24</v>
      </c>
    </row>
    <row r="4660" spans="1:8">
      <c r="A4660" t="s">
        <v>118</v>
      </c>
      <c r="B4660" t="s">
        <v>119</v>
      </c>
      <c r="C4660" t="s">
        <v>51</v>
      </c>
      <c r="D4660" t="s">
        <v>29</v>
      </c>
      <c r="E4660">
        <v>2009</v>
      </c>
      <c r="F4660" t="s">
        <v>20</v>
      </c>
      <c r="G4660" t="s">
        <v>15</v>
      </c>
      <c r="H4660" s="2">
        <v>329.45</v>
      </c>
    </row>
    <row r="4661" spans="1:8">
      <c r="A4661" t="s">
        <v>118</v>
      </c>
      <c r="B4661" t="s">
        <v>119</v>
      </c>
      <c r="C4661" t="s">
        <v>51</v>
      </c>
      <c r="D4661" t="s">
        <v>29</v>
      </c>
      <c r="E4661">
        <v>2009</v>
      </c>
      <c r="F4661" t="s">
        <v>16</v>
      </c>
      <c r="G4661" t="s">
        <v>15</v>
      </c>
      <c r="H4661" s="2">
        <v>15180.91</v>
      </c>
    </row>
    <row r="4662" spans="1:8">
      <c r="A4662" t="s">
        <v>118</v>
      </c>
      <c r="B4662" t="s">
        <v>119</v>
      </c>
      <c r="C4662" t="s">
        <v>51</v>
      </c>
      <c r="D4662" t="s">
        <v>29</v>
      </c>
      <c r="E4662">
        <v>2010</v>
      </c>
      <c r="F4662" t="s">
        <v>22</v>
      </c>
      <c r="G4662" t="s">
        <v>19</v>
      </c>
      <c r="H4662" s="2">
        <v>0</v>
      </c>
    </row>
    <row r="4663" spans="1:8">
      <c r="A4663" t="s">
        <v>118</v>
      </c>
      <c r="B4663" t="s">
        <v>119</v>
      </c>
      <c r="C4663" t="s">
        <v>51</v>
      </c>
      <c r="D4663" t="s">
        <v>29</v>
      </c>
      <c r="E4663">
        <v>2010</v>
      </c>
      <c r="F4663" t="s">
        <v>18</v>
      </c>
      <c r="G4663" t="s">
        <v>13</v>
      </c>
      <c r="H4663" s="2">
        <v>84761.49</v>
      </c>
    </row>
    <row r="4664" spans="1:8">
      <c r="A4664" t="s">
        <v>118</v>
      </c>
      <c r="B4664" t="s">
        <v>119</v>
      </c>
      <c r="C4664" t="s">
        <v>51</v>
      </c>
      <c r="D4664" t="s">
        <v>29</v>
      </c>
      <c r="E4664">
        <v>2010</v>
      </c>
      <c r="F4664" t="s">
        <v>20</v>
      </c>
      <c r="G4664" t="s">
        <v>15</v>
      </c>
      <c r="H4664" s="2">
        <v>393.06</v>
      </c>
    </row>
    <row r="4665" spans="1:8">
      <c r="A4665" t="s">
        <v>118</v>
      </c>
      <c r="B4665" t="s">
        <v>119</v>
      </c>
      <c r="C4665" t="s">
        <v>51</v>
      </c>
      <c r="D4665" t="s">
        <v>29</v>
      </c>
      <c r="E4665">
        <v>2010</v>
      </c>
      <c r="F4665" t="s">
        <v>14</v>
      </c>
      <c r="G4665" t="s">
        <v>15</v>
      </c>
      <c r="H4665" s="2">
        <v>13821.34</v>
      </c>
    </row>
    <row r="4666" spans="1:8">
      <c r="A4666" t="s">
        <v>118</v>
      </c>
      <c r="B4666" t="s">
        <v>119</v>
      </c>
      <c r="C4666" t="s">
        <v>51</v>
      </c>
      <c r="D4666" t="s">
        <v>29</v>
      </c>
      <c r="E4666">
        <v>2011</v>
      </c>
      <c r="F4666" t="s">
        <v>22</v>
      </c>
      <c r="G4666" t="s">
        <v>17</v>
      </c>
      <c r="H4666" s="2">
        <v>360.39</v>
      </c>
    </row>
    <row r="4667" spans="1:8">
      <c r="A4667" t="s">
        <v>118</v>
      </c>
      <c r="B4667" t="s">
        <v>119</v>
      </c>
      <c r="C4667" t="s">
        <v>51</v>
      </c>
      <c r="D4667" t="s">
        <v>29</v>
      </c>
      <c r="E4667">
        <v>2012</v>
      </c>
      <c r="F4667" t="s">
        <v>22</v>
      </c>
      <c r="G4667" t="s">
        <v>17</v>
      </c>
      <c r="H4667" s="2">
        <v>423.94</v>
      </c>
    </row>
    <row r="4668" spans="1:8">
      <c r="A4668" t="s">
        <v>118</v>
      </c>
      <c r="B4668" t="s">
        <v>119</v>
      </c>
      <c r="C4668" t="s">
        <v>51</v>
      </c>
      <c r="D4668" t="s">
        <v>29</v>
      </c>
      <c r="E4668">
        <v>2012</v>
      </c>
      <c r="F4668" t="s">
        <v>18</v>
      </c>
      <c r="G4668" t="s">
        <v>13</v>
      </c>
      <c r="H4668" s="2">
        <v>87864.98</v>
      </c>
    </row>
    <row r="4669" spans="1:8">
      <c r="A4669" t="s">
        <v>118</v>
      </c>
      <c r="B4669" t="s">
        <v>119</v>
      </c>
      <c r="C4669" t="s">
        <v>51</v>
      </c>
      <c r="D4669" t="s">
        <v>29</v>
      </c>
      <c r="E4669">
        <v>2012</v>
      </c>
      <c r="F4669" t="s">
        <v>18</v>
      </c>
      <c r="G4669" t="s">
        <v>19</v>
      </c>
      <c r="H4669" s="2">
        <v>4589.13</v>
      </c>
    </row>
    <row r="4670" spans="1:8">
      <c r="A4670" t="s">
        <v>118</v>
      </c>
      <c r="B4670" t="s">
        <v>119</v>
      </c>
      <c r="C4670" t="s">
        <v>51</v>
      </c>
      <c r="D4670" t="s">
        <v>29</v>
      </c>
      <c r="E4670">
        <v>2012</v>
      </c>
      <c r="F4670" t="s">
        <v>21</v>
      </c>
      <c r="G4670" t="s">
        <v>15</v>
      </c>
      <c r="H4670" s="2">
        <v>1069.1600000000001</v>
      </c>
    </row>
    <row r="4671" spans="1:8">
      <c r="A4671" t="s">
        <v>118</v>
      </c>
      <c r="B4671" t="s">
        <v>119</v>
      </c>
      <c r="C4671" t="s">
        <v>51</v>
      </c>
      <c r="D4671" t="s">
        <v>29</v>
      </c>
      <c r="E4671">
        <v>2012</v>
      </c>
      <c r="F4671" t="s">
        <v>21</v>
      </c>
      <c r="G4671" t="s">
        <v>19</v>
      </c>
      <c r="H4671" s="2">
        <v>0</v>
      </c>
    </row>
    <row r="4672" spans="1:8">
      <c r="A4672" t="s">
        <v>118</v>
      </c>
      <c r="B4672" t="s">
        <v>119</v>
      </c>
      <c r="C4672" t="s">
        <v>51</v>
      </c>
      <c r="D4672" t="s">
        <v>29</v>
      </c>
      <c r="E4672">
        <v>2012</v>
      </c>
      <c r="F4672" t="s">
        <v>16</v>
      </c>
      <c r="G4672" t="s">
        <v>15</v>
      </c>
      <c r="H4672" s="2">
        <v>16144.7</v>
      </c>
    </row>
    <row r="4673" spans="1:8">
      <c r="A4673" t="s">
        <v>118</v>
      </c>
      <c r="B4673" t="s">
        <v>119</v>
      </c>
      <c r="C4673" t="s">
        <v>51</v>
      </c>
      <c r="D4673" t="s">
        <v>29</v>
      </c>
      <c r="E4673">
        <v>2013</v>
      </c>
      <c r="F4673" t="s">
        <v>18</v>
      </c>
      <c r="G4673" t="s">
        <v>15</v>
      </c>
      <c r="H4673" s="2">
        <v>4752.91</v>
      </c>
    </row>
    <row r="4674" spans="1:8">
      <c r="A4674" t="s">
        <v>118</v>
      </c>
      <c r="B4674" t="s">
        <v>119</v>
      </c>
      <c r="C4674" t="s">
        <v>51</v>
      </c>
      <c r="D4674" t="s">
        <v>29</v>
      </c>
      <c r="E4674">
        <v>2013</v>
      </c>
      <c r="F4674" t="s">
        <v>16</v>
      </c>
      <c r="G4674" t="s">
        <v>19</v>
      </c>
      <c r="H4674" s="2">
        <v>0</v>
      </c>
    </row>
    <row r="4675" spans="1:8">
      <c r="A4675" t="s">
        <v>118</v>
      </c>
      <c r="B4675" t="s">
        <v>119</v>
      </c>
      <c r="C4675" t="s">
        <v>51</v>
      </c>
      <c r="D4675" t="s">
        <v>29</v>
      </c>
      <c r="E4675">
        <v>2014</v>
      </c>
      <c r="F4675" t="s">
        <v>22</v>
      </c>
      <c r="G4675" t="s">
        <v>19</v>
      </c>
      <c r="H4675" s="2">
        <v>0</v>
      </c>
    </row>
    <row r="4676" spans="1:8">
      <c r="A4676" t="s">
        <v>118</v>
      </c>
      <c r="B4676" t="s">
        <v>119</v>
      </c>
      <c r="C4676" t="s">
        <v>51</v>
      </c>
      <c r="D4676" t="s">
        <v>29</v>
      </c>
      <c r="E4676">
        <v>2014</v>
      </c>
      <c r="F4676" t="s">
        <v>14</v>
      </c>
      <c r="G4676" t="s">
        <v>13</v>
      </c>
      <c r="H4676" s="2">
        <v>427154.11</v>
      </c>
    </row>
    <row r="4677" spans="1:8">
      <c r="A4677" t="s">
        <v>118</v>
      </c>
      <c r="B4677" t="s">
        <v>119</v>
      </c>
      <c r="C4677" t="s">
        <v>51</v>
      </c>
      <c r="D4677" t="s">
        <v>29</v>
      </c>
      <c r="E4677">
        <v>2014</v>
      </c>
      <c r="F4677" t="s">
        <v>16</v>
      </c>
      <c r="G4677" t="s">
        <v>19</v>
      </c>
      <c r="H4677" s="2">
        <v>0</v>
      </c>
    </row>
    <row r="4678" spans="1:8">
      <c r="A4678" t="s">
        <v>118</v>
      </c>
      <c r="B4678" t="s">
        <v>119</v>
      </c>
      <c r="C4678" t="s">
        <v>51</v>
      </c>
      <c r="D4678" t="s">
        <v>29</v>
      </c>
      <c r="E4678">
        <v>2015</v>
      </c>
      <c r="F4678" t="s">
        <v>20</v>
      </c>
      <c r="G4678" t="s">
        <v>13</v>
      </c>
      <c r="H4678" s="2">
        <v>34088.5</v>
      </c>
    </row>
    <row r="4679" spans="1:8">
      <c r="A4679" t="s">
        <v>118</v>
      </c>
      <c r="B4679" t="s">
        <v>119</v>
      </c>
      <c r="C4679" t="s">
        <v>51</v>
      </c>
      <c r="D4679" t="s">
        <v>29</v>
      </c>
      <c r="E4679">
        <v>2015</v>
      </c>
      <c r="F4679" t="s">
        <v>21</v>
      </c>
      <c r="G4679" t="s">
        <v>15</v>
      </c>
      <c r="H4679" s="2">
        <v>1040.3599999999999</v>
      </c>
    </row>
    <row r="4680" spans="1:8">
      <c r="A4680" t="s">
        <v>118</v>
      </c>
      <c r="B4680" t="s">
        <v>119</v>
      </c>
      <c r="C4680" t="s">
        <v>51</v>
      </c>
      <c r="D4680" t="s">
        <v>29</v>
      </c>
      <c r="E4680">
        <v>2015</v>
      </c>
      <c r="F4680" t="s">
        <v>21</v>
      </c>
      <c r="G4680" t="s">
        <v>13</v>
      </c>
      <c r="H4680" s="2">
        <v>56339.43</v>
      </c>
    </row>
    <row r="4681" spans="1:8">
      <c r="A4681" t="s">
        <v>118</v>
      </c>
      <c r="B4681" t="s">
        <v>119</v>
      </c>
      <c r="C4681" t="s">
        <v>51</v>
      </c>
      <c r="D4681" t="s">
        <v>29</v>
      </c>
      <c r="E4681">
        <v>2016</v>
      </c>
      <c r="F4681" t="s">
        <v>12</v>
      </c>
      <c r="G4681" t="s">
        <v>19</v>
      </c>
      <c r="H4681" s="2">
        <v>0</v>
      </c>
    </row>
    <row r="4682" spans="1:8">
      <c r="A4682" t="s">
        <v>118</v>
      </c>
      <c r="B4682" t="s">
        <v>119</v>
      </c>
      <c r="C4682" t="s">
        <v>51</v>
      </c>
      <c r="D4682" t="s">
        <v>29</v>
      </c>
      <c r="E4682">
        <v>2016</v>
      </c>
      <c r="F4682" t="s">
        <v>20</v>
      </c>
      <c r="G4682" t="s">
        <v>19</v>
      </c>
      <c r="H4682" s="2">
        <v>0</v>
      </c>
    </row>
    <row r="4683" spans="1:8">
      <c r="A4683" t="s">
        <v>118</v>
      </c>
      <c r="B4683" t="s">
        <v>119</v>
      </c>
      <c r="C4683" t="s">
        <v>51</v>
      </c>
      <c r="D4683" t="s">
        <v>29</v>
      </c>
      <c r="E4683">
        <v>2016</v>
      </c>
      <c r="F4683" t="s">
        <v>14</v>
      </c>
      <c r="G4683" t="s">
        <v>17</v>
      </c>
      <c r="H4683" s="2">
        <v>7847.12</v>
      </c>
    </row>
    <row r="4684" spans="1:8">
      <c r="A4684" t="s">
        <v>118</v>
      </c>
      <c r="B4684" t="s">
        <v>119</v>
      </c>
      <c r="C4684" t="s">
        <v>51</v>
      </c>
      <c r="D4684" t="s">
        <v>29</v>
      </c>
      <c r="E4684">
        <v>2016</v>
      </c>
      <c r="F4684" t="s">
        <v>21</v>
      </c>
      <c r="G4684" t="s">
        <v>15</v>
      </c>
      <c r="H4684" s="2">
        <v>1139.6400000000001</v>
      </c>
    </row>
    <row r="4685" spans="1:8">
      <c r="A4685" t="s">
        <v>118</v>
      </c>
      <c r="B4685" t="s">
        <v>119</v>
      </c>
      <c r="C4685" t="s">
        <v>51</v>
      </c>
      <c r="D4685" t="s">
        <v>29</v>
      </c>
      <c r="E4685">
        <v>2016</v>
      </c>
      <c r="F4685" t="s">
        <v>21</v>
      </c>
      <c r="G4685" t="s">
        <v>19</v>
      </c>
      <c r="H4685" s="2">
        <v>0</v>
      </c>
    </row>
    <row r="4686" spans="1:8">
      <c r="A4686" t="s">
        <v>118</v>
      </c>
      <c r="B4686" t="s">
        <v>119</v>
      </c>
      <c r="C4686" t="s">
        <v>51</v>
      </c>
      <c r="D4686" t="s">
        <v>29</v>
      </c>
      <c r="E4686">
        <v>2016</v>
      </c>
      <c r="F4686" t="s">
        <v>16</v>
      </c>
      <c r="G4686" t="s">
        <v>15</v>
      </c>
      <c r="H4686" s="2">
        <v>15011.68</v>
      </c>
    </row>
    <row r="4687" spans="1:8">
      <c r="A4687" t="s">
        <v>118</v>
      </c>
      <c r="B4687" t="s">
        <v>119</v>
      </c>
      <c r="C4687" t="s">
        <v>51</v>
      </c>
      <c r="D4687" t="s">
        <v>29</v>
      </c>
      <c r="E4687">
        <v>2017</v>
      </c>
      <c r="F4687" t="s">
        <v>18</v>
      </c>
      <c r="G4687" t="s">
        <v>13</v>
      </c>
      <c r="H4687" s="2">
        <v>76073.960000000006</v>
      </c>
    </row>
    <row r="4688" spans="1:8">
      <c r="A4688" t="s">
        <v>118</v>
      </c>
      <c r="B4688" t="s">
        <v>119</v>
      </c>
      <c r="C4688" t="s">
        <v>51</v>
      </c>
      <c r="D4688" t="s">
        <v>29</v>
      </c>
      <c r="E4688">
        <v>2017</v>
      </c>
      <c r="F4688" t="s">
        <v>21</v>
      </c>
      <c r="G4688" t="s">
        <v>19</v>
      </c>
      <c r="H4688" s="2">
        <v>0</v>
      </c>
    </row>
    <row r="4689" spans="1:8">
      <c r="A4689" t="s">
        <v>118</v>
      </c>
      <c r="B4689" t="s">
        <v>119</v>
      </c>
      <c r="C4689" t="s">
        <v>51</v>
      </c>
      <c r="D4689" t="s">
        <v>29</v>
      </c>
      <c r="E4689">
        <v>2018</v>
      </c>
      <c r="F4689" t="s">
        <v>22</v>
      </c>
      <c r="G4689" t="s">
        <v>17</v>
      </c>
      <c r="H4689" s="2">
        <v>378.22</v>
      </c>
    </row>
    <row r="4690" spans="1:8">
      <c r="A4690" t="s">
        <v>118</v>
      </c>
      <c r="B4690" t="s">
        <v>119</v>
      </c>
      <c r="C4690" t="s">
        <v>51</v>
      </c>
      <c r="D4690" t="s">
        <v>29</v>
      </c>
      <c r="E4690">
        <v>2018</v>
      </c>
      <c r="F4690" t="s">
        <v>18</v>
      </c>
      <c r="G4690" t="s">
        <v>17</v>
      </c>
      <c r="H4690" s="2">
        <v>4019.26</v>
      </c>
    </row>
    <row r="4691" spans="1:8">
      <c r="A4691" t="s">
        <v>118</v>
      </c>
      <c r="B4691" t="s">
        <v>119</v>
      </c>
      <c r="C4691" t="s">
        <v>51</v>
      </c>
      <c r="D4691" t="s">
        <v>29</v>
      </c>
      <c r="E4691">
        <v>2018</v>
      </c>
      <c r="F4691" t="s">
        <v>14</v>
      </c>
      <c r="G4691" t="s">
        <v>15</v>
      </c>
      <c r="H4691" s="2">
        <v>9518.7900000000009</v>
      </c>
    </row>
    <row r="4692" spans="1:8">
      <c r="A4692" t="s">
        <v>118</v>
      </c>
      <c r="B4692" t="s">
        <v>119</v>
      </c>
      <c r="C4692" t="s">
        <v>51</v>
      </c>
      <c r="D4692" t="s">
        <v>29</v>
      </c>
      <c r="E4692">
        <v>2018</v>
      </c>
      <c r="F4692" t="s">
        <v>16</v>
      </c>
      <c r="G4692" t="s">
        <v>13</v>
      </c>
      <c r="H4692" s="2">
        <v>3214.4</v>
      </c>
    </row>
    <row r="4693" spans="1:8">
      <c r="A4693" t="s">
        <v>118</v>
      </c>
      <c r="B4693" t="s">
        <v>119</v>
      </c>
      <c r="C4693" t="s">
        <v>51</v>
      </c>
      <c r="D4693" t="s">
        <v>29</v>
      </c>
      <c r="E4693">
        <v>2020</v>
      </c>
      <c r="F4693" t="s">
        <v>18</v>
      </c>
      <c r="G4693" t="s">
        <v>15</v>
      </c>
      <c r="H4693" s="2">
        <v>3977.5</v>
      </c>
    </row>
    <row r="4694" spans="1:8">
      <c r="A4694" t="s">
        <v>118</v>
      </c>
      <c r="B4694" t="s">
        <v>119</v>
      </c>
      <c r="C4694" t="s">
        <v>51</v>
      </c>
      <c r="D4694" t="s">
        <v>29</v>
      </c>
      <c r="E4694">
        <v>2020</v>
      </c>
      <c r="F4694" t="s">
        <v>20</v>
      </c>
      <c r="G4694" t="s">
        <v>15</v>
      </c>
      <c r="H4694" s="2">
        <v>316.49</v>
      </c>
    </row>
    <row r="4695" spans="1:8">
      <c r="A4695" t="s">
        <v>118</v>
      </c>
      <c r="B4695" t="s">
        <v>119</v>
      </c>
      <c r="C4695" t="s">
        <v>51</v>
      </c>
      <c r="D4695" t="s">
        <v>29</v>
      </c>
      <c r="E4695">
        <v>2020</v>
      </c>
      <c r="F4695" t="s">
        <v>16</v>
      </c>
      <c r="G4695" t="s">
        <v>19</v>
      </c>
      <c r="H4695" s="2">
        <v>0</v>
      </c>
    </row>
    <row r="4696" spans="1:8">
      <c r="A4696" t="s">
        <v>118</v>
      </c>
      <c r="B4696" t="s">
        <v>119</v>
      </c>
      <c r="C4696" t="s">
        <v>51</v>
      </c>
      <c r="D4696" t="s">
        <v>29</v>
      </c>
      <c r="E4696">
        <v>2021</v>
      </c>
      <c r="F4696" t="s">
        <v>20</v>
      </c>
      <c r="G4696" t="s">
        <v>19</v>
      </c>
      <c r="H4696" s="2">
        <v>0</v>
      </c>
    </row>
    <row r="4697" spans="1:8">
      <c r="A4697" t="s">
        <v>118</v>
      </c>
      <c r="B4697" t="s">
        <v>119</v>
      </c>
      <c r="C4697" t="s">
        <v>51</v>
      </c>
      <c r="D4697" t="s">
        <v>29</v>
      </c>
      <c r="E4697">
        <v>2022</v>
      </c>
      <c r="F4697" t="s">
        <v>18</v>
      </c>
      <c r="G4697" t="s">
        <v>19</v>
      </c>
      <c r="H4697" s="2">
        <v>4076.51</v>
      </c>
    </row>
    <row r="4698" spans="1:8">
      <c r="A4698" t="s">
        <v>118</v>
      </c>
      <c r="B4698" t="s">
        <v>119</v>
      </c>
      <c r="C4698" t="s">
        <v>51</v>
      </c>
      <c r="D4698" t="s">
        <v>29</v>
      </c>
      <c r="E4698">
        <v>2022</v>
      </c>
      <c r="F4698" t="s">
        <v>20</v>
      </c>
      <c r="G4698" t="s">
        <v>17</v>
      </c>
      <c r="H4698" s="2">
        <v>317.63</v>
      </c>
    </row>
    <row r="4699" spans="1:8">
      <c r="A4699" t="s">
        <v>118</v>
      </c>
      <c r="B4699" t="s">
        <v>119</v>
      </c>
      <c r="C4699" t="s">
        <v>51</v>
      </c>
      <c r="D4699" t="s">
        <v>29</v>
      </c>
      <c r="E4699">
        <v>2022</v>
      </c>
      <c r="F4699" t="s">
        <v>16</v>
      </c>
      <c r="G4699" t="s">
        <v>17</v>
      </c>
      <c r="H4699" s="2">
        <v>847.18</v>
      </c>
    </row>
    <row r="4700" spans="1:8">
      <c r="A4700" t="s">
        <v>118</v>
      </c>
      <c r="B4700" t="s">
        <v>119</v>
      </c>
      <c r="C4700" t="s">
        <v>51</v>
      </c>
      <c r="D4700" t="s">
        <v>29</v>
      </c>
      <c r="E4700">
        <v>2023</v>
      </c>
      <c r="F4700" t="s">
        <v>14</v>
      </c>
      <c r="G4700" t="s">
        <v>15</v>
      </c>
      <c r="H4700" s="2">
        <v>10876.71</v>
      </c>
    </row>
    <row r="4701" spans="1:8">
      <c r="A4701" t="s">
        <v>118</v>
      </c>
      <c r="B4701" t="s">
        <v>119</v>
      </c>
      <c r="C4701" t="s">
        <v>51</v>
      </c>
      <c r="D4701" t="s">
        <v>29</v>
      </c>
      <c r="E4701">
        <v>2023</v>
      </c>
      <c r="F4701" t="s">
        <v>14</v>
      </c>
      <c r="G4701" t="s">
        <v>13</v>
      </c>
      <c r="H4701" s="2">
        <v>339627.3</v>
      </c>
    </row>
    <row r="4702" spans="1:8">
      <c r="A4702" t="s">
        <v>118</v>
      </c>
      <c r="B4702" t="s">
        <v>119</v>
      </c>
      <c r="C4702" t="s">
        <v>51</v>
      </c>
      <c r="D4702" t="s">
        <v>29</v>
      </c>
      <c r="E4702">
        <v>2024</v>
      </c>
      <c r="F4702" t="s">
        <v>12</v>
      </c>
      <c r="G4702" t="s">
        <v>15</v>
      </c>
      <c r="H4702" s="2">
        <v>10340.049999999999</v>
      </c>
    </row>
    <row r="4703" spans="1:8">
      <c r="A4703" t="s">
        <v>118</v>
      </c>
      <c r="B4703" t="s">
        <v>119</v>
      </c>
      <c r="C4703" t="s">
        <v>51</v>
      </c>
      <c r="D4703" t="s">
        <v>29</v>
      </c>
      <c r="E4703">
        <v>2024</v>
      </c>
      <c r="F4703" t="s">
        <v>20</v>
      </c>
      <c r="G4703" t="s">
        <v>15</v>
      </c>
      <c r="H4703" s="2">
        <v>272.48</v>
      </c>
    </row>
    <row r="4704" spans="1:8">
      <c r="A4704" t="s">
        <v>118</v>
      </c>
      <c r="B4704" t="s">
        <v>119</v>
      </c>
      <c r="C4704" t="s">
        <v>51</v>
      </c>
      <c r="D4704" t="s">
        <v>29</v>
      </c>
      <c r="E4704">
        <v>2024</v>
      </c>
      <c r="F4704" t="s">
        <v>21</v>
      </c>
      <c r="G4704" t="s">
        <v>13</v>
      </c>
      <c r="H4704" s="2">
        <v>41077.440000000002</v>
      </c>
    </row>
    <row r="4705" spans="1:8">
      <c r="A4705" t="s">
        <v>120</v>
      </c>
      <c r="B4705" t="s">
        <v>121</v>
      </c>
      <c r="C4705" t="s">
        <v>25</v>
      </c>
      <c r="D4705" t="s">
        <v>29</v>
      </c>
      <c r="E4705">
        <v>1990</v>
      </c>
      <c r="F4705" t="s">
        <v>18</v>
      </c>
      <c r="G4705" t="s">
        <v>15</v>
      </c>
      <c r="H4705" s="2">
        <v>15480.94</v>
      </c>
    </row>
    <row r="4706" spans="1:8">
      <c r="A4706" t="s">
        <v>120</v>
      </c>
      <c r="B4706" t="s">
        <v>121</v>
      </c>
      <c r="C4706" t="s">
        <v>25</v>
      </c>
      <c r="D4706" t="s">
        <v>29</v>
      </c>
      <c r="E4706">
        <v>1990</v>
      </c>
      <c r="F4706" t="s">
        <v>20</v>
      </c>
      <c r="G4706" t="s">
        <v>15</v>
      </c>
      <c r="H4706" s="2">
        <v>-368.34</v>
      </c>
    </row>
    <row r="4707" spans="1:8">
      <c r="A4707" t="s">
        <v>120</v>
      </c>
      <c r="B4707" t="s">
        <v>121</v>
      </c>
      <c r="C4707" t="s">
        <v>25</v>
      </c>
      <c r="D4707" t="s">
        <v>29</v>
      </c>
      <c r="E4707">
        <v>1990</v>
      </c>
      <c r="F4707" t="s">
        <v>21</v>
      </c>
      <c r="G4707" t="s">
        <v>13</v>
      </c>
      <c r="H4707" s="2">
        <v>34175.26</v>
      </c>
    </row>
    <row r="4708" spans="1:8">
      <c r="A4708" t="s">
        <v>120</v>
      </c>
      <c r="B4708" t="s">
        <v>121</v>
      </c>
      <c r="C4708" t="s">
        <v>25</v>
      </c>
      <c r="D4708" t="s">
        <v>29</v>
      </c>
      <c r="E4708">
        <v>1991</v>
      </c>
      <c r="F4708" t="s">
        <v>12</v>
      </c>
      <c r="G4708" t="s">
        <v>15</v>
      </c>
      <c r="H4708" s="2">
        <v>4445.1099999999997</v>
      </c>
    </row>
    <row r="4709" spans="1:8">
      <c r="A4709" t="s">
        <v>120</v>
      </c>
      <c r="B4709" t="s">
        <v>121</v>
      </c>
      <c r="C4709" t="s">
        <v>25</v>
      </c>
      <c r="D4709" t="s">
        <v>29</v>
      </c>
      <c r="E4709">
        <v>1991</v>
      </c>
      <c r="F4709" t="s">
        <v>21</v>
      </c>
      <c r="G4709" t="s">
        <v>17</v>
      </c>
      <c r="H4709" s="2">
        <v>397.38</v>
      </c>
    </row>
    <row r="4710" spans="1:8">
      <c r="A4710" t="s">
        <v>120</v>
      </c>
      <c r="B4710" t="s">
        <v>121</v>
      </c>
      <c r="C4710" t="s">
        <v>25</v>
      </c>
      <c r="D4710" t="s">
        <v>29</v>
      </c>
      <c r="E4710">
        <v>1991</v>
      </c>
      <c r="F4710" t="s">
        <v>16</v>
      </c>
      <c r="G4710" t="s">
        <v>15</v>
      </c>
      <c r="H4710" s="2">
        <v>90431.51</v>
      </c>
    </row>
    <row r="4711" spans="1:8">
      <c r="A4711" t="s">
        <v>120</v>
      </c>
      <c r="B4711" t="s">
        <v>121</v>
      </c>
      <c r="C4711" t="s">
        <v>25</v>
      </c>
      <c r="D4711" t="s">
        <v>29</v>
      </c>
      <c r="E4711">
        <v>1991</v>
      </c>
      <c r="F4711" t="s">
        <v>16</v>
      </c>
      <c r="G4711" t="s">
        <v>13</v>
      </c>
      <c r="H4711" s="2">
        <v>16653.13</v>
      </c>
    </row>
    <row r="4712" spans="1:8">
      <c r="A4712" t="s">
        <v>120</v>
      </c>
      <c r="B4712" t="s">
        <v>121</v>
      </c>
      <c r="C4712" t="s">
        <v>25</v>
      </c>
      <c r="D4712" t="s">
        <v>29</v>
      </c>
      <c r="E4712">
        <v>1992</v>
      </c>
      <c r="F4712" t="s">
        <v>18</v>
      </c>
      <c r="G4712" t="s">
        <v>19</v>
      </c>
      <c r="H4712" s="2">
        <v>12885.7</v>
      </c>
    </row>
    <row r="4713" spans="1:8">
      <c r="A4713" t="s">
        <v>120</v>
      </c>
      <c r="B4713" t="s">
        <v>121</v>
      </c>
      <c r="C4713" t="s">
        <v>25</v>
      </c>
      <c r="D4713" t="s">
        <v>29</v>
      </c>
      <c r="E4713">
        <v>1992</v>
      </c>
      <c r="F4713" t="s">
        <v>16</v>
      </c>
      <c r="G4713" t="s">
        <v>19</v>
      </c>
      <c r="H4713" s="2">
        <v>0</v>
      </c>
    </row>
    <row r="4714" spans="1:8">
      <c r="A4714" t="s">
        <v>120</v>
      </c>
      <c r="B4714" t="s">
        <v>121</v>
      </c>
      <c r="C4714" t="s">
        <v>25</v>
      </c>
      <c r="D4714" t="s">
        <v>29</v>
      </c>
      <c r="E4714">
        <v>1992</v>
      </c>
      <c r="F4714" t="s">
        <v>16</v>
      </c>
      <c r="G4714" t="s">
        <v>17</v>
      </c>
      <c r="H4714" s="2">
        <v>5208.46</v>
      </c>
    </row>
    <row r="4715" spans="1:8">
      <c r="A4715" t="s">
        <v>120</v>
      </c>
      <c r="B4715" t="s">
        <v>121</v>
      </c>
      <c r="C4715" t="s">
        <v>25</v>
      </c>
      <c r="D4715" t="s">
        <v>29</v>
      </c>
      <c r="E4715">
        <v>1993</v>
      </c>
      <c r="F4715" t="s">
        <v>21</v>
      </c>
      <c r="G4715" t="s">
        <v>17</v>
      </c>
      <c r="H4715" s="2">
        <v>341.91</v>
      </c>
    </row>
    <row r="4716" spans="1:8">
      <c r="A4716" t="s">
        <v>120</v>
      </c>
      <c r="B4716" t="s">
        <v>121</v>
      </c>
      <c r="C4716" t="s">
        <v>25</v>
      </c>
      <c r="D4716" t="s">
        <v>29</v>
      </c>
      <c r="E4716">
        <v>1993</v>
      </c>
      <c r="F4716" t="s">
        <v>16</v>
      </c>
      <c r="G4716" t="s">
        <v>19</v>
      </c>
      <c r="H4716" s="2">
        <v>0</v>
      </c>
    </row>
    <row r="4717" spans="1:8">
      <c r="A4717" t="s">
        <v>120</v>
      </c>
      <c r="B4717" t="s">
        <v>121</v>
      </c>
      <c r="C4717" t="s">
        <v>25</v>
      </c>
      <c r="D4717" t="s">
        <v>29</v>
      </c>
      <c r="E4717">
        <v>1995</v>
      </c>
      <c r="F4717" t="s">
        <v>18</v>
      </c>
      <c r="G4717" t="s">
        <v>19</v>
      </c>
      <c r="H4717" s="2">
        <v>11935.66</v>
      </c>
    </row>
    <row r="4718" spans="1:8">
      <c r="A4718" t="s">
        <v>120</v>
      </c>
      <c r="B4718" t="s">
        <v>121</v>
      </c>
      <c r="C4718" t="s">
        <v>25</v>
      </c>
      <c r="D4718" t="s">
        <v>29</v>
      </c>
      <c r="E4718">
        <v>1995</v>
      </c>
      <c r="F4718" t="s">
        <v>20</v>
      </c>
      <c r="G4718" t="s">
        <v>15</v>
      </c>
      <c r="H4718" s="2">
        <v>-349.33</v>
      </c>
    </row>
    <row r="4719" spans="1:8">
      <c r="A4719" t="s">
        <v>120</v>
      </c>
      <c r="B4719" t="s">
        <v>121</v>
      </c>
      <c r="C4719" t="s">
        <v>25</v>
      </c>
      <c r="D4719" t="s">
        <v>29</v>
      </c>
      <c r="E4719">
        <v>1995</v>
      </c>
      <c r="F4719" t="s">
        <v>20</v>
      </c>
      <c r="G4719" t="s">
        <v>17</v>
      </c>
      <c r="H4719" s="2">
        <v>-338.57</v>
      </c>
    </row>
    <row r="4720" spans="1:8">
      <c r="A4720" t="s">
        <v>120</v>
      </c>
      <c r="B4720" t="s">
        <v>121</v>
      </c>
      <c r="C4720" t="s">
        <v>25</v>
      </c>
      <c r="D4720" t="s">
        <v>29</v>
      </c>
      <c r="E4720">
        <v>1995</v>
      </c>
      <c r="F4720" t="s">
        <v>14</v>
      </c>
      <c r="G4720" t="s">
        <v>19</v>
      </c>
      <c r="H4720" s="2">
        <v>0</v>
      </c>
    </row>
    <row r="4721" spans="1:8">
      <c r="A4721" t="s">
        <v>120</v>
      </c>
      <c r="B4721" t="s">
        <v>121</v>
      </c>
      <c r="C4721" t="s">
        <v>25</v>
      </c>
      <c r="D4721" t="s">
        <v>29</v>
      </c>
      <c r="E4721">
        <v>1996</v>
      </c>
      <c r="F4721" t="s">
        <v>22</v>
      </c>
      <c r="G4721" t="s">
        <v>15</v>
      </c>
      <c r="H4721" s="2">
        <v>236911.83</v>
      </c>
    </row>
    <row r="4722" spans="1:8">
      <c r="A4722" t="s">
        <v>120</v>
      </c>
      <c r="B4722" t="s">
        <v>121</v>
      </c>
      <c r="C4722" t="s">
        <v>25</v>
      </c>
      <c r="D4722" t="s">
        <v>29</v>
      </c>
      <c r="E4722">
        <v>1996</v>
      </c>
      <c r="F4722" t="s">
        <v>20</v>
      </c>
      <c r="G4722" t="s">
        <v>17</v>
      </c>
      <c r="H4722" s="2">
        <v>-399.79</v>
      </c>
    </row>
    <row r="4723" spans="1:8">
      <c r="A4723" t="s">
        <v>120</v>
      </c>
      <c r="B4723" t="s">
        <v>121</v>
      </c>
      <c r="C4723" t="s">
        <v>25</v>
      </c>
      <c r="D4723" t="s">
        <v>29</v>
      </c>
      <c r="E4723">
        <v>1996</v>
      </c>
      <c r="F4723" t="s">
        <v>16</v>
      </c>
      <c r="G4723" t="s">
        <v>15</v>
      </c>
      <c r="H4723" s="2">
        <v>85372.54</v>
      </c>
    </row>
    <row r="4724" spans="1:8">
      <c r="A4724" t="s">
        <v>120</v>
      </c>
      <c r="B4724" t="s">
        <v>121</v>
      </c>
      <c r="C4724" t="s">
        <v>25</v>
      </c>
      <c r="D4724" t="s">
        <v>29</v>
      </c>
      <c r="E4724">
        <v>1997</v>
      </c>
      <c r="F4724" t="s">
        <v>18</v>
      </c>
      <c r="G4724" t="s">
        <v>19</v>
      </c>
      <c r="H4724" s="2">
        <v>12296.08</v>
      </c>
    </row>
    <row r="4725" spans="1:8">
      <c r="A4725" t="s">
        <v>120</v>
      </c>
      <c r="B4725" t="s">
        <v>121</v>
      </c>
      <c r="C4725" t="s">
        <v>25</v>
      </c>
      <c r="D4725" t="s">
        <v>29</v>
      </c>
      <c r="E4725">
        <v>1998</v>
      </c>
      <c r="F4725" t="s">
        <v>12</v>
      </c>
      <c r="G4725" t="s">
        <v>13</v>
      </c>
      <c r="H4725" s="2">
        <v>62276.54</v>
      </c>
    </row>
    <row r="4726" spans="1:8">
      <c r="A4726" t="s">
        <v>120</v>
      </c>
      <c r="B4726" t="s">
        <v>121</v>
      </c>
      <c r="C4726" t="s">
        <v>25</v>
      </c>
      <c r="D4726" t="s">
        <v>29</v>
      </c>
      <c r="E4726">
        <v>1998</v>
      </c>
      <c r="F4726" t="s">
        <v>16</v>
      </c>
      <c r="G4726" t="s">
        <v>19</v>
      </c>
      <c r="H4726" s="2">
        <v>0</v>
      </c>
    </row>
    <row r="4727" spans="1:8">
      <c r="A4727" t="s">
        <v>120</v>
      </c>
      <c r="B4727" t="s">
        <v>121</v>
      </c>
      <c r="C4727" t="s">
        <v>25</v>
      </c>
      <c r="D4727" t="s">
        <v>29</v>
      </c>
      <c r="E4727">
        <v>1999</v>
      </c>
      <c r="F4727" t="s">
        <v>20</v>
      </c>
      <c r="G4727" t="s">
        <v>15</v>
      </c>
      <c r="H4727" s="2">
        <v>-379.47</v>
      </c>
    </row>
    <row r="4728" spans="1:8">
      <c r="A4728" t="s">
        <v>120</v>
      </c>
      <c r="B4728" t="s">
        <v>121</v>
      </c>
      <c r="C4728" t="s">
        <v>25</v>
      </c>
      <c r="D4728" t="s">
        <v>29</v>
      </c>
      <c r="E4728">
        <v>1999</v>
      </c>
      <c r="F4728" t="s">
        <v>14</v>
      </c>
      <c r="G4728" t="s">
        <v>17</v>
      </c>
      <c r="H4728" s="2">
        <v>4863.24</v>
      </c>
    </row>
    <row r="4729" spans="1:8">
      <c r="A4729" t="s">
        <v>120</v>
      </c>
      <c r="B4729" t="s">
        <v>121</v>
      </c>
      <c r="C4729" t="s">
        <v>25</v>
      </c>
      <c r="D4729" t="s">
        <v>29</v>
      </c>
      <c r="E4729">
        <v>2000</v>
      </c>
      <c r="F4729" t="s">
        <v>18</v>
      </c>
      <c r="G4729" t="s">
        <v>15</v>
      </c>
      <c r="H4729" s="2">
        <v>12387.94</v>
      </c>
    </row>
    <row r="4730" spans="1:8">
      <c r="A4730" t="s">
        <v>120</v>
      </c>
      <c r="B4730" t="s">
        <v>121</v>
      </c>
      <c r="C4730" t="s">
        <v>25</v>
      </c>
      <c r="D4730" t="s">
        <v>29</v>
      </c>
      <c r="E4730">
        <v>2000</v>
      </c>
      <c r="F4730" t="s">
        <v>18</v>
      </c>
      <c r="G4730" t="s">
        <v>17</v>
      </c>
      <c r="H4730" s="2">
        <v>12428.3</v>
      </c>
    </row>
    <row r="4731" spans="1:8">
      <c r="A4731" t="s">
        <v>120</v>
      </c>
      <c r="B4731" t="s">
        <v>121</v>
      </c>
      <c r="C4731" t="s">
        <v>25</v>
      </c>
      <c r="D4731" t="s">
        <v>29</v>
      </c>
      <c r="E4731">
        <v>2000</v>
      </c>
      <c r="F4731" t="s">
        <v>14</v>
      </c>
      <c r="G4731" t="s">
        <v>17</v>
      </c>
      <c r="H4731" s="2">
        <v>3833.8</v>
      </c>
    </row>
    <row r="4732" spans="1:8">
      <c r="A4732" t="s">
        <v>120</v>
      </c>
      <c r="B4732" t="s">
        <v>121</v>
      </c>
      <c r="C4732" t="s">
        <v>25</v>
      </c>
      <c r="D4732" t="s">
        <v>29</v>
      </c>
      <c r="E4732">
        <v>2002</v>
      </c>
      <c r="F4732" t="s">
        <v>21</v>
      </c>
      <c r="G4732" t="s">
        <v>15</v>
      </c>
      <c r="H4732" s="2">
        <v>826.81</v>
      </c>
    </row>
    <row r="4733" spans="1:8">
      <c r="A4733" t="s">
        <v>120</v>
      </c>
      <c r="B4733" t="s">
        <v>121</v>
      </c>
      <c r="C4733" t="s">
        <v>25</v>
      </c>
      <c r="D4733" t="s">
        <v>29</v>
      </c>
      <c r="E4733">
        <v>2003</v>
      </c>
      <c r="F4733" t="s">
        <v>12</v>
      </c>
      <c r="G4733" t="s">
        <v>15</v>
      </c>
      <c r="H4733" s="2">
        <v>4655.8900000000003</v>
      </c>
    </row>
    <row r="4734" spans="1:8">
      <c r="A4734" t="s">
        <v>120</v>
      </c>
      <c r="B4734" t="s">
        <v>121</v>
      </c>
      <c r="C4734" t="s">
        <v>25</v>
      </c>
      <c r="D4734" t="s">
        <v>29</v>
      </c>
      <c r="E4734">
        <v>2003</v>
      </c>
      <c r="F4734" t="s">
        <v>12</v>
      </c>
      <c r="G4734" t="s">
        <v>17</v>
      </c>
      <c r="H4734" s="2">
        <v>1746.95</v>
      </c>
    </row>
    <row r="4735" spans="1:8">
      <c r="A4735" t="s">
        <v>120</v>
      </c>
      <c r="B4735" t="s">
        <v>121</v>
      </c>
      <c r="C4735" t="s">
        <v>25</v>
      </c>
      <c r="D4735" t="s">
        <v>29</v>
      </c>
      <c r="E4735">
        <v>2004</v>
      </c>
      <c r="F4735" t="s">
        <v>18</v>
      </c>
      <c r="G4735" t="s">
        <v>19</v>
      </c>
      <c r="H4735" s="2">
        <v>15057.96</v>
      </c>
    </row>
    <row r="4736" spans="1:8">
      <c r="A4736" t="s">
        <v>120</v>
      </c>
      <c r="B4736" t="s">
        <v>121</v>
      </c>
      <c r="C4736" t="s">
        <v>25</v>
      </c>
      <c r="D4736" t="s">
        <v>29</v>
      </c>
      <c r="E4736">
        <v>2004</v>
      </c>
      <c r="F4736" t="s">
        <v>20</v>
      </c>
      <c r="G4736" t="s">
        <v>19</v>
      </c>
      <c r="H4736" s="2">
        <v>0</v>
      </c>
    </row>
    <row r="4737" spans="1:8">
      <c r="A4737" t="s">
        <v>120</v>
      </c>
      <c r="B4737" t="s">
        <v>121</v>
      </c>
      <c r="C4737" t="s">
        <v>25</v>
      </c>
      <c r="D4737" t="s">
        <v>29</v>
      </c>
      <c r="E4737">
        <v>2005</v>
      </c>
      <c r="F4737" t="s">
        <v>22</v>
      </c>
      <c r="G4737" t="s">
        <v>13</v>
      </c>
      <c r="H4737" s="2">
        <v>32826.9</v>
      </c>
    </row>
    <row r="4738" spans="1:8">
      <c r="A4738" t="s">
        <v>120</v>
      </c>
      <c r="B4738" t="s">
        <v>121</v>
      </c>
      <c r="C4738" t="s">
        <v>25</v>
      </c>
      <c r="D4738" t="s">
        <v>29</v>
      </c>
      <c r="E4738">
        <v>2005</v>
      </c>
      <c r="F4738" t="s">
        <v>18</v>
      </c>
      <c r="G4738" t="s">
        <v>13</v>
      </c>
      <c r="H4738" s="2">
        <v>248699.47</v>
      </c>
    </row>
    <row r="4739" spans="1:8">
      <c r="A4739" t="s">
        <v>120</v>
      </c>
      <c r="B4739" t="s">
        <v>121</v>
      </c>
      <c r="C4739" t="s">
        <v>25</v>
      </c>
      <c r="D4739" t="s">
        <v>29</v>
      </c>
      <c r="E4739">
        <v>2005</v>
      </c>
      <c r="F4739" t="s">
        <v>20</v>
      </c>
      <c r="G4739" t="s">
        <v>13</v>
      </c>
      <c r="H4739" s="2">
        <v>-40938.51</v>
      </c>
    </row>
    <row r="4740" spans="1:8">
      <c r="A4740" t="s">
        <v>120</v>
      </c>
      <c r="B4740" t="s">
        <v>121</v>
      </c>
      <c r="C4740" t="s">
        <v>25</v>
      </c>
      <c r="D4740" t="s">
        <v>29</v>
      </c>
      <c r="E4740">
        <v>2005</v>
      </c>
      <c r="F4740" t="s">
        <v>21</v>
      </c>
      <c r="G4740" t="s">
        <v>15</v>
      </c>
      <c r="H4740" s="2">
        <v>803.34</v>
      </c>
    </row>
    <row r="4741" spans="1:8">
      <c r="A4741" t="s">
        <v>120</v>
      </c>
      <c r="B4741" t="s">
        <v>121</v>
      </c>
      <c r="C4741" t="s">
        <v>25</v>
      </c>
      <c r="D4741" t="s">
        <v>29</v>
      </c>
      <c r="E4741">
        <v>2006</v>
      </c>
      <c r="F4741" t="s">
        <v>12</v>
      </c>
      <c r="G4741" t="s">
        <v>15</v>
      </c>
      <c r="H4741" s="2">
        <v>5068.8999999999996</v>
      </c>
    </row>
    <row r="4742" spans="1:8">
      <c r="A4742" t="s">
        <v>120</v>
      </c>
      <c r="B4742" t="s">
        <v>121</v>
      </c>
      <c r="C4742" t="s">
        <v>25</v>
      </c>
      <c r="D4742" t="s">
        <v>29</v>
      </c>
      <c r="E4742">
        <v>2006</v>
      </c>
      <c r="F4742" t="s">
        <v>12</v>
      </c>
      <c r="G4742" t="s">
        <v>13</v>
      </c>
      <c r="H4742" s="2">
        <v>69283.289999999994</v>
      </c>
    </row>
    <row r="4743" spans="1:8">
      <c r="A4743" t="s">
        <v>120</v>
      </c>
      <c r="B4743" t="s">
        <v>121</v>
      </c>
      <c r="C4743" t="s">
        <v>25</v>
      </c>
      <c r="D4743" t="s">
        <v>29</v>
      </c>
      <c r="E4743">
        <v>2007</v>
      </c>
      <c r="F4743" t="s">
        <v>22</v>
      </c>
      <c r="G4743" t="s">
        <v>17</v>
      </c>
      <c r="H4743" s="2">
        <v>68558.09</v>
      </c>
    </row>
    <row r="4744" spans="1:8">
      <c r="A4744" t="s">
        <v>120</v>
      </c>
      <c r="B4744" t="s">
        <v>121</v>
      </c>
      <c r="C4744" t="s">
        <v>25</v>
      </c>
      <c r="D4744" t="s">
        <v>29</v>
      </c>
      <c r="E4744">
        <v>2007</v>
      </c>
      <c r="F4744" t="s">
        <v>12</v>
      </c>
      <c r="G4744" t="s">
        <v>13</v>
      </c>
      <c r="H4744" s="2">
        <v>68563.149999999994</v>
      </c>
    </row>
    <row r="4745" spans="1:8">
      <c r="A4745" t="s">
        <v>120</v>
      </c>
      <c r="B4745" t="s">
        <v>121</v>
      </c>
      <c r="C4745" t="s">
        <v>25</v>
      </c>
      <c r="D4745" t="s">
        <v>29</v>
      </c>
      <c r="E4745">
        <v>2007</v>
      </c>
      <c r="F4745" t="s">
        <v>16</v>
      </c>
      <c r="G4745" t="s">
        <v>13</v>
      </c>
      <c r="H4745" s="2">
        <v>16806.759999999998</v>
      </c>
    </row>
    <row r="4746" spans="1:8">
      <c r="A4746" t="s">
        <v>120</v>
      </c>
      <c r="B4746" t="s">
        <v>121</v>
      </c>
      <c r="C4746" t="s">
        <v>25</v>
      </c>
      <c r="D4746" t="s">
        <v>29</v>
      </c>
      <c r="E4746">
        <v>2008</v>
      </c>
      <c r="F4746" t="s">
        <v>12</v>
      </c>
      <c r="G4746" t="s">
        <v>15</v>
      </c>
      <c r="H4746" s="2">
        <v>4710.7299999999996</v>
      </c>
    </row>
    <row r="4747" spans="1:8">
      <c r="A4747" t="s">
        <v>120</v>
      </c>
      <c r="B4747" t="s">
        <v>121</v>
      </c>
      <c r="C4747" t="s">
        <v>25</v>
      </c>
      <c r="D4747" t="s">
        <v>29</v>
      </c>
      <c r="E4747">
        <v>2008</v>
      </c>
      <c r="F4747" t="s">
        <v>12</v>
      </c>
      <c r="G4747" t="s">
        <v>19</v>
      </c>
      <c r="H4747" s="2">
        <v>0</v>
      </c>
    </row>
    <row r="4748" spans="1:8">
      <c r="A4748" t="s">
        <v>120</v>
      </c>
      <c r="B4748" t="s">
        <v>121</v>
      </c>
      <c r="C4748" t="s">
        <v>25</v>
      </c>
      <c r="D4748" t="s">
        <v>29</v>
      </c>
      <c r="E4748">
        <v>2008</v>
      </c>
      <c r="F4748" t="s">
        <v>18</v>
      </c>
      <c r="G4748" t="s">
        <v>15</v>
      </c>
      <c r="H4748" s="2">
        <v>14638.28</v>
      </c>
    </row>
    <row r="4749" spans="1:8">
      <c r="A4749" t="s">
        <v>120</v>
      </c>
      <c r="B4749" t="s">
        <v>121</v>
      </c>
      <c r="C4749" t="s">
        <v>25</v>
      </c>
      <c r="D4749" t="s">
        <v>29</v>
      </c>
      <c r="E4749">
        <v>2008</v>
      </c>
      <c r="F4749" t="s">
        <v>20</v>
      </c>
      <c r="G4749" t="s">
        <v>17</v>
      </c>
      <c r="H4749" s="2">
        <v>-438.1</v>
      </c>
    </row>
    <row r="4750" spans="1:8">
      <c r="A4750" t="s">
        <v>120</v>
      </c>
      <c r="B4750" t="s">
        <v>121</v>
      </c>
      <c r="C4750" t="s">
        <v>25</v>
      </c>
      <c r="D4750" t="s">
        <v>29</v>
      </c>
      <c r="E4750">
        <v>2009</v>
      </c>
      <c r="F4750" t="s">
        <v>12</v>
      </c>
      <c r="G4750" t="s">
        <v>19</v>
      </c>
      <c r="H4750" s="2">
        <v>0</v>
      </c>
    </row>
    <row r="4751" spans="1:8">
      <c r="A4751" t="s">
        <v>120</v>
      </c>
      <c r="B4751" t="s">
        <v>121</v>
      </c>
      <c r="C4751" t="s">
        <v>25</v>
      </c>
      <c r="D4751" t="s">
        <v>29</v>
      </c>
      <c r="E4751">
        <v>2009</v>
      </c>
      <c r="F4751" t="s">
        <v>18</v>
      </c>
      <c r="G4751" t="s">
        <v>19</v>
      </c>
      <c r="H4751" s="2">
        <v>14417.17</v>
      </c>
    </row>
    <row r="4752" spans="1:8">
      <c r="A4752" t="s">
        <v>120</v>
      </c>
      <c r="B4752" t="s">
        <v>121</v>
      </c>
      <c r="C4752" t="s">
        <v>25</v>
      </c>
      <c r="D4752" t="s">
        <v>29</v>
      </c>
      <c r="E4752">
        <v>2009</v>
      </c>
      <c r="F4752" t="s">
        <v>14</v>
      </c>
      <c r="G4752" t="s">
        <v>17</v>
      </c>
      <c r="H4752" s="2">
        <v>4722.53</v>
      </c>
    </row>
    <row r="4753" spans="1:8">
      <c r="A4753" t="s">
        <v>120</v>
      </c>
      <c r="B4753" t="s">
        <v>121</v>
      </c>
      <c r="C4753" t="s">
        <v>25</v>
      </c>
      <c r="D4753" t="s">
        <v>29</v>
      </c>
      <c r="E4753">
        <v>2010</v>
      </c>
      <c r="F4753" t="s">
        <v>22</v>
      </c>
      <c r="G4753" t="s">
        <v>19</v>
      </c>
      <c r="H4753" s="2">
        <v>0</v>
      </c>
    </row>
    <row r="4754" spans="1:8">
      <c r="A4754" t="s">
        <v>120</v>
      </c>
      <c r="B4754" t="s">
        <v>121</v>
      </c>
      <c r="C4754" t="s">
        <v>25</v>
      </c>
      <c r="D4754" t="s">
        <v>29</v>
      </c>
      <c r="E4754">
        <v>2010</v>
      </c>
      <c r="F4754" t="s">
        <v>12</v>
      </c>
      <c r="G4754" t="s">
        <v>19</v>
      </c>
      <c r="H4754" s="2">
        <v>0</v>
      </c>
    </row>
    <row r="4755" spans="1:8">
      <c r="A4755" t="s">
        <v>120</v>
      </c>
      <c r="B4755" t="s">
        <v>121</v>
      </c>
      <c r="C4755" t="s">
        <v>25</v>
      </c>
      <c r="D4755" t="s">
        <v>29</v>
      </c>
      <c r="E4755">
        <v>2010</v>
      </c>
      <c r="F4755" t="s">
        <v>18</v>
      </c>
      <c r="G4755" t="s">
        <v>19</v>
      </c>
      <c r="H4755" s="2">
        <v>13993.07</v>
      </c>
    </row>
    <row r="4756" spans="1:8">
      <c r="A4756" t="s">
        <v>120</v>
      </c>
      <c r="B4756" t="s">
        <v>121</v>
      </c>
      <c r="C4756" t="s">
        <v>25</v>
      </c>
      <c r="D4756" t="s">
        <v>29</v>
      </c>
      <c r="E4756">
        <v>2010</v>
      </c>
      <c r="F4756" t="s">
        <v>16</v>
      </c>
      <c r="G4756" t="s">
        <v>19</v>
      </c>
      <c r="H4756" s="2">
        <v>0</v>
      </c>
    </row>
    <row r="4757" spans="1:8">
      <c r="A4757" t="s">
        <v>120</v>
      </c>
      <c r="B4757" t="s">
        <v>121</v>
      </c>
      <c r="C4757" t="s">
        <v>25</v>
      </c>
      <c r="D4757" t="s">
        <v>29</v>
      </c>
      <c r="E4757">
        <v>2011</v>
      </c>
      <c r="F4757" t="s">
        <v>20</v>
      </c>
      <c r="G4757" t="s">
        <v>19</v>
      </c>
      <c r="H4757" s="2">
        <v>0</v>
      </c>
    </row>
    <row r="4758" spans="1:8">
      <c r="A4758" t="s">
        <v>120</v>
      </c>
      <c r="B4758" t="s">
        <v>121</v>
      </c>
      <c r="C4758" t="s">
        <v>25</v>
      </c>
      <c r="D4758" t="s">
        <v>29</v>
      </c>
      <c r="E4758">
        <v>2012</v>
      </c>
      <c r="F4758" t="s">
        <v>18</v>
      </c>
      <c r="G4758" t="s">
        <v>13</v>
      </c>
      <c r="H4758" s="2">
        <v>219424.4</v>
      </c>
    </row>
    <row r="4759" spans="1:8">
      <c r="A4759" t="s">
        <v>120</v>
      </c>
      <c r="B4759" t="s">
        <v>121</v>
      </c>
      <c r="C4759" t="s">
        <v>25</v>
      </c>
      <c r="D4759" t="s">
        <v>29</v>
      </c>
      <c r="E4759">
        <v>2012</v>
      </c>
      <c r="F4759" t="s">
        <v>14</v>
      </c>
      <c r="G4759" t="s">
        <v>15</v>
      </c>
      <c r="H4759" s="2">
        <v>7231.58</v>
      </c>
    </row>
    <row r="4760" spans="1:8">
      <c r="A4760" t="s">
        <v>120</v>
      </c>
      <c r="B4760" t="s">
        <v>121</v>
      </c>
      <c r="C4760" t="s">
        <v>25</v>
      </c>
      <c r="D4760" t="s">
        <v>29</v>
      </c>
      <c r="E4760">
        <v>2012</v>
      </c>
      <c r="F4760" t="s">
        <v>14</v>
      </c>
      <c r="G4760" t="s">
        <v>17</v>
      </c>
      <c r="H4760" s="2">
        <v>4773.1899999999996</v>
      </c>
    </row>
    <row r="4761" spans="1:8">
      <c r="A4761" t="s">
        <v>120</v>
      </c>
      <c r="B4761" t="s">
        <v>121</v>
      </c>
      <c r="C4761" t="s">
        <v>25</v>
      </c>
      <c r="D4761" t="s">
        <v>29</v>
      </c>
      <c r="E4761">
        <v>2013</v>
      </c>
      <c r="F4761" t="s">
        <v>22</v>
      </c>
      <c r="G4761" t="s">
        <v>17</v>
      </c>
      <c r="H4761" s="2">
        <v>62032.89</v>
      </c>
    </row>
    <row r="4762" spans="1:8">
      <c r="A4762" t="s">
        <v>120</v>
      </c>
      <c r="B4762" t="s">
        <v>121</v>
      </c>
      <c r="C4762" t="s">
        <v>25</v>
      </c>
      <c r="D4762" t="s">
        <v>29</v>
      </c>
      <c r="E4762">
        <v>2014</v>
      </c>
      <c r="F4762" t="s">
        <v>22</v>
      </c>
      <c r="G4762" t="s">
        <v>15</v>
      </c>
      <c r="H4762" s="2">
        <v>219948.49</v>
      </c>
    </row>
    <row r="4763" spans="1:8">
      <c r="A4763" t="s">
        <v>120</v>
      </c>
      <c r="B4763" t="s">
        <v>121</v>
      </c>
      <c r="C4763" t="s">
        <v>25</v>
      </c>
      <c r="D4763" t="s">
        <v>29</v>
      </c>
      <c r="E4763">
        <v>2014</v>
      </c>
      <c r="F4763" t="s">
        <v>18</v>
      </c>
      <c r="G4763" t="s">
        <v>19</v>
      </c>
      <c r="H4763" s="2">
        <v>13393.9</v>
      </c>
    </row>
    <row r="4764" spans="1:8">
      <c r="A4764" t="s">
        <v>120</v>
      </c>
      <c r="B4764" t="s">
        <v>121</v>
      </c>
      <c r="C4764" t="s">
        <v>25</v>
      </c>
      <c r="D4764" t="s">
        <v>29</v>
      </c>
      <c r="E4764">
        <v>2014</v>
      </c>
      <c r="F4764" t="s">
        <v>14</v>
      </c>
      <c r="G4764" t="s">
        <v>19</v>
      </c>
      <c r="H4764" s="2">
        <v>0</v>
      </c>
    </row>
    <row r="4765" spans="1:8">
      <c r="A4765" t="s">
        <v>120</v>
      </c>
      <c r="B4765" t="s">
        <v>121</v>
      </c>
      <c r="C4765" t="s">
        <v>25</v>
      </c>
      <c r="D4765" t="s">
        <v>29</v>
      </c>
      <c r="E4765">
        <v>2015</v>
      </c>
      <c r="F4765" t="s">
        <v>22</v>
      </c>
      <c r="G4765" t="s">
        <v>17</v>
      </c>
      <c r="H4765" s="2">
        <v>63312.08</v>
      </c>
    </row>
    <row r="4766" spans="1:8">
      <c r="A4766" t="s">
        <v>120</v>
      </c>
      <c r="B4766" t="s">
        <v>121</v>
      </c>
      <c r="C4766" t="s">
        <v>25</v>
      </c>
      <c r="D4766" t="s">
        <v>29</v>
      </c>
      <c r="E4766">
        <v>2015</v>
      </c>
      <c r="F4766" t="s">
        <v>16</v>
      </c>
      <c r="G4766" t="s">
        <v>15</v>
      </c>
      <c r="H4766" s="2">
        <v>87458.83</v>
      </c>
    </row>
    <row r="4767" spans="1:8">
      <c r="A4767" t="s">
        <v>120</v>
      </c>
      <c r="B4767" t="s">
        <v>121</v>
      </c>
      <c r="C4767" t="s">
        <v>25</v>
      </c>
      <c r="D4767" t="s">
        <v>29</v>
      </c>
      <c r="E4767">
        <v>2015</v>
      </c>
      <c r="F4767" t="s">
        <v>16</v>
      </c>
      <c r="G4767" t="s">
        <v>17</v>
      </c>
      <c r="H4767" s="2">
        <v>5011</v>
      </c>
    </row>
    <row r="4768" spans="1:8">
      <c r="A4768" t="s">
        <v>120</v>
      </c>
      <c r="B4768" t="s">
        <v>121</v>
      </c>
      <c r="C4768" t="s">
        <v>25</v>
      </c>
      <c r="D4768" t="s">
        <v>29</v>
      </c>
      <c r="E4768">
        <v>2016</v>
      </c>
      <c r="F4768" t="s">
        <v>22</v>
      </c>
      <c r="G4768" t="s">
        <v>13</v>
      </c>
      <c r="H4768" s="2">
        <v>30304.58</v>
      </c>
    </row>
    <row r="4769" spans="1:8">
      <c r="A4769" t="s">
        <v>120</v>
      </c>
      <c r="B4769" t="s">
        <v>121</v>
      </c>
      <c r="C4769" t="s">
        <v>25</v>
      </c>
      <c r="D4769" t="s">
        <v>29</v>
      </c>
      <c r="E4769">
        <v>2016</v>
      </c>
      <c r="F4769" t="s">
        <v>22</v>
      </c>
      <c r="G4769" t="s">
        <v>19</v>
      </c>
      <c r="H4769" s="2">
        <v>0</v>
      </c>
    </row>
    <row r="4770" spans="1:8">
      <c r="A4770" t="s">
        <v>120</v>
      </c>
      <c r="B4770" t="s">
        <v>121</v>
      </c>
      <c r="C4770" t="s">
        <v>25</v>
      </c>
      <c r="D4770" t="s">
        <v>29</v>
      </c>
      <c r="E4770">
        <v>2016</v>
      </c>
      <c r="F4770" t="s">
        <v>12</v>
      </c>
      <c r="G4770" t="s">
        <v>13</v>
      </c>
      <c r="H4770" s="2">
        <v>60741.01</v>
      </c>
    </row>
    <row r="4771" spans="1:8">
      <c r="A4771" t="s">
        <v>120</v>
      </c>
      <c r="B4771" t="s">
        <v>121</v>
      </c>
      <c r="C4771" t="s">
        <v>25</v>
      </c>
      <c r="D4771" t="s">
        <v>29</v>
      </c>
      <c r="E4771">
        <v>2016</v>
      </c>
      <c r="F4771" t="s">
        <v>12</v>
      </c>
      <c r="G4771" t="s">
        <v>17</v>
      </c>
      <c r="H4771" s="2">
        <v>1985.58</v>
      </c>
    </row>
    <row r="4772" spans="1:8">
      <c r="A4772" t="s">
        <v>120</v>
      </c>
      <c r="B4772" t="s">
        <v>121</v>
      </c>
      <c r="C4772" t="s">
        <v>25</v>
      </c>
      <c r="D4772" t="s">
        <v>29</v>
      </c>
      <c r="E4772">
        <v>2016</v>
      </c>
      <c r="F4772" t="s">
        <v>20</v>
      </c>
      <c r="G4772" t="s">
        <v>15</v>
      </c>
      <c r="H4772" s="2">
        <v>-379.43</v>
      </c>
    </row>
    <row r="4773" spans="1:8">
      <c r="A4773" t="s">
        <v>120</v>
      </c>
      <c r="B4773" t="s">
        <v>121</v>
      </c>
      <c r="C4773" t="s">
        <v>25</v>
      </c>
      <c r="D4773" t="s">
        <v>29</v>
      </c>
      <c r="E4773">
        <v>2016</v>
      </c>
      <c r="F4773" t="s">
        <v>14</v>
      </c>
      <c r="G4773" t="s">
        <v>15</v>
      </c>
      <c r="H4773" s="2">
        <v>7274.1</v>
      </c>
    </row>
    <row r="4774" spans="1:8">
      <c r="A4774" t="s">
        <v>120</v>
      </c>
      <c r="B4774" t="s">
        <v>121</v>
      </c>
      <c r="C4774" t="s">
        <v>25</v>
      </c>
      <c r="D4774" t="s">
        <v>29</v>
      </c>
      <c r="E4774">
        <v>2017</v>
      </c>
      <c r="F4774" t="s">
        <v>20</v>
      </c>
      <c r="G4774" t="s">
        <v>13</v>
      </c>
      <c r="H4774" s="2">
        <v>-36064.379999999997</v>
      </c>
    </row>
    <row r="4775" spans="1:8">
      <c r="A4775" t="s">
        <v>120</v>
      </c>
      <c r="B4775" t="s">
        <v>121</v>
      </c>
      <c r="C4775" t="s">
        <v>25</v>
      </c>
      <c r="D4775" t="s">
        <v>29</v>
      </c>
      <c r="E4775">
        <v>2017</v>
      </c>
      <c r="F4775" t="s">
        <v>20</v>
      </c>
      <c r="G4775" t="s">
        <v>17</v>
      </c>
      <c r="H4775" s="2">
        <v>-340.2</v>
      </c>
    </row>
    <row r="4776" spans="1:8">
      <c r="A4776" t="s">
        <v>120</v>
      </c>
      <c r="B4776" t="s">
        <v>121</v>
      </c>
      <c r="C4776" t="s">
        <v>25</v>
      </c>
      <c r="D4776" t="s">
        <v>29</v>
      </c>
      <c r="E4776">
        <v>2017</v>
      </c>
      <c r="F4776" t="s">
        <v>16</v>
      </c>
      <c r="G4776" t="s">
        <v>17</v>
      </c>
      <c r="H4776" s="2">
        <v>4502.43</v>
      </c>
    </row>
    <row r="4777" spans="1:8">
      <c r="A4777" t="s">
        <v>120</v>
      </c>
      <c r="B4777" t="s">
        <v>121</v>
      </c>
      <c r="C4777" t="s">
        <v>25</v>
      </c>
      <c r="D4777" t="s">
        <v>29</v>
      </c>
      <c r="E4777">
        <v>2018</v>
      </c>
      <c r="F4777" t="s">
        <v>12</v>
      </c>
      <c r="G4777" t="s">
        <v>15</v>
      </c>
      <c r="H4777" s="2">
        <v>4983.3500000000004</v>
      </c>
    </row>
    <row r="4778" spans="1:8">
      <c r="A4778" t="s">
        <v>120</v>
      </c>
      <c r="B4778" t="s">
        <v>121</v>
      </c>
      <c r="C4778" t="s">
        <v>25</v>
      </c>
      <c r="D4778" t="s">
        <v>29</v>
      </c>
      <c r="E4778">
        <v>2018</v>
      </c>
      <c r="F4778" t="s">
        <v>12</v>
      </c>
      <c r="G4778" t="s">
        <v>19</v>
      </c>
      <c r="H4778" s="2">
        <v>0</v>
      </c>
    </row>
    <row r="4779" spans="1:8">
      <c r="A4779" t="s">
        <v>120</v>
      </c>
      <c r="B4779" t="s">
        <v>121</v>
      </c>
      <c r="C4779" t="s">
        <v>25</v>
      </c>
      <c r="D4779" t="s">
        <v>29</v>
      </c>
      <c r="E4779">
        <v>2018</v>
      </c>
      <c r="F4779" t="s">
        <v>18</v>
      </c>
      <c r="G4779" t="s">
        <v>17</v>
      </c>
      <c r="H4779" s="2">
        <v>14714.92</v>
      </c>
    </row>
    <row r="4780" spans="1:8">
      <c r="A4780" t="s">
        <v>120</v>
      </c>
      <c r="B4780" t="s">
        <v>121</v>
      </c>
      <c r="C4780" t="s">
        <v>25</v>
      </c>
      <c r="D4780" t="s">
        <v>29</v>
      </c>
      <c r="E4780">
        <v>2018</v>
      </c>
      <c r="F4780" t="s">
        <v>21</v>
      </c>
      <c r="G4780" t="s">
        <v>13</v>
      </c>
      <c r="H4780" s="2">
        <v>33160.379999999997</v>
      </c>
    </row>
    <row r="4781" spans="1:8">
      <c r="A4781" t="s">
        <v>120</v>
      </c>
      <c r="B4781" t="s">
        <v>121</v>
      </c>
      <c r="C4781" t="s">
        <v>25</v>
      </c>
      <c r="D4781" t="s">
        <v>29</v>
      </c>
      <c r="E4781">
        <v>2018</v>
      </c>
      <c r="F4781" t="s">
        <v>16</v>
      </c>
      <c r="G4781" t="s">
        <v>17</v>
      </c>
      <c r="H4781" s="2">
        <v>5418.87</v>
      </c>
    </row>
    <row r="4782" spans="1:8">
      <c r="A4782" t="s">
        <v>120</v>
      </c>
      <c r="B4782" t="s">
        <v>121</v>
      </c>
      <c r="C4782" t="s">
        <v>25</v>
      </c>
      <c r="D4782" t="s">
        <v>29</v>
      </c>
      <c r="E4782">
        <v>2019</v>
      </c>
      <c r="F4782" t="s">
        <v>22</v>
      </c>
      <c r="G4782" t="s">
        <v>19</v>
      </c>
      <c r="H4782" s="2">
        <v>0</v>
      </c>
    </row>
    <row r="4783" spans="1:8">
      <c r="A4783" t="s">
        <v>120</v>
      </c>
      <c r="B4783" t="s">
        <v>121</v>
      </c>
      <c r="C4783" t="s">
        <v>25</v>
      </c>
      <c r="D4783" t="s">
        <v>29</v>
      </c>
      <c r="E4783">
        <v>2019</v>
      </c>
      <c r="F4783" t="s">
        <v>12</v>
      </c>
      <c r="G4783" t="s">
        <v>13</v>
      </c>
      <c r="H4783" s="2">
        <v>56518.01</v>
      </c>
    </row>
    <row r="4784" spans="1:8">
      <c r="A4784" t="s">
        <v>120</v>
      </c>
      <c r="B4784" t="s">
        <v>121</v>
      </c>
      <c r="C4784" t="s">
        <v>25</v>
      </c>
      <c r="D4784" t="s">
        <v>29</v>
      </c>
      <c r="E4784">
        <v>2019</v>
      </c>
      <c r="F4784" t="s">
        <v>20</v>
      </c>
      <c r="G4784" t="s">
        <v>17</v>
      </c>
      <c r="H4784" s="2">
        <v>-325.68</v>
      </c>
    </row>
    <row r="4785" spans="1:8">
      <c r="A4785" t="s">
        <v>120</v>
      </c>
      <c r="B4785" t="s">
        <v>121</v>
      </c>
      <c r="C4785" t="s">
        <v>25</v>
      </c>
      <c r="D4785" t="s">
        <v>29</v>
      </c>
      <c r="E4785">
        <v>2019</v>
      </c>
      <c r="F4785" t="s">
        <v>14</v>
      </c>
      <c r="G4785" t="s">
        <v>19</v>
      </c>
      <c r="H4785" s="2">
        <v>0</v>
      </c>
    </row>
    <row r="4786" spans="1:8">
      <c r="A4786" t="s">
        <v>120</v>
      </c>
      <c r="B4786" t="s">
        <v>121</v>
      </c>
      <c r="C4786" t="s">
        <v>25</v>
      </c>
      <c r="D4786" t="s">
        <v>29</v>
      </c>
      <c r="E4786">
        <v>2020</v>
      </c>
      <c r="F4786" t="s">
        <v>20</v>
      </c>
      <c r="G4786" t="s">
        <v>15</v>
      </c>
      <c r="H4786" s="2">
        <v>-333.4</v>
      </c>
    </row>
    <row r="4787" spans="1:8">
      <c r="A4787" t="s">
        <v>120</v>
      </c>
      <c r="B4787" t="s">
        <v>121</v>
      </c>
      <c r="C4787" t="s">
        <v>25</v>
      </c>
      <c r="D4787" t="s">
        <v>29</v>
      </c>
      <c r="E4787">
        <v>2020</v>
      </c>
      <c r="F4787" t="s">
        <v>20</v>
      </c>
      <c r="G4787" t="s">
        <v>17</v>
      </c>
      <c r="H4787" s="2">
        <v>-361.14</v>
      </c>
    </row>
    <row r="4788" spans="1:8">
      <c r="A4788" t="s">
        <v>120</v>
      </c>
      <c r="B4788" t="s">
        <v>121</v>
      </c>
      <c r="C4788" t="s">
        <v>25</v>
      </c>
      <c r="D4788" t="s">
        <v>29</v>
      </c>
      <c r="E4788">
        <v>2021</v>
      </c>
      <c r="F4788" t="s">
        <v>18</v>
      </c>
      <c r="G4788" t="s">
        <v>17</v>
      </c>
      <c r="H4788" s="2">
        <v>13713.37</v>
      </c>
    </row>
    <row r="4789" spans="1:8">
      <c r="A4789" t="s">
        <v>120</v>
      </c>
      <c r="B4789" t="s">
        <v>121</v>
      </c>
      <c r="C4789" t="s">
        <v>25</v>
      </c>
      <c r="D4789" t="s">
        <v>29</v>
      </c>
      <c r="E4789">
        <v>2021</v>
      </c>
      <c r="F4789" t="s">
        <v>21</v>
      </c>
      <c r="G4789" t="s">
        <v>15</v>
      </c>
      <c r="H4789" s="2">
        <v>688.71</v>
      </c>
    </row>
    <row r="4790" spans="1:8">
      <c r="A4790" t="s">
        <v>120</v>
      </c>
      <c r="B4790" t="s">
        <v>121</v>
      </c>
      <c r="C4790" t="s">
        <v>25</v>
      </c>
      <c r="D4790" t="s">
        <v>29</v>
      </c>
      <c r="E4790">
        <v>2022</v>
      </c>
      <c r="F4790" t="s">
        <v>21</v>
      </c>
      <c r="G4790" t="s">
        <v>15</v>
      </c>
      <c r="H4790" s="2">
        <v>656.75</v>
      </c>
    </row>
    <row r="4791" spans="1:8">
      <c r="A4791" t="s">
        <v>120</v>
      </c>
      <c r="B4791" t="s">
        <v>121</v>
      </c>
      <c r="C4791" t="s">
        <v>25</v>
      </c>
      <c r="D4791" t="s">
        <v>29</v>
      </c>
      <c r="E4791">
        <v>2023</v>
      </c>
      <c r="F4791" t="s">
        <v>22</v>
      </c>
      <c r="G4791" t="s">
        <v>19</v>
      </c>
      <c r="H4791" s="2">
        <v>0</v>
      </c>
    </row>
    <row r="4792" spans="1:8">
      <c r="A4792" t="s">
        <v>120</v>
      </c>
      <c r="B4792" t="s">
        <v>121</v>
      </c>
      <c r="C4792" t="s">
        <v>25</v>
      </c>
      <c r="D4792" t="s">
        <v>29</v>
      </c>
      <c r="E4792">
        <v>2023</v>
      </c>
      <c r="F4792" t="s">
        <v>18</v>
      </c>
      <c r="G4792" t="s">
        <v>17</v>
      </c>
      <c r="H4792" s="2">
        <v>11559.64</v>
      </c>
    </row>
    <row r="4793" spans="1:8">
      <c r="A4793" t="s">
        <v>120</v>
      </c>
      <c r="B4793" t="s">
        <v>121</v>
      </c>
      <c r="C4793" t="s">
        <v>25</v>
      </c>
      <c r="D4793" t="s">
        <v>29</v>
      </c>
      <c r="E4793">
        <v>2023</v>
      </c>
      <c r="F4793" t="s">
        <v>21</v>
      </c>
      <c r="G4793" t="s">
        <v>19</v>
      </c>
      <c r="H4793" s="2">
        <v>0</v>
      </c>
    </row>
    <row r="4794" spans="1:8">
      <c r="A4794" t="s">
        <v>120</v>
      </c>
      <c r="B4794" t="s">
        <v>121</v>
      </c>
      <c r="C4794" t="s">
        <v>25</v>
      </c>
      <c r="D4794" t="s">
        <v>29</v>
      </c>
      <c r="E4794">
        <v>2024</v>
      </c>
      <c r="F4794" t="s">
        <v>12</v>
      </c>
      <c r="G4794" t="s">
        <v>17</v>
      </c>
      <c r="H4794" s="2">
        <v>1861.63</v>
      </c>
    </row>
    <row r="4795" spans="1:8">
      <c r="A4795" t="s">
        <v>120</v>
      </c>
      <c r="B4795" t="s">
        <v>121</v>
      </c>
      <c r="C4795" t="s">
        <v>25</v>
      </c>
      <c r="D4795" t="s">
        <v>29</v>
      </c>
      <c r="E4795">
        <v>2024</v>
      </c>
      <c r="F4795" t="s">
        <v>18</v>
      </c>
      <c r="G4795" t="s">
        <v>17</v>
      </c>
      <c r="H4795" s="2">
        <v>13950.16</v>
      </c>
    </row>
    <row r="4796" spans="1:8">
      <c r="A4796" t="s">
        <v>120</v>
      </c>
      <c r="B4796" t="s">
        <v>121</v>
      </c>
      <c r="C4796" t="s">
        <v>25</v>
      </c>
      <c r="D4796" t="s">
        <v>29</v>
      </c>
      <c r="E4796">
        <v>2024</v>
      </c>
      <c r="F4796" t="s">
        <v>14</v>
      </c>
      <c r="G4796" t="s">
        <v>15</v>
      </c>
      <c r="H4796" s="2">
        <v>6546.84</v>
      </c>
    </row>
    <row r="4797" spans="1:8">
      <c r="A4797" t="s">
        <v>120</v>
      </c>
      <c r="B4797" t="s">
        <v>121</v>
      </c>
      <c r="C4797" t="s">
        <v>25</v>
      </c>
      <c r="D4797" t="s">
        <v>29</v>
      </c>
      <c r="E4797">
        <v>2024</v>
      </c>
      <c r="F4797" t="s">
        <v>14</v>
      </c>
      <c r="G4797" t="s">
        <v>13</v>
      </c>
      <c r="H4797" s="2">
        <v>200346.19</v>
      </c>
    </row>
    <row r="4798" spans="1:8">
      <c r="A4798" t="s">
        <v>120</v>
      </c>
      <c r="B4798" t="s">
        <v>121</v>
      </c>
      <c r="C4798" t="s">
        <v>25</v>
      </c>
      <c r="D4798" t="s">
        <v>29</v>
      </c>
      <c r="E4798">
        <v>2024</v>
      </c>
      <c r="F4798" t="s">
        <v>14</v>
      </c>
      <c r="G4798" t="s">
        <v>19</v>
      </c>
      <c r="H4798" s="2">
        <v>0</v>
      </c>
    </row>
    <row r="4799" spans="1:8">
      <c r="A4799" t="s">
        <v>120</v>
      </c>
      <c r="B4799" t="s">
        <v>121</v>
      </c>
      <c r="C4799" t="s">
        <v>25</v>
      </c>
      <c r="D4799" t="s">
        <v>29</v>
      </c>
      <c r="E4799">
        <v>2024</v>
      </c>
      <c r="F4799" t="s">
        <v>21</v>
      </c>
      <c r="G4799" t="s">
        <v>15</v>
      </c>
      <c r="H4799" s="2">
        <v>708.93</v>
      </c>
    </row>
    <row r="4800" spans="1:8">
      <c r="A4800" t="s">
        <v>122</v>
      </c>
      <c r="B4800" t="s">
        <v>123</v>
      </c>
      <c r="C4800" t="s">
        <v>25</v>
      </c>
      <c r="D4800" t="s">
        <v>11</v>
      </c>
      <c r="E4800">
        <v>1990</v>
      </c>
      <c r="F4800" t="s">
        <v>12</v>
      </c>
      <c r="G4800" t="s">
        <v>17</v>
      </c>
      <c r="H4800" s="2">
        <v>143.93</v>
      </c>
    </row>
    <row r="4801" spans="1:8">
      <c r="A4801" t="s">
        <v>122</v>
      </c>
      <c r="B4801" t="s">
        <v>123</v>
      </c>
      <c r="C4801" t="s">
        <v>25</v>
      </c>
      <c r="D4801" t="s">
        <v>11</v>
      </c>
      <c r="E4801">
        <v>1990</v>
      </c>
      <c r="F4801" t="s">
        <v>14</v>
      </c>
      <c r="G4801" t="s">
        <v>19</v>
      </c>
      <c r="H4801" s="2">
        <v>0</v>
      </c>
    </row>
    <row r="4802" spans="1:8">
      <c r="A4802" t="s">
        <v>122</v>
      </c>
      <c r="B4802" t="s">
        <v>123</v>
      </c>
      <c r="C4802" t="s">
        <v>25</v>
      </c>
      <c r="D4802" t="s">
        <v>11</v>
      </c>
      <c r="E4802">
        <v>1990</v>
      </c>
      <c r="F4802" t="s">
        <v>16</v>
      </c>
      <c r="G4802" t="s">
        <v>17</v>
      </c>
      <c r="H4802" s="2">
        <v>99.92</v>
      </c>
    </row>
    <row r="4803" spans="1:8">
      <c r="A4803" t="s">
        <v>122</v>
      </c>
      <c r="B4803" t="s">
        <v>123</v>
      </c>
      <c r="C4803" t="s">
        <v>25</v>
      </c>
      <c r="D4803" t="s">
        <v>11</v>
      </c>
      <c r="E4803">
        <v>1991</v>
      </c>
      <c r="F4803" t="s">
        <v>21</v>
      </c>
      <c r="G4803" t="s">
        <v>17</v>
      </c>
      <c r="H4803" s="2">
        <v>43.74</v>
      </c>
    </row>
    <row r="4804" spans="1:8">
      <c r="A4804" t="s">
        <v>122</v>
      </c>
      <c r="B4804" t="s">
        <v>123</v>
      </c>
      <c r="C4804" t="s">
        <v>25</v>
      </c>
      <c r="D4804" t="s">
        <v>11</v>
      </c>
      <c r="E4804">
        <v>1991</v>
      </c>
      <c r="F4804" t="s">
        <v>16</v>
      </c>
      <c r="G4804" t="s">
        <v>19</v>
      </c>
      <c r="H4804" s="2">
        <v>0</v>
      </c>
    </row>
    <row r="4805" spans="1:8">
      <c r="A4805" t="s">
        <v>122</v>
      </c>
      <c r="B4805" t="s">
        <v>123</v>
      </c>
      <c r="C4805" t="s">
        <v>25</v>
      </c>
      <c r="D4805" t="s">
        <v>11</v>
      </c>
      <c r="E4805">
        <v>1992</v>
      </c>
      <c r="F4805" t="s">
        <v>22</v>
      </c>
      <c r="G4805" t="s">
        <v>15</v>
      </c>
      <c r="H4805" s="2">
        <v>1969.03</v>
      </c>
    </row>
    <row r="4806" spans="1:8">
      <c r="A4806" t="s">
        <v>122</v>
      </c>
      <c r="B4806" t="s">
        <v>123</v>
      </c>
      <c r="C4806" t="s">
        <v>25</v>
      </c>
      <c r="D4806" t="s">
        <v>11</v>
      </c>
      <c r="E4806">
        <v>1992</v>
      </c>
      <c r="F4806" t="s">
        <v>18</v>
      </c>
      <c r="G4806" t="s">
        <v>17</v>
      </c>
      <c r="H4806" s="2">
        <v>1725.28</v>
      </c>
    </row>
    <row r="4807" spans="1:8">
      <c r="A4807" t="s">
        <v>122</v>
      </c>
      <c r="B4807" t="s">
        <v>123</v>
      </c>
      <c r="C4807" t="s">
        <v>25</v>
      </c>
      <c r="D4807" t="s">
        <v>11</v>
      </c>
      <c r="E4807">
        <v>1992</v>
      </c>
      <c r="F4807" t="s">
        <v>21</v>
      </c>
      <c r="G4807" t="s">
        <v>13</v>
      </c>
      <c r="H4807" s="2">
        <v>4304.6000000000004</v>
      </c>
    </row>
    <row r="4808" spans="1:8">
      <c r="A4808" t="s">
        <v>122</v>
      </c>
      <c r="B4808" t="s">
        <v>123</v>
      </c>
      <c r="C4808" t="s">
        <v>25</v>
      </c>
      <c r="D4808" t="s">
        <v>11</v>
      </c>
      <c r="E4808">
        <v>1992</v>
      </c>
      <c r="F4808" t="s">
        <v>16</v>
      </c>
      <c r="G4808" t="s">
        <v>19</v>
      </c>
      <c r="H4808" s="2">
        <v>0</v>
      </c>
    </row>
    <row r="4809" spans="1:8">
      <c r="A4809" t="s">
        <v>122</v>
      </c>
      <c r="B4809" t="s">
        <v>123</v>
      </c>
      <c r="C4809" t="s">
        <v>25</v>
      </c>
      <c r="D4809" t="s">
        <v>11</v>
      </c>
      <c r="E4809">
        <v>1993</v>
      </c>
      <c r="F4809" t="s">
        <v>16</v>
      </c>
      <c r="G4809" t="s">
        <v>13</v>
      </c>
      <c r="H4809" s="2">
        <v>272.64999999999998</v>
      </c>
    </row>
    <row r="4810" spans="1:8">
      <c r="A4810" t="s">
        <v>122</v>
      </c>
      <c r="B4810" t="s">
        <v>123</v>
      </c>
      <c r="C4810" t="s">
        <v>25</v>
      </c>
      <c r="D4810" t="s">
        <v>11</v>
      </c>
      <c r="E4810">
        <v>1995</v>
      </c>
      <c r="F4810" t="s">
        <v>12</v>
      </c>
      <c r="G4810" t="s">
        <v>15</v>
      </c>
      <c r="H4810" s="2">
        <v>333.24</v>
      </c>
    </row>
    <row r="4811" spans="1:8">
      <c r="A4811" t="s">
        <v>122</v>
      </c>
      <c r="B4811" t="s">
        <v>123</v>
      </c>
      <c r="C4811" t="s">
        <v>25</v>
      </c>
      <c r="D4811" t="s">
        <v>11</v>
      </c>
      <c r="E4811">
        <v>1995</v>
      </c>
      <c r="F4811" t="s">
        <v>21</v>
      </c>
      <c r="G4811" t="s">
        <v>17</v>
      </c>
      <c r="H4811" s="2">
        <v>39.93</v>
      </c>
    </row>
    <row r="4812" spans="1:8">
      <c r="A4812" t="s">
        <v>122</v>
      </c>
      <c r="B4812" t="s">
        <v>123</v>
      </c>
      <c r="C4812" t="s">
        <v>25</v>
      </c>
      <c r="D4812" t="s">
        <v>11</v>
      </c>
      <c r="E4812">
        <v>1996</v>
      </c>
      <c r="F4812" t="s">
        <v>22</v>
      </c>
      <c r="G4812" t="s">
        <v>15</v>
      </c>
      <c r="H4812" s="2">
        <v>1959.16</v>
      </c>
    </row>
    <row r="4813" spans="1:8">
      <c r="A4813" t="s">
        <v>122</v>
      </c>
      <c r="B4813" t="s">
        <v>123</v>
      </c>
      <c r="C4813" t="s">
        <v>25</v>
      </c>
      <c r="D4813" t="s">
        <v>11</v>
      </c>
      <c r="E4813">
        <v>1996</v>
      </c>
      <c r="F4813" t="s">
        <v>12</v>
      </c>
      <c r="G4813" t="s">
        <v>13</v>
      </c>
      <c r="H4813" s="2">
        <v>3630.48</v>
      </c>
    </row>
    <row r="4814" spans="1:8">
      <c r="A4814" t="s">
        <v>122</v>
      </c>
      <c r="B4814" t="s">
        <v>123</v>
      </c>
      <c r="C4814" t="s">
        <v>25</v>
      </c>
      <c r="D4814" t="s">
        <v>11</v>
      </c>
      <c r="E4814">
        <v>1996</v>
      </c>
      <c r="F4814" t="s">
        <v>21</v>
      </c>
      <c r="G4814" t="s">
        <v>15</v>
      </c>
      <c r="H4814" s="2">
        <v>77.959999999999994</v>
      </c>
    </row>
    <row r="4815" spans="1:8">
      <c r="A4815" t="s">
        <v>122</v>
      </c>
      <c r="B4815" t="s">
        <v>123</v>
      </c>
      <c r="C4815" t="s">
        <v>25</v>
      </c>
      <c r="D4815" t="s">
        <v>11</v>
      </c>
      <c r="E4815">
        <v>1997</v>
      </c>
      <c r="F4815" t="s">
        <v>22</v>
      </c>
      <c r="G4815" t="s">
        <v>13</v>
      </c>
      <c r="H4815" s="2">
        <v>301.58999999999997</v>
      </c>
    </row>
    <row r="4816" spans="1:8">
      <c r="A4816" t="s">
        <v>122</v>
      </c>
      <c r="B4816" t="s">
        <v>123</v>
      </c>
      <c r="C4816" t="s">
        <v>25</v>
      </c>
      <c r="D4816" t="s">
        <v>11</v>
      </c>
      <c r="E4816">
        <v>1997</v>
      </c>
      <c r="F4816" t="s">
        <v>21</v>
      </c>
      <c r="G4816" t="s">
        <v>17</v>
      </c>
      <c r="H4816" s="2">
        <v>45.86</v>
      </c>
    </row>
    <row r="4817" spans="1:8">
      <c r="A4817" t="s">
        <v>122</v>
      </c>
      <c r="B4817" t="s">
        <v>123</v>
      </c>
      <c r="C4817" t="s">
        <v>25</v>
      </c>
      <c r="D4817" t="s">
        <v>11</v>
      </c>
      <c r="E4817">
        <v>1997</v>
      </c>
      <c r="F4817" t="s">
        <v>16</v>
      </c>
      <c r="G4817" t="s">
        <v>15</v>
      </c>
      <c r="H4817" s="2">
        <v>1568.81</v>
      </c>
    </row>
    <row r="4818" spans="1:8">
      <c r="A4818" t="s">
        <v>122</v>
      </c>
      <c r="B4818" t="s">
        <v>123</v>
      </c>
      <c r="C4818" t="s">
        <v>25</v>
      </c>
      <c r="D4818" t="s">
        <v>11</v>
      </c>
      <c r="E4818">
        <v>1998</v>
      </c>
      <c r="F4818" t="s">
        <v>22</v>
      </c>
      <c r="G4818" t="s">
        <v>17</v>
      </c>
      <c r="H4818" s="2">
        <v>671.01</v>
      </c>
    </row>
    <row r="4819" spans="1:8">
      <c r="A4819" t="s">
        <v>122</v>
      </c>
      <c r="B4819" t="s">
        <v>123</v>
      </c>
      <c r="C4819" t="s">
        <v>25</v>
      </c>
      <c r="D4819" t="s">
        <v>11</v>
      </c>
      <c r="E4819">
        <v>1998</v>
      </c>
      <c r="F4819" t="s">
        <v>21</v>
      </c>
      <c r="G4819" t="s">
        <v>19</v>
      </c>
      <c r="H4819" s="2">
        <v>0</v>
      </c>
    </row>
    <row r="4820" spans="1:8">
      <c r="A4820" t="s">
        <v>122</v>
      </c>
      <c r="B4820" t="s">
        <v>123</v>
      </c>
      <c r="C4820" t="s">
        <v>25</v>
      </c>
      <c r="D4820" t="s">
        <v>11</v>
      </c>
      <c r="E4820">
        <v>1999</v>
      </c>
      <c r="F4820" t="s">
        <v>22</v>
      </c>
      <c r="G4820" t="s">
        <v>19</v>
      </c>
      <c r="H4820" s="2">
        <v>0</v>
      </c>
    </row>
    <row r="4821" spans="1:8">
      <c r="A4821" t="s">
        <v>122</v>
      </c>
      <c r="B4821" t="s">
        <v>123</v>
      </c>
      <c r="C4821" t="s">
        <v>25</v>
      </c>
      <c r="D4821" t="s">
        <v>11</v>
      </c>
      <c r="E4821">
        <v>1999</v>
      </c>
      <c r="F4821" t="s">
        <v>18</v>
      </c>
      <c r="G4821" t="s">
        <v>17</v>
      </c>
      <c r="H4821" s="2">
        <v>1822.61</v>
      </c>
    </row>
    <row r="4822" spans="1:8">
      <c r="A4822" t="s">
        <v>122</v>
      </c>
      <c r="B4822" t="s">
        <v>123</v>
      </c>
      <c r="C4822" t="s">
        <v>25</v>
      </c>
      <c r="D4822" t="s">
        <v>11</v>
      </c>
      <c r="E4822">
        <v>1999</v>
      </c>
      <c r="F4822" t="s">
        <v>20</v>
      </c>
      <c r="G4822" t="s">
        <v>15</v>
      </c>
      <c r="H4822" s="2">
        <v>19.02</v>
      </c>
    </row>
    <row r="4823" spans="1:8">
      <c r="A4823" t="s">
        <v>122</v>
      </c>
      <c r="B4823" t="s">
        <v>123</v>
      </c>
      <c r="C4823" t="s">
        <v>25</v>
      </c>
      <c r="D4823" t="s">
        <v>11</v>
      </c>
      <c r="E4823">
        <v>1999</v>
      </c>
      <c r="F4823" t="s">
        <v>21</v>
      </c>
      <c r="G4823" t="s">
        <v>13</v>
      </c>
      <c r="H4823" s="2">
        <v>4659.4399999999996</v>
      </c>
    </row>
    <row r="4824" spans="1:8">
      <c r="A4824" t="s">
        <v>122</v>
      </c>
      <c r="B4824" t="s">
        <v>123</v>
      </c>
      <c r="C4824" t="s">
        <v>25</v>
      </c>
      <c r="D4824" t="s">
        <v>11</v>
      </c>
      <c r="E4824">
        <v>2000</v>
      </c>
      <c r="F4824" t="s">
        <v>18</v>
      </c>
      <c r="G4824" t="s">
        <v>15</v>
      </c>
      <c r="H4824" s="2">
        <v>1489.45</v>
      </c>
    </row>
    <row r="4825" spans="1:8">
      <c r="A4825" t="s">
        <v>122</v>
      </c>
      <c r="B4825" t="s">
        <v>123</v>
      </c>
      <c r="C4825" t="s">
        <v>25</v>
      </c>
      <c r="D4825" t="s">
        <v>11</v>
      </c>
      <c r="E4825">
        <v>2000</v>
      </c>
      <c r="F4825" t="s">
        <v>18</v>
      </c>
      <c r="G4825" t="s">
        <v>17</v>
      </c>
      <c r="H4825" s="2">
        <v>1491.36</v>
      </c>
    </row>
    <row r="4826" spans="1:8">
      <c r="A4826" t="s">
        <v>122</v>
      </c>
      <c r="B4826" t="s">
        <v>123</v>
      </c>
      <c r="C4826" t="s">
        <v>25</v>
      </c>
      <c r="D4826" t="s">
        <v>11</v>
      </c>
      <c r="E4826">
        <v>2000</v>
      </c>
      <c r="F4826" t="s">
        <v>14</v>
      </c>
      <c r="G4826" t="s">
        <v>13</v>
      </c>
      <c r="H4826" s="2">
        <v>4523.25</v>
      </c>
    </row>
    <row r="4827" spans="1:8">
      <c r="A4827" t="s">
        <v>122</v>
      </c>
      <c r="B4827" t="s">
        <v>123</v>
      </c>
      <c r="C4827" t="s">
        <v>25</v>
      </c>
      <c r="D4827" t="s">
        <v>11</v>
      </c>
      <c r="E4827">
        <v>2000</v>
      </c>
      <c r="F4827" t="s">
        <v>16</v>
      </c>
      <c r="G4827" t="s">
        <v>15</v>
      </c>
      <c r="H4827" s="2">
        <v>1462.3</v>
      </c>
    </row>
    <row r="4828" spans="1:8">
      <c r="A4828" t="s">
        <v>122</v>
      </c>
      <c r="B4828" t="s">
        <v>123</v>
      </c>
      <c r="C4828" t="s">
        <v>25</v>
      </c>
      <c r="D4828" t="s">
        <v>11</v>
      </c>
      <c r="E4828">
        <v>2000</v>
      </c>
      <c r="F4828" t="s">
        <v>16</v>
      </c>
      <c r="G4828" t="s">
        <v>17</v>
      </c>
      <c r="H4828" s="2">
        <v>88.85</v>
      </c>
    </row>
    <row r="4829" spans="1:8">
      <c r="A4829" t="s">
        <v>122</v>
      </c>
      <c r="B4829" t="s">
        <v>123</v>
      </c>
      <c r="C4829" t="s">
        <v>25</v>
      </c>
      <c r="D4829" t="s">
        <v>11</v>
      </c>
      <c r="E4829">
        <v>2001</v>
      </c>
      <c r="F4829" t="s">
        <v>12</v>
      </c>
      <c r="G4829" t="s">
        <v>15</v>
      </c>
      <c r="H4829" s="2">
        <v>322.11</v>
      </c>
    </row>
    <row r="4830" spans="1:8">
      <c r="A4830" t="s">
        <v>122</v>
      </c>
      <c r="B4830" t="s">
        <v>123</v>
      </c>
      <c r="C4830" t="s">
        <v>25</v>
      </c>
      <c r="D4830" t="s">
        <v>11</v>
      </c>
      <c r="E4830">
        <v>2001</v>
      </c>
      <c r="F4830" t="s">
        <v>12</v>
      </c>
      <c r="G4830" t="s">
        <v>19</v>
      </c>
      <c r="H4830" s="2">
        <v>0</v>
      </c>
    </row>
    <row r="4831" spans="1:8">
      <c r="A4831" t="s">
        <v>122</v>
      </c>
      <c r="B4831" t="s">
        <v>123</v>
      </c>
      <c r="C4831" t="s">
        <v>25</v>
      </c>
      <c r="D4831" t="s">
        <v>11</v>
      </c>
      <c r="E4831">
        <v>2001</v>
      </c>
      <c r="F4831" t="s">
        <v>16</v>
      </c>
      <c r="G4831" t="s">
        <v>15</v>
      </c>
      <c r="H4831" s="2">
        <v>1461.34</v>
      </c>
    </row>
    <row r="4832" spans="1:8">
      <c r="A4832" t="s">
        <v>122</v>
      </c>
      <c r="B4832" t="s">
        <v>123</v>
      </c>
      <c r="C4832" t="s">
        <v>25</v>
      </c>
      <c r="D4832" t="s">
        <v>11</v>
      </c>
      <c r="E4832">
        <v>2002</v>
      </c>
      <c r="F4832" t="s">
        <v>12</v>
      </c>
      <c r="G4832" t="s">
        <v>17</v>
      </c>
      <c r="H4832" s="2">
        <v>158.86000000000001</v>
      </c>
    </row>
    <row r="4833" spans="1:8">
      <c r="A4833" t="s">
        <v>122</v>
      </c>
      <c r="B4833" t="s">
        <v>123</v>
      </c>
      <c r="C4833" t="s">
        <v>25</v>
      </c>
      <c r="D4833" t="s">
        <v>11</v>
      </c>
      <c r="E4833">
        <v>2002</v>
      </c>
      <c r="F4833" t="s">
        <v>18</v>
      </c>
      <c r="G4833" t="s">
        <v>17</v>
      </c>
      <c r="H4833" s="2">
        <v>1792.77</v>
      </c>
    </row>
    <row r="4834" spans="1:8">
      <c r="A4834" t="s">
        <v>122</v>
      </c>
      <c r="B4834" t="s">
        <v>123</v>
      </c>
      <c r="C4834" t="s">
        <v>25</v>
      </c>
      <c r="D4834" t="s">
        <v>11</v>
      </c>
      <c r="E4834">
        <v>2002</v>
      </c>
      <c r="F4834" t="s">
        <v>21</v>
      </c>
      <c r="G4834" t="s">
        <v>17</v>
      </c>
      <c r="H4834" s="2">
        <v>46.94</v>
      </c>
    </row>
    <row r="4835" spans="1:8">
      <c r="A4835" t="s">
        <v>122</v>
      </c>
      <c r="B4835" t="s">
        <v>123</v>
      </c>
      <c r="C4835" t="s">
        <v>25</v>
      </c>
      <c r="D4835" t="s">
        <v>11</v>
      </c>
      <c r="E4835">
        <v>2003</v>
      </c>
      <c r="F4835" t="s">
        <v>22</v>
      </c>
      <c r="G4835" t="s">
        <v>19</v>
      </c>
      <c r="H4835" s="2">
        <v>0</v>
      </c>
    </row>
    <row r="4836" spans="1:8">
      <c r="A4836" t="s">
        <v>122</v>
      </c>
      <c r="B4836" t="s">
        <v>123</v>
      </c>
      <c r="C4836" t="s">
        <v>25</v>
      </c>
      <c r="D4836" t="s">
        <v>11</v>
      </c>
      <c r="E4836">
        <v>2003</v>
      </c>
      <c r="F4836" t="s">
        <v>18</v>
      </c>
      <c r="G4836" t="s">
        <v>17</v>
      </c>
      <c r="H4836" s="2">
        <v>1826.44</v>
      </c>
    </row>
    <row r="4837" spans="1:8">
      <c r="A4837" t="s">
        <v>122</v>
      </c>
      <c r="B4837" t="s">
        <v>123</v>
      </c>
      <c r="C4837" t="s">
        <v>25</v>
      </c>
      <c r="D4837" t="s">
        <v>11</v>
      </c>
      <c r="E4837">
        <v>2003</v>
      </c>
      <c r="F4837" t="s">
        <v>21</v>
      </c>
      <c r="G4837" t="s">
        <v>17</v>
      </c>
      <c r="H4837" s="2">
        <v>49.11</v>
      </c>
    </row>
    <row r="4838" spans="1:8">
      <c r="A4838" t="s">
        <v>122</v>
      </c>
      <c r="B4838" t="s">
        <v>123</v>
      </c>
      <c r="C4838" t="s">
        <v>25</v>
      </c>
      <c r="D4838" t="s">
        <v>11</v>
      </c>
      <c r="E4838">
        <v>2003</v>
      </c>
      <c r="F4838" t="s">
        <v>16</v>
      </c>
      <c r="G4838" t="s">
        <v>17</v>
      </c>
      <c r="H4838" s="2">
        <v>103.07</v>
      </c>
    </row>
    <row r="4839" spans="1:8">
      <c r="A4839" t="s">
        <v>122</v>
      </c>
      <c r="B4839" t="s">
        <v>123</v>
      </c>
      <c r="C4839" t="s">
        <v>25</v>
      </c>
      <c r="D4839" t="s">
        <v>11</v>
      </c>
      <c r="E4839">
        <v>2004</v>
      </c>
      <c r="F4839" t="s">
        <v>18</v>
      </c>
      <c r="G4839" t="s">
        <v>19</v>
      </c>
      <c r="H4839" s="2">
        <v>1872.35</v>
      </c>
    </row>
    <row r="4840" spans="1:8">
      <c r="A4840" t="s">
        <v>122</v>
      </c>
      <c r="B4840" t="s">
        <v>123</v>
      </c>
      <c r="C4840" t="s">
        <v>25</v>
      </c>
      <c r="D4840" t="s">
        <v>11</v>
      </c>
      <c r="E4840">
        <v>2005</v>
      </c>
      <c r="F4840" t="s">
        <v>22</v>
      </c>
      <c r="G4840" t="s">
        <v>19</v>
      </c>
      <c r="H4840" s="2">
        <v>0</v>
      </c>
    </row>
    <row r="4841" spans="1:8">
      <c r="A4841" t="s">
        <v>122</v>
      </c>
      <c r="B4841" t="s">
        <v>123</v>
      </c>
      <c r="C4841" t="s">
        <v>25</v>
      </c>
      <c r="D4841" t="s">
        <v>11</v>
      </c>
      <c r="E4841">
        <v>2005</v>
      </c>
      <c r="F4841" t="s">
        <v>12</v>
      </c>
      <c r="G4841" t="s">
        <v>13</v>
      </c>
      <c r="H4841" s="2">
        <v>3879.7</v>
      </c>
    </row>
    <row r="4842" spans="1:8">
      <c r="A4842" t="s">
        <v>122</v>
      </c>
      <c r="B4842" t="s">
        <v>123</v>
      </c>
      <c r="C4842" t="s">
        <v>25</v>
      </c>
      <c r="D4842" t="s">
        <v>11</v>
      </c>
      <c r="E4842">
        <v>2005</v>
      </c>
      <c r="F4842" t="s">
        <v>21</v>
      </c>
      <c r="G4842" t="s">
        <v>19</v>
      </c>
      <c r="H4842" s="2">
        <v>0</v>
      </c>
    </row>
    <row r="4843" spans="1:8">
      <c r="A4843" t="s">
        <v>122</v>
      </c>
      <c r="B4843" t="s">
        <v>123</v>
      </c>
      <c r="C4843" t="s">
        <v>25</v>
      </c>
      <c r="D4843" t="s">
        <v>11</v>
      </c>
      <c r="E4843">
        <v>2006</v>
      </c>
      <c r="F4843" t="s">
        <v>18</v>
      </c>
      <c r="G4843" t="s">
        <v>13</v>
      </c>
      <c r="H4843" s="2">
        <v>28768.44</v>
      </c>
    </row>
    <row r="4844" spans="1:8">
      <c r="A4844" t="s">
        <v>122</v>
      </c>
      <c r="B4844" t="s">
        <v>123</v>
      </c>
      <c r="C4844" t="s">
        <v>25</v>
      </c>
      <c r="D4844" t="s">
        <v>11</v>
      </c>
      <c r="E4844">
        <v>2006</v>
      </c>
      <c r="F4844" t="s">
        <v>14</v>
      </c>
      <c r="G4844" t="s">
        <v>17</v>
      </c>
      <c r="H4844" s="2">
        <v>116.97</v>
      </c>
    </row>
    <row r="4845" spans="1:8">
      <c r="A4845" t="s">
        <v>122</v>
      </c>
      <c r="B4845" t="s">
        <v>123</v>
      </c>
      <c r="C4845" t="s">
        <v>25</v>
      </c>
      <c r="D4845" t="s">
        <v>11</v>
      </c>
      <c r="E4845">
        <v>2006</v>
      </c>
      <c r="F4845" t="s">
        <v>16</v>
      </c>
      <c r="G4845" t="s">
        <v>17</v>
      </c>
      <c r="H4845" s="2">
        <v>116.19</v>
      </c>
    </row>
    <row r="4846" spans="1:8">
      <c r="A4846" t="s">
        <v>122</v>
      </c>
      <c r="B4846" t="s">
        <v>123</v>
      </c>
      <c r="C4846" t="s">
        <v>25</v>
      </c>
      <c r="D4846" t="s">
        <v>11</v>
      </c>
      <c r="E4846">
        <v>2007</v>
      </c>
      <c r="F4846" t="s">
        <v>18</v>
      </c>
      <c r="G4846" t="s">
        <v>13</v>
      </c>
      <c r="H4846" s="2">
        <v>30491.25</v>
      </c>
    </row>
    <row r="4847" spans="1:8">
      <c r="A4847" t="s">
        <v>122</v>
      </c>
      <c r="B4847" t="s">
        <v>123</v>
      </c>
      <c r="C4847" t="s">
        <v>25</v>
      </c>
      <c r="D4847" t="s">
        <v>11</v>
      </c>
      <c r="E4847">
        <v>2007</v>
      </c>
      <c r="F4847" t="s">
        <v>21</v>
      </c>
      <c r="G4847" t="s">
        <v>13</v>
      </c>
      <c r="H4847" s="2">
        <v>4476.74</v>
      </c>
    </row>
    <row r="4848" spans="1:8">
      <c r="A4848" t="s">
        <v>122</v>
      </c>
      <c r="B4848" t="s">
        <v>123</v>
      </c>
      <c r="C4848" t="s">
        <v>25</v>
      </c>
      <c r="D4848" t="s">
        <v>11</v>
      </c>
      <c r="E4848">
        <v>2008</v>
      </c>
      <c r="F4848" t="s">
        <v>12</v>
      </c>
      <c r="G4848" t="s">
        <v>17</v>
      </c>
      <c r="H4848" s="2">
        <v>150.11000000000001</v>
      </c>
    </row>
    <row r="4849" spans="1:8">
      <c r="A4849" t="s">
        <v>122</v>
      </c>
      <c r="B4849" t="s">
        <v>123</v>
      </c>
      <c r="C4849" t="s">
        <v>25</v>
      </c>
      <c r="D4849" t="s">
        <v>11</v>
      </c>
      <c r="E4849">
        <v>2008</v>
      </c>
      <c r="F4849" t="s">
        <v>18</v>
      </c>
      <c r="G4849" t="s">
        <v>17</v>
      </c>
      <c r="H4849" s="2">
        <v>1717.81</v>
      </c>
    </row>
    <row r="4850" spans="1:8">
      <c r="A4850" t="s">
        <v>122</v>
      </c>
      <c r="B4850" t="s">
        <v>123</v>
      </c>
      <c r="C4850" t="s">
        <v>25</v>
      </c>
      <c r="D4850" t="s">
        <v>11</v>
      </c>
      <c r="E4850">
        <v>2008</v>
      </c>
      <c r="F4850" t="s">
        <v>16</v>
      </c>
      <c r="G4850" t="s">
        <v>19</v>
      </c>
      <c r="H4850" s="2">
        <v>0</v>
      </c>
    </row>
    <row r="4851" spans="1:8">
      <c r="A4851" t="s">
        <v>122</v>
      </c>
      <c r="B4851" t="s">
        <v>123</v>
      </c>
      <c r="C4851" t="s">
        <v>25</v>
      </c>
      <c r="D4851" t="s">
        <v>11</v>
      </c>
      <c r="E4851">
        <v>2009</v>
      </c>
      <c r="F4851" t="s">
        <v>18</v>
      </c>
      <c r="G4851" t="s">
        <v>13</v>
      </c>
      <c r="H4851" s="2">
        <v>32032.080000000002</v>
      </c>
    </row>
    <row r="4852" spans="1:8">
      <c r="A4852" t="s">
        <v>122</v>
      </c>
      <c r="B4852" t="s">
        <v>123</v>
      </c>
      <c r="C4852" t="s">
        <v>25</v>
      </c>
      <c r="D4852" t="s">
        <v>11</v>
      </c>
      <c r="E4852">
        <v>2009</v>
      </c>
      <c r="F4852" t="s">
        <v>20</v>
      </c>
      <c r="G4852" t="s">
        <v>15</v>
      </c>
      <c r="H4852" s="2">
        <v>20.74</v>
      </c>
    </row>
    <row r="4853" spans="1:8">
      <c r="A4853" t="s">
        <v>122</v>
      </c>
      <c r="B4853" t="s">
        <v>123</v>
      </c>
      <c r="C4853" t="s">
        <v>25</v>
      </c>
      <c r="D4853" t="s">
        <v>11</v>
      </c>
      <c r="E4853">
        <v>2009</v>
      </c>
      <c r="F4853" t="s">
        <v>21</v>
      </c>
      <c r="G4853" t="s">
        <v>19</v>
      </c>
      <c r="H4853" s="2">
        <v>0</v>
      </c>
    </row>
    <row r="4854" spans="1:8">
      <c r="A4854" t="s">
        <v>122</v>
      </c>
      <c r="B4854" t="s">
        <v>123</v>
      </c>
      <c r="C4854" t="s">
        <v>25</v>
      </c>
      <c r="D4854" t="s">
        <v>11</v>
      </c>
      <c r="E4854">
        <v>2009</v>
      </c>
      <c r="F4854" t="s">
        <v>16</v>
      </c>
      <c r="G4854" t="s">
        <v>19</v>
      </c>
      <c r="H4854" s="2">
        <v>0</v>
      </c>
    </row>
    <row r="4855" spans="1:8">
      <c r="A4855" t="s">
        <v>122</v>
      </c>
      <c r="B4855" t="s">
        <v>123</v>
      </c>
      <c r="C4855" t="s">
        <v>25</v>
      </c>
      <c r="D4855" t="s">
        <v>11</v>
      </c>
      <c r="E4855">
        <v>2010</v>
      </c>
      <c r="F4855" t="s">
        <v>18</v>
      </c>
      <c r="G4855" t="s">
        <v>15</v>
      </c>
      <c r="H4855" s="2">
        <v>1591.94</v>
      </c>
    </row>
    <row r="4856" spans="1:8">
      <c r="A4856" t="s">
        <v>122</v>
      </c>
      <c r="B4856" t="s">
        <v>123</v>
      </c>
      <c r="C4856" t="s">
        <v>25</v>
      </c>
      <c r="D4856" t="s">
        <v>11</v>
      </c>
      <c r="E4856">
        <v>2010</v>
      </c>
      <c r="F4856" t="s">
        <v>14</v>
      </c>
      <c r="G4856" t="s">
        <v>13</v>
      </c>
      <c r="H4856" s="2">
        <v>4799.4799999999996</v>
      </c>
    </row>
    <row r="4857" spans="1:8">
      <c r="A4857" t="s">
        <v>122</v>
      </c>
      <c r="B4857" t="s">
        <v>123</v>
      </c>
      <c r="C4857" t="s">
        <v>25</v>
      </c>
      <c r="D4857" t="s">
        <v>11</v>
      </c>
      <c r="E4857">
        <v>2011</v>
      </c>
      <c r="F4857" t="s">
        <v>12</v>
      </c>
      <c r="G4857" t="s">
        <v>13</v>
      </c>
      <c r="H4857" s="2">
        <v>4711.9399999999996</v>
      </c>
    </row>
    <row r="4858" spans="1:8">
      <c r="A4858" t="s">
        <v>122</v>
      </c>
      <c r="B4858" t="s">
        <v>123</v>
      </c>
      <c r="C4858" t="s">
        <v>25</v>
      </c>
      <c r="D4858" t="s">
        <v>11</v>
      </c>
      <c r="E4858">
        <v>2011</v>
      </c>
      <c r="F4858" t="s">
        <v>18</v>
      </c>
      <c r="G4858" t="s">
        <v>15</v>
      </c>
      <c r="H4858" s="2">
        <v>1838.67</v>
      </c>
    </row>
    <row r="4859" spans="1:8">
      <c r="A4859" t="s">
        <v>122</v>
      </c>
      <c r="B4859" t="s">
        <v>123</v>
      </c>
      <c r="C4859" t="s">
        <v>25</v>
      </c>
      <c r="D4859" t="s">
        <v>11</v>
      </c>
      <c r="E4859">
        <v>2011</v>
      </c>
      <c r="F4859" t="s">
        <v>14</v>
      </c>
      <c r="G4859" t="s">
        <v>13</v>
      </c>
      <c r="H4859" s="2">
        <v>5403.32</v>
      </c>
    </row>
    <row r="4860" spans="1:8">
      <c r="A4860" t="s">
        <v>122</v>
      </c>
      <c r="B4860" t="s">
        <v>123</v>
      </c>
      <c r="C4860" t="s">
        <v>25</v>
      </c>
      <c r="D4860" t="s">
        <v>11</v>
      </c>
      <c r="E4860">
        <v>2011</v>
      </c>
      <c r="F4860" t="s">
        <v>21</v>
      </c>
      <c r="G4860" t="s">
        <v>17</v>
      </c>
      <c r="H4860" s="2">
        <v>45.78</v>
      </c>
    </row>
    <row r="4861" spans="1:8">
      <c r="A4861" t="s">
        <v>122</v>
      </c>
      <c r="B4861" t="s">
        <v>123</v>
      </c>
      <c r="C4861" t="s">
        <v>25</v>
      </c>
      <c r="D4861" t="s">
        <v>11</v>
      </c>
      <c r="E4861">
        <v>2012</v>
      </c>
      <c r="F4861" t="s">
        <v>18</v>
      </c>
      <c r="G4861" t="s">
        <v>17</v>
      </c>
      <c r="H4861" s="2">
        <v>1843.7</v>
      </c>
    </row>
    <row r="4862" spans="1:8">
      <c r="A4862" t="s">
        <v>122</v>
      </c>
      <c r="B4862" t="s">
        <v>123</v>
      </c>
      <c r="C4862" t="s">
        <v>25</v>
      </c>
      <c r="D4862" t="s">
        <v>11</v>
      </c>
      <c r="E4862">
        <v>2012</v>
      </c>
      <c r="F4862" t="s">
        <v>14</v>
      </c>
      <c r="G4862" t="s">
        <v>19</v>
      </c>
      <c r="H4862" s="2">
        <v>0</v>
      </c>
    </row>
    <row r="4863" spans="1:8">
      <c r="A4863" t="s">
        <v>122</v>
      </c>
      <c r="B4863" t="s">
        <v>123</v>
      </c>
      <c r="C4863" t="s">
        <v>25</v>
      </c>
      <c r="D4863" t="s">
        <v>11</v>
      </c>
      <c r="E4863">
        <v>2013</v>
      </c>
      <c r="F4863" t="s">
        <v>22</v>
      </c>
      <c r="G4863" t="s">
        <v>15</v>
      </c>
      <c r="H4863" s="2">
        <v>2427.52</v>
      </c>
    </row>
    <row r="4864" spans="1:8">
      <c r="A4864" t="s">
        <v>122</v>
      </c>
      <c r="B4864" t="s">
        <v>123</v>
      </c>
      <c r="C4864" t="s">
        <v>25</v>
      </c>
      <c r="D4864" t="s">
        <v>11</v>
      </c>
      <c r="E4864">
        <v>2013</v>
      </c>
      <c r="F4864" t="s">
        <v>12</v>
      </c>
      <c r="G4864" t="s">
        <v>19</v>
      </c>
      <c r="H4864" s="2">
        <v>0</v>
      </c>
    </row>
    <row r="4865" spans="1:8">
      <c r="A4865" t="s">
        <v>122</v>
      </c>
      <c r="B4865" t="s">
        <v>123</v>
      </c>
      <c r="C4865" t="s">
        <v>25</v>
      </c>
      <c r="D4865" t="s">
        <v>11</v>
      </c>
      <c r="E4865">
        <v>2014</v>
      </c>
      <c r="F4865" t="s">
        <v>18</v>
      </c>
      <c r="G4865" t="s">
        <v>17</v>
      </c>
      <c r="H4865" s="2">
        <v>1952.28</v>
      </c>
    </row>
    <row r="4866" spans="1:8">
      <c r="A4866" t="s">
        <v>122</v>
      </c>
      <c r="B4866" t="s">
        <v>123</v>
      </c>
      <c r="C4866" t="s">
        <v>25</v>
      </c>
      <c r="D4866" t="s">
        <v>11</v>
      </c>
      <c r="E4866">
        <v>2014</v>
      </c>
      <c r="F4866" t="s">
        <v>20</v>
      </c>
      <c r="G4866" t="s">
        <v>15</v>
      </c>
      <c r="H4866" s="2">
        <v>19.03</v>
      </c>
    </row>
    <row r="4867" spans="1:8">
      <c r="A4867" t="s">
        <v>122</v>
      </c>
      <c r="B4867" t="s">
        <v>123</v>
      </c>
      <c r="C4867" t="s">
        <v>25</v>
      </c>
      <c r="D4867" t="s">
        <v>11</v>
      </c>
      <c r="E4867">
        <v>2014</v>
      </c>
      <c r="F4867" t="s">
        <v>14</v>
      </c>
      <c r="G4867" t="s">
        <v>13</v>
      </c>
      <c r="H4867" s="2">
        <v>5691.19</v>
      </c>
    </row>
    <row r="4868" spans="1:8">
      <c r="A4868" t="s">
        <v>122</v>
      </c>
      <c r="B4868" t="s">
        <v>123</v>
      </c>
      <c r="C4868" t="s">
        <v>25</v>
      </c>
      <c r="D4868" t="s">
        <v>11</v>
      </c>
      <c r="E4868">
        <v>2014</v>
      </c>
      <c r="F4868" t="s">
        <v>14</v>
      </c>
      <c r="G4868" t="s">
        <v>19</v>
      </c>
      <c r="H4868" s="2">
        <v>0</v>
      </c>
    </row>
    <row r="4869" spans="1:8">
      <c r="A4869" t="s">
        <v>122</v>
      </c>
      <c r="B4869" t="s">
        <v>123</v>
      </c>
      <c r="C4869" t="s">
        <v>25</v>
      </c>
      <c r="D4869" t="s">
        <v>11</v>
      </c>
      <c r="E4869">
        <v>2014</v>
      </c>
      <c r="F4869" t="s">
        <v>21</v>
      </c>
      <c r="G4869" t="s">
        <v>13</v>
      </c>
      <c r="H4869" s="2">
        <v>4606.0600000000004</v>
      </c>
    </row>
    <row r="4870" spans="1:8">
      <c r="A4870" t="s">
        <v>122</v>
      </c>
      <c r="B4870" t="s">
        <v>123</v>
      </c>
      <c r="C4870" t="s">
        <v>25</v>
      </c>
      <c r="D4870" t="s">
        <v>11</v>
      </c>
      <c r="E4870">
        <v>2014</v>
      </c>
      <c r="F4870" t="s">
        <v>16</v>
      </c>
      <c r="G4870" t="s">
        <v>17</v>
      </c>
      <c r="H4870" s="2">
        <v>102.15</v>
      </c>
    </row>
    <row r="4871" spans="1:8">
      <c r="A4871" t="s">
        <v>122</v>
      </c>
      <c r="B4871" t="s">
        <v>123</v>
      </c>
      <c r="C4871" t="s">
        <v>25</v>
      </c>
      <c r="D4871" t="s">
        <v>11</v>
      </c>
      <c r="E4871">
        <v>2015</v>
      </c>
      <c r="F4871" t="s">
        <v>22</v>
      </c>
      <c r="G4871" t="s">
        <v>15</v>
      </c>
      <c r="H4871" s="2">
        <v>2160.81</v>
      </c>
    </row>
    <row r="4872" spans="1:8">
      <c r="A4872" t="s">
        <v>122</v>
      </c>
      <c r="B4872" t="s">
        <v>123</v>
      </c>
      <c r="C4872" t="s">
        <v>25</v>
      </c>
      <c r="D4872" t="s">
        <v>11</v>
      </c>
      <c r="E4872">
        <v>2015</v>
      </c>
      <c r="F4872" t="s">
        <v>12</v>
      </c>
      <c r="G4872" t="s">
        <v>17</v>
      </c>
      <c r="H4872" s="2">
        <v>162.34</v>
      </c>
    </row>
    <row r="4873" spans="1:8">
      <c r="A4873" t="s">
        <v>122</v>
      </c>
      <c r="B4873" t="s">
        <v>123</v>
      </c>
      <c r="C4873" t="s">
        <v>25</v>
      </c>
      <c r="D4873" t="s">
        <v>11</v>
      </c>
      <c r="E4873">
        <v>2015</v>
      </c>
      <c r="F4873" t="s">
        <v>21</v>
      </c>
      <c r="G4873" t="s">
        <v>17</v>
      </c>
      <c r="H4873" s="2">
        <v>47.04</v>
      </c>
    </row>
    <row r="4874" spans="1:8">
      <c r="A4874" t="s">
        <v>122</v>
      </c>
      <c r="B4874" t="s">
        <v>123</v>
      </c>
      <c r="C4874" t="s">
        <v>25</v>
      </c>
      <c r="D4874" t="s">
        <v>11</v>
      </c>
      <c r="E4874">
        <v>2016</v>
      </c>
      <c r="F4874" t="s">
        <v>12</v>
      </c>
      <c r="G4874" t="s">
        <v>19</v>
      </c>
      <c r="H4874" s="2">
        <v>0</v>
      </c>
    </row>
    <row r="4875" spans="1:8">
      <c r="A4875" t="s">
        <v>122</v>
      </c>
      <c r="B4875" t="s">
        <v>123</v>
      </c>
      <c r="C4875" t="s">
        <v>25</v>
      </c>
      <c r="D4875" t="s">
        <v>11</v>
      </c>
      <c r="E4875">
        <v>2016</v>
      </c>
      <c r="F4875" t="s">
        <v>20</v>
      </c>
      <c r="G4875" t="s">
        <v>13</v>
      </c>
      <c r="H4875" s="2">
        <v>2086.64</v>
      </c>
    </row>
    <row r="4876" spans="1:8">
      <c r="A4876" t="s">
        <v>122</v>
      </c>
      <c r="B4876" t="s">
        <v>123</v>
      </c>
      <c r="C4876" t="s">
        <v>25</v>
      </c>
      <c r="D4876" t="s">
        <v>11</v>
      </c>
      <c r="E4876">
        <v>2016</v>
      </c>
      <c r="F4876" t="s">
        <v>21</v>
      </c>
      <c r="G4876" t="s">
        <v>13</v>
      </c>
      <c r="H4876" s="2">
        <v>5199.99</v>
      </c>
    </row>
    <row r="4877" spans="1:8">
      <c r="A4877" t="s">
        <v>122</v>
      </c>
      <c r="B4877" t="s">
        <v>123</v>
      </c>
      <c r="C4877" t="s">
        <v>25</v>
      </c>
      <c r="D4877" t="s">
        <v>11</v>
      </c>
      <c r="E4877">
        <v>2017</v>
      </c>
      <c r="F4877" t="s">
        <v>21</v>
      </c>
      <c r="G4877" t="s">
        <v>13</v>
      </c>
      <c r="H4877" s="2">
        <v>5287.77</v>
      </c>
    </row>
    <row r="4878" spans="1:8">
      <c r="A4878" t="s">
        <v>122</v>
      </c>
      <c r="B4878" t="s">
        <v>123</v>
      </c>
      <c r="C4878" t="s">
        <v>25</v>
      </c>
      <c r="D4878" t="s">
        <v>11</v>
      </c>
      <c r="E4878">
        <v>2017</v>
      </c>
      <c r="F4878" t="s">
        <v>16</v>
      </c>
      <c r="G4878" t="s">
        <v>15</v>
      </c>
      <c r="H4878" s="2">
        <v>1747.64</v>
      </c>
    </row>
    <row r="4879" spans="1:8">
      <c r="A4879" t="s">
        <v>122</v>
      </c>
      <c r="B4879" t="s">
        <v>123</v>
      </c>
      <c r="C4879" t="s">
        <v>25</v>
      </c>
      <c r="D4879" t="s">
        <v>11</v>
      </c>
      <c r="E4879">
        <v>2018</v>
      </c>
      <c r="F4879" t="s">
        <v>22</v>
      </c>
      <c r="G4879" t="s">
        <v>13</v>
      </c>
      <c r="H4879" s="2">
        <v>304.47000000000003</v>
      </c>
    </row>
    <row r="4880" spans="1:8">
      <c r="A4880" t="s">
        <v>122</v>
      </c>
      <c r="B4880" t="s">
        <v>123</v>
      </c>
      <c r="C4880" t="s">
        <v>25</v>
      </c>
      <c r="D4880" t="s">
        <v>11</v>
      </c>
      <c r="E4880">
        <v>2018</v>
      </c>
      <c r="F4880" t="s">
        <v>12</v>
      </c>
      <c r="G4880" t="s">
        <v>19</v>
      </c>
      <c r="H4880" s="2">
        <v>0</v>
      </c>
    </row>
    <row r="4881" spans="1:8">
      <c r="A4881" t="s">
        <v>122</v>
      </c>
      <c r="B4881" t="s">
        <v>123</v>
      </c>
      <c r="C4881" t="s">
        <v>25</v>
      </c>
      <c r="D4881" t="s">
        <v>11</v>
      </c>
      <c r="E4881">
        <v>2018</v>
      </c>
      <c r="F4881" t="s">
        <v>18</v>
      </c>
      <c r="G4881" t="s">
        <v>17</v>
      </c>
      <c r="H4881" s="2">
        <v>1900.45</v>
      </c>
    </row>
    <row r="4882" spans="1:8">
      <c r="A4882" t="s">
        <v>122</v>
      </c>
      <c r="B4882" t="s">
        <v>123</v>
      </c>
      <c r="C4882" t="s">
        <v>25</v>
      </c>
      <c r="D4882" t="s">
        <v>11</v>
      </c>
      <c r="E4882">
        <v>2018</v>
      </c>
      <c r="F4882" t="s">
        <v>21</v>
      </c>
      <c r="G4882" t="s">
        <v>17</v>
      </c>
      <c r="H4882" s="2">
        <v>50.73</v>
      </c>
    </row>
    <row r="4883" spans="1:8">
      <c r="A4883" t="s">
        <v>122</v>
      </c>
      <c r="B4883" t="s">
        <v>123</v>
      </c>
      <c r="C4883" t="s">
        <v>25</v>
      </c>
      <c r="D4883" t="s">
        <v>11</v>
      </c>
      <c r="E4883">
        <v>2018</v>
      </c>
      <c r="F4883" t="s">
        <v>16</v>
      </c>
      <c r="G4883" t="s">
        <v>19</v>
      </c>
      <c r="H4883" s="2">
        <v>0</v>
      </c>
    </row>
    <row r="4884" spans="1:8">
      <c r="A4884" t="s">
        <v>122</v>
      </c>
      <c r="B4884" t="s">
        <v>123</v>
      </c>
      <c r="C4884" t="s">
        <v>25</v>
      </c>
      <c r="D4884" t="s">
        <v>11</v>
      </c>
      <c r="E4884">
        <v>2019</v>
      </c>
      <c r="F4884" t="s">
        <v>16</v>
      </c>
      <c r="G4884" t="s">
        <v>13</v>
      </c>
      <c r="H4884" s="2">
        <v>275.89</v>
      </c>
    </row>
    <row r="4885" spans="1:8">
      <c r="A4885" t="s">
        <v>122</v>
      </c>
      <c r="B4885" t="s">
        <v>123</v>
      </c>
      <c r="C4885" t="s">
        <v>25</v>
      </c>
      <c r="D4885" t="s">
        <v>11</v>
      </c>
      <c r="E4885">
        <v>2020</v>
      </c>
      <c r="F4885" t="s">
        <v>18</v>
      </c>
      <c r="G4885" t="s">
        <v>17</v>
      </c>
      <c r="H4885" s="2">
        <v>1962.77</v>
      </c>
    </row>
    <row r="4886" spans="1:8">
      <c r="A4886" t="s">
        <v>122</v>
      </c>
      <c r="B4886" t="s">
        <v>123</v>
      </c>
      <c r="C4886" t="s">
        <v>25</v>
      </c>
      <c r="D4886" t="s">
        <v>11</v>
      </c>
      <c r="E4886">
        <v>2021</v>
      </c>
      <c r="F4886" t="s">
        <v>22</v>
      </c>
      <c r="G4886" t="s">
        <v>19</v>
      </c>
      <c r="H4886" s="2">
        <v>0</v>
      </c>
    </row>
    <row r="4887" spans="1:8">
      <c r="A4887" t="s">
        <v>122</v>
      </c>
      <c r="B4887" t="s">
        <v>123</v>
      </c>
      <c r="C4887" t="s">
        <v>25</v>
      </c>
      <c r="D4887" t="s">
        <v>11</v>
      </c>
      <c r="E4887">
        <v>2021</v>
      </c>
      <c r="F4887" t="s">
        <v>18</v>
      </c>
      <c r="G4887" t="s">
        <v>15</v>
      </c>
      <c r="H4887" s="2">
        <v>1632.09</v>
      </c>
    </row>
    <row r="4888" spans="1:8">
      <c r="A4888" t="s">
        <v>122</v>
      </c>
      <c r="B4888" t="s">
        <v>123</v>
      </c>
      <c r="C4888" t="s">
        <v>25</v>
      </c>
      <c r="D4888" t="s">
        <v>11</v>
      </c>
      <c r="E4888">
        <v>2021</v>
      </c>
      <c r="F4888" t="s">
        <v>16</v>
      </c>
      <c r="G4888" t="s">
        <v>15</v>
      </c>
      <c r="H4888" s="2">
        <v>1352.57</v>
      </c>
    </row>
    <row r="4889" spans="1:8">
      <c r="A4889" t="s">
        <v>122</v>
      </c>
      <c r="B4889" t="s">
        <v>123</v>
      </c>
      <c r="C4889" t="s">
        <v>25</v>
      </c>
      <c r="D4889" t="s">
        <v>11</v>
      </c>
      <c r="E4889">
        <v>2021</v>
      </c>
      <c r="F4889" t="s">
        <v>16</v>
      </c>
      <c r="G4889" t="s">
        <v>13</v>
      </c>
      <c r="H4889" s="2">
        <v>269.33</v>
      </c>
    </row>
    <row r="4890" spans="1:8">
      <c r="A4890" t="s">
        <v>122</v>
      </c>
      <c r="B4890" t="s">
        <v>123</v>
      </c>
      <c r="C4890" t="s">
        <v>25</v>
      </c>
      <c r="D4890" t="s">
        <v>11</v>
      </c>
      <c r="E4890">
        <v>2022</v>
      </c>
      <c r="F4890" t="s">
        <v>22</v>
      </c>
      <c r="G4890" t="s">
        <v>17</v>
      </c>
      <c r="H4890" s="2">
        <v>623.5</v>
      </c>
    </row>
    <row r="4891" spans="1:8">
      <c r="A4891" t="s">
        <v>122</v>
      </c>
      <c r="B4891" t="s">
        <v>123</v>
      </c>
      <c r="C4891" t="s">
        <v>25</v>
      </c>
      <c r="D4891" t="s">
        <v>11</v>
      </c>
      <c r="E4891">
        <v>2022</v>
      </c>
      <c r="F4891" t="s">
        <v>14</v>
      </c>
      <c r="G4891" t="s">
        <v>15</v>
      </c>
      <c r="H4891" s="2">
        <v>163.76</v>
      </c>
    </row>
    <row r="4892" spans="1:8">
      <c r="A4892" t="s">
        <v>122</v>
      </c>
      <c r="B4892" t="s">
        <v>123</v>
      </c>
      <c r="C4892" t="s">
        <v>25</v>
      </c>
      <c r="D4892" t="s">
        <v>11</v>
      </c>
      <c r="E4892">
        <v>2022</v>
      </c>
      <c r="F4892" t="s">
        <v>21</v>
      </c>
      <c r="G4892" t="s">
        <v>17</v>
      </c>
      <c r="H4892" s="2">
        <v>49.69</v>
      </c>
    </row>
    <row r="4893" spans="1:8">
      <c r="A4893" t="s">
        <v>122</v>
      </c>
      <c r="B4893" t="s">
        <v>123</v>
      </c>
      <c r="C4893" t="s">
        <v>25</v>
      </c>
      <c r="D4893" t="s">
        <v>11</v>
      </c>
      <c r="E4893">
        <v>2023</v>
      </c>
      <c r="F4893" t="s">
        <v>22</v>
      </c>
      <c r="G4893" t="s">
        <v>15</v>
      </c>
      <c r="H4893" s="2">
        <v>2242.3200000000002</v>
      </c>
    </row>
    <row r="4894" spans="1:8">
      <c r="A4894" t="s">
        <v>122</v>
      </c>
      <c r="B4894" t="s">
        <v>123</v>
      </c>
      <c r="C4894" t="s">
        <v>25</v>
      </c>
      <c r="D4894" t="s">
        <v>11</v>
      </c>
      <c r="E4894">
        <v>2023</v>
      </c>
      <c r="F4894" t="s">
        <v>18</v>
      </c>
      <c r="G4894" t="s">
        <v>17</v>
      </c>
      <c r="H4894" s="2">
        <v>1969.42</v>
      </c>
    </row>
    <row r="4895" spans="1:8">
      <c r="A4895" t="s">
        <v>122</v>
      </c>
      <c r="B4895" t="s">
        <v>123</v>
      </c>
      <c r="C4895" t="s">
        <v>25</v>
      </c>
      <c r="D4895" t="s">
        <v>11</v>
      </c>
      <c r="E4895">
        <v>2023</v>
      </c>
      <c r="F4895" t="s">
        <v>16</v>
      </c>
      <c r="G4895" t="s">
        <v>13</v>
      </c>
      <c r="H4895" s="2">
        <v>310.57</v>
      </c>
    </row>
    <row r="4896" spans="1:8">
      <c r="A4896" t="s">
        <v>122</v>
      </c>
      <c r="B4896" t="s">
        <v>123</v>
      </c>
      <c r="C4896" t="s">
        <v>25</v>
      </c>
      <c r="D4896" t="s">
        <v>11</v>
      </c>
      <c r="E4896">
        <v>2023</v>
      </c>
      <c r="F4896" t="s">
        <v>16</v>
      </c>
      <c r="G4896" t="s">
        <v>19</v>
      </c>
      <c r="H4896" s="2">
        <v>0</v>
      </c>
    </row>
    <row r="4897" spans="1:8">
      <c r="A4897" t="s">
        <v>122</v>
      </c>
      <c r="B4897" t="s">
        <v>123</v>
      </c>
      <c r="C4897" t="s">
        <v>25</v>
      </c>
      <c r="D4897" t="s">
        <v>11</v>
      </c>
      <c r="E4897">
        <v>2024</v>
      </c>
      <c r="F4897" t="s">
        <v>22</v>
      </c>
      <c r="G4897" t="s">
        <v>15</v>
      </c>
      <c r="H4897" s="2">
        <v>2907.8</v>
      </c>
    </row>
    <row r="4898" spans="1:8">
      <c r="A4898" t="s">
        <v>122</v>
      </c>
      <c r="B4898" t="s">
        <v>123</v>
      </c>
      <c r="C4898" t="s">
        <v>25</v>
      </c>
      <c r="D4898" t="s">
        <v>11</v>
      </c>
      <c r="E4898">
        <v>2024</v>
      </c>
      <c r="F4898" t="s">
        <v>22</v>
      </c>
      <c r="G4898" t="s">
        <v>13</v>
      </c>
      <c r="H4898" s="2">
        <v>393.19</v>
      </c>
    </row>
    <row r="4899" spans="1:8">
      <c r="A4899" t="s">
        <v>122</v>
      </c>
      <c r="B4899" t="s">
        <v>123</v>
      </c>
      <c r="C4899" t="s">
        <v>25</v>
      </c>
      <c r="D4899" t="s">
        <v>11</v>
      </c>
      <c r="E4899">
        <v>2024</v>
      </c>
      <c r="F4899" t="s">
        <v>12</v>
      </c>
      <c r="G4899" t="s">
        <v>15</v>
      </c>
      <c r="H4899" s="2">
        <v>438.46</v>
      </c>
    </row>
    <row r="4900" spans="1:8">
      <c r="A4900" t="s">
        <v>122</v>
      </c>
      <c r="B4900" t="s">
        <v>123</v>
      </c>
      <c r="C4900" t="s">
        <v>25</v>
      </c>
      <c r="D4900" t="s">
        <v>11</v>
      </c>
      <c r="E4900">
        <v>2024</v>
      </c>
      <c r="F4900" t="s">
        <v>18</v>
      </c>
      <c r="G4900" t="s">
        <v>19</v>
      </c>
      <c r="H4900" s="2">
        <v>2268.6</v>
      </c>
    </row>
    <row r="4901" spans="1:8">
      <c r="A4901" t="s">
        <v>122</v>
      </c>
      <c r="B4901" t="s">
        <v>123</v>
      </c>
      <c r="C4901" t="s">
        <v>25</v>
      </c>
      <c r="D4901" t="s">
        <v>11</v>
      </c>
      <c r="E4901">
        <v>2024</v>
      </c>
      <c r="F4901" t="s">
        <v>20</v>
      </c>
      <c r="G4901" t="s">
        <v>15</v>
      </c>
      <c r="H4901" s="2">
        <v>24.71</v>
      </c>
    </row>
    <row r="4902" spans="1:8">
      <c r="A4902" t="s">
        <v>124</v>
      </c>
      <c r="B4902" t="s">
        <v>125</v>
      </c>
      <c r="C4902" t="s">
        <v>32</v>
      </c>
      <c r="D4902" t="s">
        <v>33</v>
      </c>
      <c r="E4902">
        <v>1990</v>
      </c>
      <c r="F4902" t="s">
        <v>22</v>
      </c>
      <c r="G4902" t="s">
        <v>13</v>
      </c>
      <c r="H4902" s="2">
        <v>1857.6</v>
      </c>
    </row>
    <row r="4903" spans="1:8">
      <c r="A4903" t="s">
        <v>124</v>
      </c>
      <c r="B4903" t="s">
        <v>125</v>
      </c>
      <c r="C4903" t="s">
        <v>32</v>
      </c>
      <c r="D4903" t="s">
        <v>33</v>
      </c>
      <c r="E4903">
        <v>1990</v>
      </c>
      <c r="F4903" t="s">
        <v>20</v>
      </c>
      <c r="G4903" t="s">
        <v>15</v>
      </c>
      <c r="H4903" s="2">
        <v>175.84</v>
      </c>
    </row>
    <row r="4904" spans="1:8">
      <c r="A4904" t="s">
        <v>124</v>
      </c>
      <c r="B4904" t="s">
        <v>125</v>
      </c>
      <c r="C4904" t="s">
        <v>32</v>
      </c>
      <c r="D4904" t="s">
        <v>33</v>
      </c>
      <c r="E4904">
        <v>1990</v>
      </c>
      <c r="F4904" t="s">
        <v>20</v>
      </c>
      <c r="G4904" t="s">
        <v>13</v>
      </c>
      <c r="H4904" s="2">
        <v>17119.78</v>
      </c>
    </row>
    <row r="4905" spans="1:8">
      <c r="A4905" t="s">
        <v>124</v>
      </c>
      <c r="B4905" t="s">
        <v>125</v>
      </c>
      <c r="C4905" t="s">
        <v>32</v>
      </c>
      <c r="D4905" t="s">
        <v>33</v>
      </c>
      <c r="E4905">
        <v>1990</v>
      </c>
      <c r="F4905" t="s">
        <v>14</v>
      </c>
      <c r="G4905" t="s">
        <v>13</v>
      </c>
      <c r="H4905" s="2">
        <v>97094.32</v>
      </c>
    </row>
    <row r="4906" spans="1:8">
      <c r="A4906" t="s">
        <v>124</v>
      </c>
      <c r="B4906" t="s">
        <v>125</v>
      </c>
      <c r="C4906" t="s">
        <v>32</v>
      </c>
      <c r="D4906" t="s">
        <v>33</v>
      </c>
      <c r="E4906">
        <v>1991</v>
      </c>
      <c r="F4906" t="s">
        <v>14</v>
      </c>
      <c r="G4906" t="s">
        <v>19</v>
      </c>
      <c r="H4906" s="2">
        <v>0</v>
      </c>
    </row>
    <row r="4907" spans="1:8">
      <c r="A4907" t="s">
        <v>124</v>
      </c>
      <c r="B4907" t="s">
        <v>125</v>
      </c>
      <c r="C4907" t="s">
        <v>32</v>
      </c>
      <c r="D4907" t="s">
        <v>33</v>
      </c>
      <c r="E4907">
        <v>1992</v>
      </c>
      <c r="F4907" t="s">
        <v>12</v>
      </c>
      <c r="G4907" t="s">
        <v>15</v>
      </c>
      <c r="H4907" s="2">
        <v>1256.3</v>
      </c>
    </row>
    <row r="4908" spans="1:8">
      <c r="A4908" t="s">
        <v>124</v>
      </c>
      <c r="B4908" t="s">
        <v>125</v>
      </c>
      <c r="C4908" t="s">
        <v>32</v>
      </c>
      <c r="D4908" t="s">
        <v>33</v>
      </c>
      <c r="E4908">
        <v>1992</v>
      </c>
      <c r="F4908" t="s">
        <v>12</v>
      </c>
      <c r="G4908" t="s">
        <v>17</v>
      </c>
      <c r="H4908" s="2">
        <v>549.84</v>
      </c>
    </row>
    <row r="4909" spans="1:8">
      <c r="A4909" t="s">
        <v>124</v>
      </c>
      <c r="B4909" t="s">
        <v>125</v>
      </c>
      <c r="C4909" t="s">
        <v>32</v>
      </c>
      <c r="D4909" t="s">
        <v>33</v>
      </c>
      <c r="E4909">
        <v>1992</v>
      </c>
      <c r="F4909" t="s">
        <v>18</v>
      </c>
      <c r="G4909" t="s">
        <v>13</v>
      </c>
      <c r="H4909" s="2">
        <v>65044.79</v>
      </c>
    </row>
    <row r="4910" spans="1:8">
      <c r="A4910" t="s">
        <v>124</v>
      </c>
      <c r="B4910" t="s">
        <v>125</v>
      </c>
      <c r="C4910" t="s">
        <v>32</v>
      </c>
      <c r="D4910" t="s">
        <v>33</v>
      </c>
      <c r="E4910">
        <v>1992</v>
      </c>
      <c r="F4910" t="s">
        <v>20</v>
      </c>
      <c r="G4910" t="s">
        <v>19</v>
      </c>
      <c r="H4910" s="2">
        <v>0</v>
      </c>
    </row>
    <row r="4911" spans="1:8">
      <c r="A4911" t="s">
        <v>124</v>
      </c>
      <c r="B4911" t="s">
        <v>125</v>
      </c>
      <c r="C4911" t="s">
        <v>32</v>
      </c>
      <c r="D4911" t="s">
        <v>33</v>
      </c>
      <c r="E4911">
        <v>1993</v>
      </c>
      <c r="F4911" t="s">
        <v>22</v>
      </c>
      <c r="G4911" t="s">
        <v>15</v>
      </c>
      <c r="H4911" s="2">
        <v>13026.87</v>
      </c>
    </row>
    <row r="4912" spans="1:8">
      <c r="A4912" t="s">
        <v>124</v>
      </c>
      <c r="B4912" t="s">
        <v>125</v>
      </c>
      <c r="C4912" t="s">
        <v>32</v>
      </c>
      <c r="D4912" t="s">
        <v>33</v>
      </c>
      <c r="E4912">
        <v>1993</v>
      </c>
      <c r="F4912" t="s">
        <v>14</v>
      </c>
      <c r="G4912" t="s">
        <v>17</v>
      </c>
      <c r="H4912" s="2">
        <v>2161.5300000000002</v>
      </c>
    </row>
    <row r="4913" spans="1:8">
      <c r="A4913" t="s">
        <v>124</v>
      </c>
      <c r="B4913" t="s">
        <v>125</v>
      </c>
      <c r="C4913" t="s">
        <v>32</v>
      </c>
      <c r="D4913" t="s">
        <v>33</v>
      </c>
      <c r="E4913">
        <v>1993</v>
      </c>
      <c r="F4913" t="s">
        <v>21</v>
      </c>
      <c r="G4913" t="s">
        <v>13</v>
      </c>
      <c r="H4913" s="2">
        <v>61500.57</v>
      </c>
    </row>
    <row r="4914" spans="1:8">
      <c r="A4914" t="s">
        <v>124</v>
      </c>
      <c r="B4914" t="s">
        <v>125</v>
      </c>
      <c r="C4914" t="s">
        <v>32</v>
      </c>
      <c r="D4914" t="s">
        <v>33</v>
      </c>
      <c r="E4914">
        <v>1993</v>
      </c>
      <c r="F4914" t="s">
        <v>21</v>
      </c>
      <c r="G4914" t="s">
        <v>17</v>
      </c>
      <c r="H4914" s="2">
        <v>608.85</v>
      </c>
    </row>
    <row r="4915" spans="1:8">
      <c r="A4915" t="s">
        <v>124</v>
      </c>
      <c r="B4915" t="s">
        <v>125</v>
      </c>
      <c r="C4915" t="s">
        <v>32</v>
      </c>
      <c r="D4915" t="s">
        <v>33</v>
      </c>
      <c r="E4915">
        <v>1994</v>
      </c>
      <c r="F4915" t="s">
        <v>12</v>
      </c>
      <c r="G4915" t="s">
        <v>13</v>
      </c>
      <c r="H4915" s="2">
        <v>16549.38</v>
      </c>
    </row>
    <row r="4916" spans="1:8">
      <c r="A4916" t="s">
        <v>124</v>
      </c>
      <c r="B4916" t="s">
        <v>125</v>
      </c>
      <c r="C4916" t="s">
        <v>32</v>
      </c>
      <c r="D4916" t="s">
        <v>33</v>
      </c>
      <c r="E4916">
        <v>1994</v>
      </c>
      <c r="F4916" t="s">
        <v>21</v>
      </c>
      <c r="G4916" t="s">
        <v>17</v>
      </c>
      <c r="H4916" s="2">
        <v>620.78</v>
      </c>
    </row>
    <row r="4917" spans="1:8">
      <c r="A4917" t="s">
        <v>124</v>
      </c>
      <c r="B4917" t="s">
        <v>125</v>
      </c>
      <c r="C4917" t="s">
        <v>32</v>
      </c>
      <c r="D4917" t="s">
        <v>33</v>
      </c>
      <c r="E4917">
        <v>1994</v>
      </c>
      <c r="F4917" t="s">
        <v>16</v>
      </c>
      <c r="G4917" t="s">
        <v>15</v>
      </c>
      <c r="H4917" s="2">
        <v>17901.080000000002</v>
      </c>
    </row>
    <row r="4918" spans="1:8">
      <c r="A4918" t="s">
        <v>124</v>
      </c>
      <c r="B4918" t="s">
        <v>125</v>
      </c>
      <c r="C4918" t="s">
        <v>32</v>
      </c>
      <c r="D4918" t="s">
        <v>33</v>
      </c>
      <c r="E4918">
        <v>1995</v>
      </c>
      <c r="F4918" t="s">
        <v>16</v>
      </c>
      <c r="G4918" t="s">
        <v>15</v>
      </c>
      <c r="H4918" s="2">
        <v>16557.939999999999</v>
      </c>
    </row>
    <row r="4919" spans="1:8">
      <c r="A4919" t="s">
        <v>124</v>
      </c>
      <c r="B4919" t="s">
        <v>125</v>
      </c>
      <c r="C4919" t="s">
        <v>32</v>
      </c>
      <c r="D4919" t="s">
        <v>33</v>
      </c>
      <c r="E4919">
        <v>1996</v>
      </c>
      <c r="F4919" t="s">
        <v>22</v>
      </c>
      <c r="G4919" t="s">
        <v>19</v>
      </c>
      <c r="H4919" s="2">
        <v>0</v>
      </c>
    </row>
    <row r="4920" spans="1:8">
      <c r="A4920" t="s">
        <v>124</v>
      </c>
      <c r="B4920" t="s">
        <v>125</v>
      </c>
      <c r="C4920" t="s">
        <v>32</v>
      </c>
      <c r="D4920" t="s">
        <v>33</v>
      </c>
      <c r="E4920">
        <v>1996</v>
      </c>
      <c r="F4920" t="s">
        <v>20</v>
      </c>
      <c r="G4920" t="s">
        <v>13</v>
      </c>
      <c r="H4920" s="2">
        <v>19151.63</v>
      </c>
    </row>
    <row r="4921" spans="1:8">
      <c r="A4921" t="s">
        <v>124</v>
      </c>
      <c r="B4921" t="s">
        <v>125</v>
      </c>
      <c r="C4921" t="s">
        <v>32</v>
      </c>
      <c r="D4921" t="s">
        <v>33</v>
      </c>
      <c r="E4921">
        <v>1996</v>
      </c>
      <c r="F4921" t="s">
        <v>20</v>
      </c>
      <c r="G4921" t="s">
        <v>19</v>
      </c>
      <c r="H4921" s="2">
        <v>0</v>
      </c>
    </row>
    <row r="4922" spans="1:8">
      <c r="A4922" t="s">
        <v>124</v>
      </c>
      <c r="B4922" t="s">
        <v>125</v>
      </c>
      <c r="C4922" t="s">
        <v>32</v>
      </c>
      <c r="D4922" t="s">
        <v>33</v>
      </c>
      <c r="E4922">
        <v>1996</v>
      </c>
      <c r="F4922" t="s">
        <v>21</v>
      </c>
      <c r="G4922" t="s">
        <v>15</v>
      </c>
      <c r="H4922" s="2">
        <v>1251.8900000000001</v>
      </c>
    </row>
    <row r="4923" spans="1:8">
      <c r="A4923" t="s">
        <v>124</v>
      </c>
      <c r="B4923" t="s">
        <v>125</v>
      </c>
      <c r="C4923" t="s">
        <v>32</v>
      </c>
      <c r="D4923" t="s">
        <v>33</v>
      </c>
      <c r="E4923">
        <v>1997</v>
      </c>
      <c r="F4923" t="s">
        <v>22</v>
      </c>
      <c r="G4923" t="s">
        <v>15</v>
      </c>
      <c r="H4923" s="2">
        <v>12572.45</v>
      </c>
    </row>
    <row r="4924" spans="1:8">
      <c r="A4924" t="s">
        <v>124</v>
      </c>
      <c r="B4924" t="s">
        <v>125</v>
      </c>
      <c r="C4924" t="s">
        <v>32</v>
      </c>
      <c r="D4924" t="s">
        <v>33</v>
      </c>
      <c r="E4924">
        <v>1997</v>
      </c>
      <c r="F4924" t="s">
        <v>20</v>
      </c>
      <c r="G4924" t="s">
        <v>15</v>
      </c>
      <c r="H4924" s="2">
        <v>161.41</v>
      </c>
    </row>
    <row r="4925" spans="1:8">
      <c r="A4925" t="s">
        <v>124</v>
      </c>
      <c r="B4925" t="s">
        <v>125</v>
      </c>
      <c r="C4925" t="s">
        <v>32</v>
      </c>
      <c r="D4925" t="s">
        <v>33</v>
      </c>
      <c r="E4925">
        <v>1997</v>
      </c>
      <c r="F4925" t="s">
        <v>16</v>
      </c>
      <c r="G4925" t="s">
        <v>19</v>
      </c>
      <c r="H4925" s="2">
        <v>0</v>
      </c>
    </row>
    <row r="4926" spans="1:8">
      <c r="A4926" t="s">
        <v>124</v>
      </c>
      <c r="B4926" t="s">
        <v>125</v>
      </c>
      <c r="C4926" t="s">
        <v>32</v>
      </c>
      <c r="D4926" t="s">
        <v>33</v>
      </c>
      <c r="E4926">
        <v>1998</v>
      </c>
      <c r="F4926" t="s">
        <v>22</v>
      </c>
      <c r="G4926" t="s">
        <v>15</v>
      </c>
      <c r="H4926" s="2">
        <v>15036.6</v>
      </c>
    </row>
    <row r="4927" spans="1:8">
      <c r="A4927" t="s">
        <v>124</v>
      </c>
      <c r="B4927" t="s">
        <v>125</v>
      </c>
      <c r="C4927" t="s">
        <v>32</v>
      </c>
      <c r="D4927" t="s">
        <v>33</v>
      </c>
      <c r="E4927">
        <v>1998</v>
      </c>
      <c r="F4927" t="s">
        <v>22</v>
      </c>
      <c r="G4927" t="s">
        <v>17</v>
      </c>
      <c r="H4927" s="2">
        <v>4591.68</v>
      </c>
    </row>
    <row r="4928" spans="1:8">
      <c r="A4928" t="s">
        <v>124</v>
      </c>
      <c r="B4928" t="s">
        <v>125</v>
      </c>
      <c r="C4928" t="s">
        <v>32</v>
      </c>
      <c r="D4928" t="s">
        <v>33</v>
      </c>
      <c r="E4928">
        <v>1998</v>
      </c>
      <c r="F4928" t="s">
        <v>12</v>
      </c>
      <c r="G4928" t="s">
        <v>13</v>
      </c>
      <c r="H4928" s="2">
        <v>20666.61</v>
      </c>
    </row>
    <row r="4929" spans="1:8">
      <c r="A4929" t="s">
        <v>124</v>
      </c>
      <c r="B4929" t="s">
        <v>125</v>
      </c>
      <c r="C4929" t="s">
        <v>32</v>
      </c>
      <c r="D4929" t="s">
        <v>33</v>
      </c>
      <c r="E4929">
        <v>1998</v>
      </c>
      <c r="F4929" t="s">
        <v>12</v>
      </c>
      <c r="G4929" t="s">
        <v>19</v>
      </c>
      <c r="H4929" s="2">
        <v>0</v>
      </c>
    </row>
    <row r="4930" spans="1:8">
      <c r="A4930" t="s">
        <v>124</v>
      </c>
      <c r="B4930" t="s">
        <v>125</v>
      </c>
      <c r="C4930" t="s">
        <v>32</v>
      </c>
      <c r="D4930" t="s">
        <v>33</v>
      </c>
      <c r="E4930">
        <v>1998</v>
      </c>
      <c r="F4930" t="s">
        <v>20</v>
      </c>
      <c r="G4930" t="s">
        <v>19</v>
      </c>
      <c r="H4930" s="2">
        <v>0</v>
      </c>
    </row>
    <row r="4931" spans="1:8">
      <c r="A4931" t="s">
        <v>124</v>
      </c>
      <c r="B4931" t="s">
        <v>125</v>
      </c>
      <c r="C4931" t="s">
        <v>32</v>
      </c>
      <c r="D4931" t="s">
        <v>33</v>
      </c>
      <c r="E4931">
        <v>1998</v>
      </c>
      <c r="F4931" t="s">
        <v>14</v>
      </c>
      <c r="G4931" t="s">
        <v>17</v>
      </c>
      <c r="H4931" s="2">
        <v>2563.9899999999998</v>
      </c>
    </row>
    <row r="4932" spans="1:8">
      <c r="A4932" t="s">
        <v>124</v>
      </c>
      <c r="B4932" t="s">
        <v>125</v>
      </c>
      <c r="C4932" t="s">
        <v>32</v>
      </c>
      <c r="D4932" t="s">
        <v>33</v>
      </c>
      <c r="E4932">
        <v>1999</v>
      </c>
      <c r="F4932" t="s">
        <v>22</v>
      </c>
      <c r="G4932" t="s">
        <v>19</v>
      </c>
      <c r="H4932" s="2">
        <v>0</v>
      </c>
    </row>
    <row r="4933" spans="1:8">
      <c r="A4933" t="s">
        <v>124</v>
      </c>
      <c r="B4933" t="s">
        <v>125</v>
      </c>
      <c r="C4933" t="s">
        <v>32</v>
      </c>
      <c r="D4933" t="s">
        <v>33</v>
      </c>
      <c r="E4933">
        <v>1999</v>
      </c>
      <c r="F4933" t="s">
        <v>14</v>
      </c>
      <c r="G4933" t="s">
        <v>19</v>
      </c>
      <c r="H4933" s="2">
        <v>0</v>
      </c>
    </row>
    <row r="4934" spans="1:8">
      <c r="A4934" t="s">
        <v>124</v>
      </c>
      <c r="B4934" t="s">
        <v>125</v>
      </c>
      <c r="C4934" t="s">
        <v>32</v>
      </c>
      <c r="D4934" t="s">
        <v>33</v>
      </c>
      <c r="E4934">
        <v>2000</v>
      </c>
      <c r="F4934" t="s">
        <v>12</v>
      </c>
      <c r="G4934" t="s">
        <v>13</v>
      </c>
      <c r="H4934" s="2">
        <v>20051.72</v>
      </c>
    </row>
    <row r="4935" spans="1:8">
      <c r="A4935" t="s">
        <v>124</v>
      </c>
      <c r="B4935" t="s">
        <v>125</v>
      </c>
      <c r="C4935" t="s">
        <v>32</v>
      </c>
      <c r="D4935" t="s">
        <v>33</v>
      </c>
      <c r="E4935">
        <v>2002</v>
      </c>
      <c r="F4935" t="s">
        <v>12</v>
      </c>
      <c r="G4935" t="s">
        <v>17</v>
      </c>
      <c r="H4935" s="2">
        <v>760.55</v>
      </c>
    </row>
    <row r="4936" spans="1:8">
      <c r="A4936" t="s">
        <v>124</v>
      </c>
      <c r="B4936" t="s">
        <v>125</v>
      </c>
      <c r="C4936" t="s">
        <v>32</v>
      </c>
      <c r="D4936" t="s">
        <v>33</v>
      </c>
      <c r="E4936">
        <v>2002</v>
      </c>
      <c r="F4936" t="s">
        <v>18</v>
      </c>
      <c r="G4936" t="s">
        <v>13</v>
      </c>
      <c r="H4936" s="2">
        <v>75519.42</v>
      </c>
    </row>
    <row r="4937" spans="1:8">
      <c r="A4937" t="s">
        <v>124</v>
      </c>
      <c r="B4937" t="s">
        <v>125</v>
      </c>
      <c r="C4937" t="s">
        <v>32</v>
      </c>
      <c r="D4937" t="s">
        <v>33</v>
      </c>
      <c r="E4937">
        <v>2002</v>
      </c>
      <c r="F4937" t="s">
        <v>20</v>
      </c>
      <c r="G4937" t="s">
        <v>15</v>
      </c>
      <c r="H4937" s="2">
        <v>265.11</v>
      </c>
    </row>
    <row r="4938" spans="1:8">
      <c r="A4938" t="s">
        <v>124</v>
      </c>
      <c r="B4938" t="s">
        <v>125</v>
      </c>
      <c r="C4938" t="s">
        <v>32</v>
      </c>
      <c r="D4938" t="s">
        <v>33</v>
      </c>
      <c r="E4938">
        <v>2003</v>
      </c>
      <c r="F4938" t="s">
        <v>12</v>
      </c>
      <c r="G4938" t="s">
        <v>13</v>
      </c>
      <c r="H4938" s="2">
        <v>19901.75</v>
      </c>
    </row>
    <row r="4939" spans="1:8">
      <c r="A4939" t="s">
        <v>124</v>
      </c>
      <c r="B4939" t="s">
        <v>125</v>
      </c>
      <c r="C4939" t="s">
        <v>32</v>
      </c>
      <c r="D4939" t="s">
        <v>33</v>
      </c>
      <c r="E4939">
        <v>2003</v>
      </c>
      <c r="F4939" t="s">
        <v>14</v>
      </c>
      <c r="G4939" t="s">
        <v>15</v>
      </c>
      <c r="H4939" s="2">
        <v>3957.69</v>
      </c>
    </row>
    <row r="4940" spans="1:8">
      <c r="A4940" t="s">
        <v>124</v>
      </c>
      <c r="B4940" t="s">
        <v>125</v>
      </c>
      <c r="C4940" t="s">
        <v>32</v>
      </c>
      <c r="D4940" t="s">
        <v>33</v>
      </c>
      <c r="E4940">
        <v>2003</v>
      </c>
      <c r="F4940" t="s">
        <v>16</v>
      </c>
      <c r="G4940" t="s">
        <v>17</v>
      </c>
      <c r="H4940" s="2">
        <v>1551.73</v>
      </c>
    </row>
    <row r="4941" spans="1:8">
      <c r="A4941" t="s">
        <v>124</v>
      </c>
      <c r="B4941" t="s">
        <v>125</v>
      </c>
      <c r="C4941" t="s">
        <v>32</v>
      </c>
      <c r="D4941" t="s">
        <v>33</v>
      </c>
      <c r="E4941">
        <v>2004</v>
      </c>
      <c r="F4941" t="s">
        <v>20</v>
      </c>
      <c r="G4941" t="s">
        <v>13</v>
      </c>
      <c r="H4941" s="2">
        <v>22843.25</v>
      </c>
    </row>
    <row r="4942" spans="1:8">
      <c r="A4942" t="s">
        <v>124</v>
      </c>
      <c r="B4942" t="s">
        <v>125</v>
      </c>
      <c r="C4942" t="s">
        <v>32</v>
      </c>
      <c r="D4942" t="s">
        <v>33</v>
      </c>
      <c r="E4942">
        <v>2005</v>
      </c>
      <c r="F4942" t="s">
        <v>18</v>
      </c>
      <c r="G4942" t="s">
        <v>17</v>
      </c>
      <c r="H4942" s="2">
        <v>4648.08</v>
      </c>
    </row>
    <row r="4943" spans="1:8">
      <c r="A4943" t="s">
        <v>124</v>
      </c>
      <c r="B4943" t="s">
        <v>125</v>
      </c>
      <c r="C4943" t="s">
        <v>32</v>
      </c>
      <c r="D4943" t="s">
        <v>33</v>
      </c>
      <c r="E4943">
        <v>2005</v>
      </c>
      <c r="F4943" t="s">
        <v>16</v>
      </c>
      <c r="G4943" t="s">
        <v>15</v>
      </c>
      <c r="H4943" s="2">
        <v>27821.1</v>
      </c>
    </row>
    <row r="4944" spans="1:8">
      <c r="A4944" t="s">
        <v>124</v>
      </c>
      <c r="B4944" t="s">
        <v>125</v>
      </c>
      <c r="C4944" t="s">
        <v>32</v>
      </c>
      <c r="D4944" t="s">
        <v>33</v>
      </c>
      <c r="E4944">
        <v>2006</v>
      </c>
      <c r="F4944" t="s">
        <v>12</v>
      </c>
      <c r="G4944" t="s">
        <v>15</v>
      </c>
      <c r="H4944" s="2">
        <v>1681.88</v>
      </c>
    </row>
    <row r="4945" spans="1:8">
      <c r="A4945" t="s">
        <v>124</v>
      </c>
      <c r="B4945" t="s">
        <v>125</v>
      </c>
      <c r="C4945" t="s">
        <v>32</v>
      </c>
      <c r="D4945" t="s">
        <v>33</v>
      </c>
      <c r="E4945">
        <v>2006</v>
      </c>
      <c r="F4945" t="s">
        <v>14</v>
      </c>
      <c r="G4945" t="s">
        <v>19</v>
      </c>
      <c r="H4945" s="2">
        <v>0</v>
      </c>
    </row>
    <row r="4946" spans="1:8">
      <c r="A4946" t="s">
        <v>124</v>
      </c>
      <c r="B4946" t="s">
        <v>125</v>
      </c>
      <c r="C4946" t="s">
        <v>32</v>
      </c>
      <c r="D4946" t="s">
        <v>33</v>
      </c>
      <c r="E4946">
        <v>2007</v>
      </c>
      <c r="F4946" t="s">
        <v>12</v>
      </c>
      <c r="G4946" t="s">
        <v>13</v>
      </c>
      <c r="H4946" s="2">
        <v>21245.279999999999</v>
      </c>
    </row>
    <row r="4947" spans="1:8">
      <c r="A4947" t="s">
        <v>124</v>
      </c>
      <c r="B4947" t="s">
        <v>125</v>
      </c>
      <c r="C4947" t="s">
        <v>32</v>
      </c>
      <c r="D4947" t="s">
        <v>33</v>
      </c>
      <c r="E4947">
        <v>2007</v>
      </c>
      <c r="F4947" t="s">
        <v>18</v>
      </c>
      <c r="G4947" t="s">
        <v>15</v>
      </c>
      <c r="H4947" s="2">
        <v>5077.16</v>
      </c>
    </row>
    <row r="4948" spans="1:8">
      <c r="A4948" t="s">
        <v>124</v>
      </c>
      <c r="B4948" t="s">
        <v>125</v>
      </c>
      <c r="C4948" t="s">
        <v>32</v>
      </c>
      <c r="D4948" t="s">
        <v>33</v>
      </c>
      <c r="E4948">
        <v>2007</v>
      </c>
      <c r="F4948" t="s">
        <v>14</v>
      </c>
      <c r="G4948" t="s">
        <v>19</v>
      </c>
      <c r="H4948" s="2">
        <v>0</v>
      </c>
    </row>
    <row r="4949" spans="1:8">
      <c r="A4949" t="s">
        <v>124</v>
      </c>
      <c r="B4949" t="s">
        <v>125</v>
      </c>
      <c r="C4949" t="s">
        <v>32</v>
      </c>
      <c r="D4949" t="s">
        <v>33</v>
      </c>
      <c r="E4949">
        <v>2008</v>
      </c>
      <c r="F4949" t="s">
        <v>12</v>
      </c>
      <c r="G4949" t="s">
        <v>17</v>
      </c>
      <c r="H4949" s="2">
        <v>740.98</v>
      </c>
    </row>
    <row r="4950" spans="1:8">
      <c r="A4950" t="s">
        <v>124</v>
      </c>
      <c r="B4950" t="s">
        <v>125</v>
      </c>
      <c r="C4950" t="s">
        <v>32</v>
      </c>
      <c r="D4950" t="s">
        <v>33</v>
      </c>
      <c r="E4950">
        <v>2008</v>
      </c>
      <c r="F4950" t="s">
        <v>18</v>
      </c>
      <c r="G4950" t="s">
        <v>13</v>
      </c>
      <c r="H4950" s="2">
        <v>93244.06</v>
      </c>
    </row>
    <row r="4951" spans="1:8">
      <c r="A4951" t="s">
        <v>124</v>
      </c>
      <c r="B4951" t="s">
        <v>125</v>
      </c>
      <c r="C4951" t="s">
        <v>32</v>
      </c>
      <c r="D4951" t="s">
        <v>33</v>
      </c>
      <c r="E4951">
        <v>2009</v>
      </c>
      <c r="F4951" t="s">
        <v>12</v>
      </c>
      <c r="G4951" t="s">
        <v>13</v>
      </c>
      <c r="H4951" s="2">
        <v>24359.24</v>
      </c>
    </row>
    <row r="4952" spans="1:8">
      <c r="A4952" t="s">
        <v>124</v>
      </c>
      <c r="B4952" t="s">
        <v>125</v>
      </c>
      <c r="C4952" t="s">
        <v>32</v>
      </c>
      <c r="D4952" t="s">
        <v>33</v>
      </c>
      <c r="E4952">
        <v>2009</v>
      </c>
      <c r="F4952" t="s">
        <v>20</v>
      </c>
      <c r="G4952" t="s">
        <v>19</v>
      </c>
      <c r="H4952" s="2">
        <v>0</v>
      </c>
    </row>
    <row r="4953" spans="1:8">
      <c r="A4953" t="s">
        <v>124</v>
      </c>
      <c r="B4953" t="s">
        <v>125</v>
      </c>
      <c r="C4953" t="s">
        <v>32</v>
      </c>
      <c r="D4953" t="s">
        <v>33</v>
      </c>
      <c r="E4953">
        <v>2009</v>
      </c>
      <c r="F4953" t="s">
        <v>20</v>
      </c>
      <c r="G4953" t="s">
        <v>17</v>
      </c>
      <c r="H4953" s="2">
        <v>268.77999999999997</v>
      </c>
    </row>
    <row r="4954" spans="1:8">
      <c r="A4954" t="s">
        <v>124</v>
      </c>
      <c r="B4954" t="s">
        <v>125</v>
      </c>
      <c r="C4954" t="s">
        <v>32</v>
      </c>
      <c r="D4954" t="s">
        <v>33</v>
      </c>
      <c r="E4954">
        <v>2009</v>
      </c>
      <c r="F4954" t="s">
        <v>14</v>
      </c>
      <c r="G4954" t="s">
        <v>13</v>
      </c>
      <c r="H4954" s="2">
        <v>150070.25</v>
      </c>
    </row>
    <row r="4955" spans="1:8">
      <c r="A4955" t="s">
        <v>124</v>
      </c>
      <c r="B4955" t="s">
        <v>125</v>
      </c>
      <c r="C4955" t="s">
        <v>32</v>
      </c>
      <c r="D4955" t="s">
        <v>33</v>
      </c>
      <c r="E4955">
        <v>2009</v>
      </c>
      <c r="F4955" t="s">
        <v>21</v>
      </c>
      <c r="G4955" t="s">
        <v>15</v>
      </c>
      <c r="H4955" s="2">
        <v>1589.52</v>
      </c>
    </row>
    <row r="4956" spans="1:8">
      <c r="A4956" t="s">
        <v>124</v>
      </c>
      <c r="B4956" t="s">
        <v>125</v>
      </c>
      <c r="C4956" t="s">
        <v>32</v>
      </c>
      <c r="D4956" t="s">
        <v>33</v>
      </c>
      <c r="E4956">
        <v>2009</v>
      </c>
      <c r="F4956" t="s">
        <v>21</v>
      </c>
      <c r="G4956" t="s">
        <v>17</v>
      </c>
      <c r="H4956" s="2">
        <v>820.62</v>
      </c>
    </row>
    <row r="4957" spans="1:8">
      <c r="A4957" t="s">
        <v>124</v>
      </c>
      <c r="B4957" t="s">
        <v>125</v>
      </c>
      <c r="C4957" t="s">
        <v>32</v>
      </c>
      <c r="D4957" t="s">
        <v>33</v>
      </c>
      <c r="E4957">
        <v>2009</v>
      </c>
      <c r="F4957" t="s">
        <v>16</v>
      </c>
      <c r="G4957" t="s">
        <v>15</v>
      </c>
      <c r="H4957" s="2">
        <v>28424.71</v>
      </c>
    </row>
    <row r="4958" spans="1:8">
      <c r="A4958" t="s">
        <v>124</v>
      </c>
      <c r="B4958" t="s">
        <v>125</v>
      </c>
      <c r="C4958" t="s">
        <v>32</v>
      </c>
      <c r="D4958" t="s">
        <v>33</v>
      </c>
      <c r="E4958">
        <v>2009</v>
      </c>
      <c r="F4958" t="s">
        <v>16</v>
      </c>
      <c r="G4958" t="s">
        <v>17</v>
      </c>
      <c r="H4958" s="2">
        <v>1651.06</v>
      </c>
    </row>
    <row r="4959" spans="1:8">
      <c r="A4959" t="s">
        <v>124</v>
      </c>
      <c r="B4959" t="s">
        <v>125</v>
      </c>
      <c r="C4959" t="s">
        <v>32</v>
      </c>
      <c r="D4959" t="s">
        <v>33</v>
      </c>
      <c r="E4959">
        <v>2010</v>
      </c>
      <c r="F4959" t="s">
        <v>22</v>
      </c>
      <c r="G4959" t="s">
        <v>17</v>
      </c>
      <c r="H4959" s="2">
        <v>5903.84</v>
      </c>
    </row>
    <row r="4960" spans="1:8">
      <c r="A4960" t="s">
        <v>124</v>
      </c>
      <c r="B4960" t="s">
        <v>125</v>
      </c>
      <c r="C4960" t="s">
        <v>32</v>
      </c>
      <c r="D4960" t="s">
        <v>33</v>
      </c>
      <c r="E4960">
        <v>2010</v>
      </c>
      <c r="F4960" t="s">
        <v>18</v>
      </c>
      <c r="G4960" t="s">
        <v>13</v>
      </c>
      <c r="H4960" s="2">
        <v>86998.65</v>
      </c>
    </row>
    <row r="4961" spans="1:8">
      <c r="A4961" t="s">
        <v>124</v>
      </c>
      <c r="B4961" t="s">
        <v>125</v>
      </c>
      <c r="C4961" t="s">
        <v>32</v>
      </c>
      <c r="D4961" t="s">
        <v>33</v>
      </c>
      <c r="E4961">
        <v>2010</v>
      </c>
      <c r="F4961" t="s">
        <v>18</v>
      </c>
      <c r="G4961" t="s">
        <v>19</v>
      </c>
      <c r="H4961" s="2">
        <v>5342.16</v>
      </c>
    </row>
    <row r="4962" spans="1:8">
      <c r="A4962" t="s">
        <v>124</v>
      </c>
      <c r="B4962" t="s">
        <v>125</v>
      </c>
      <c r="C4962" t="s">
        <v>32</v>
      </c>
      <c r="D4962" t="s">
        <v>33</v>
      </c>
      <c r="E4962">
        <v>2011</v>
      </c>
      <c r="F4962" t="s">
        <v>12</v>
      </c>
      <c r="G4962" t="s">
        <v>13</v>
      </c>
      <c r="H4962" s="2">
        <v>22829.27</v>
      </c>
    </row>
    <row r="4963" spans="1:8">
      <c r="A4963" t="s">
        <v>124</v>
      </c>
      <c r="B4963" t="s">
        <v>125</v>
      </c>
      <c r="C4963" t="s">
        <v>32</v>
      </c>
      <c r="D4963" t="s">
        <v>33</v>
      </c>
      <c r="E4963">
        <v>2011</v>
      </c>
      <c r="F4963" t="s">
        <v>18</v>
      </c>
      <c r="G4963" t="s">
        <v>13</v>
      </c>
      <c r="H4963" s="2">
        <v>86175.75</v>
      </c>
    </row>
    <row r="4964" spans="1:8">
      <c r="A4964" t="s">
        <v>124</v>
      </c>
      <c r="B4964" t="s">
        <v>125</v>
      </c>
      <c r="C4964" t="s">
        <v>32</v>
      </c>
      <c r="D4964" t="s">
        <v>33</v>
      </c>
      <c r="E4964">
        <v>2011</v>
      </c>
      <c r="F4964" t="s">
        <v>20</v>
      </c>
      <c r="G4964" t="s">
        <v>17</v>
      </c>
      <c r="H4964" s="2">
        <v>279.08</v>
      </c>
    </row>
    <row r="4965" spans="1:8">
      <c r="A4965" t="s">
        <v>124</v>
      </c>
      <c r="B4965" t="s">
        <v>125</v>
      </c>
      <c r="C4965" t="s">
        <v>32</v>
      </c>
      <c r="D4965" t="s">
        <v>33</v>
      </c>
      <c r="E4965">
        <v>2011</v>
      </c>
      <c r="F4965" t="s">
        <v>21</v>
      </c>
      <c r="G4965" t="s">
        <v>19</v>
      </c>
      <c r="H4965" s="2">
        <v>0</v>
      </c>
    </row>
    <row r="4966" spans="1:8">
      <c r="A4966" t="s">
        <v>124</v>
      </c>
      <c r="B4966" t="s">
        <v>125</v>
      </c>
      <c r="C4966" t="s">
        <v>32</v>
      </c>
      <c r="D4966" t="s">
        <v>33</v>
      </c>
      <c r="E4966">
        <v>2012</v>
      </c>
      <c r="F4966" t="s">
        <v>12</v>
      </c>
      <c r="G4966" t="s">
        <v>15</v>
      </c>
      <c r="H4966" s="2">
        <v>1933.05</v>
      </c>
    </row>
    <row r="4967" spans="1:8">
      <c r="A4967" t="s">
        <v>124</v>
      </c>
      <c r="B4967" t="s">
        <v>125</v>
      </c>
      <c r="C4967" t="s">
        <v>32</v>
      </c>
      <c r="D4967" t="s">
        <v>33</v>
      </c>
      <c r="E4967">
        <v>2012</v>
      </c>
      <c r="F4967" t="s">
        <v>14</v>
      </c>
      <c r="G4967" t="s">
        <v>15</v>
      </c>
      <c r="H4967" s="2">
        <v>4373.6000000000004</v>
      </c>
    </row>
    <row r="4968" spans="1:8">
      <c r="A4968" t="s">
        <v>124</v>
      </c>
      <c r="B4968" t="s">
        <v>125</v>
      </c>
      <c r="C4968" t="s">
        <v>32</v>
      </c>
      <c r="D4968" t="s">
        <v>33</v>
      </c>
      <c r="E4968">
        <v>2013</v>
      </c>
      <c r="F4968" t="s">
        <v>18</v>
      </c>
      <c r="G4968" t="s">
        <v>15</v>
      </c>
      <c r="H4968" s="2">
        <v>5187.59</v>
      </c>
    </row>
    <row r="4969" spans="1:8">
      <c r="A4969" t="s">
        <v>124</v>
      </c>
      <c r="B4969" t="s">
        <v>125</v>
      </c>
      <c r="C4969" t="s">
        <v>32</v>
      </c>
      <c r="D4969" t="s">
        <v>33</v>
      </c>
      <c r="E4969">
        <v>2013</v>
      </c>
      <c r="F4969" t="s">
        <v>20</v>
      </c>
      <c r="G4969" t="s">
        <v>17</v>
      </c>
      <c r="H4969" s="2">
        <v>268.3</v>
      </c>
    </row>
    <row r="4970" spans="1:8">
      <c r="A4970" t="s">
        <v>124</v>
      </c>
      <c r="B4970" t="s">
        <v>125</v>
      </c>
      <c r="C4970" t="s">
        <v>32</v>
      </c>
      <c r="D4970" t="s">
        <v>33</v>
      </c>
      <c r="E4970">
        <v>2013</v>
      </c>
      <c r="F4970" t="s">
        <v>14</v>
      </c>
      <c r="G4970" t="s">
        <v>17</v>
      </c>
      <c r="H4970" s="2">
        <v>3051.6</v>
      </c>
    </row>
    <row r="4971" spans="1:8">
      <c r="A4971" t="s">
        <v>124</v>
      </c>
      <c r="B4971" t="s">
        <v>125</v>
      </c>
      <c r="C4971" t="s">
        <v>32</v>
      </c>
      <c r="D4971" t="s">
        <v>33</v>
      </c>
      <c r="E4971">
        <v>2014</v>
      </c>
      <c r="F4971" t="s">
        <v>12</v>
      </c>
      <c r="G4971" t="s">
        <v>17</v>
      </c>
      <c r="H4971" s="2">
        <v>779.86</v>
      </c>
    </row>
    <row r="4972" spans="1:8">
      <c r="A4972" t="s">
        <v>124</v>
      </c>
      <c r="B4972" t="s">
        <v>125</v>
      </c>
      <c r="C4972" t="s">
        <v>32</v>
      </c>
      <c r="D4972" t="s">
        <v>33</v>
      </c>
      <c r="E4972">
        <v>2014</v>
      </c>
      <c r="F4972" t="s">
        <v>18</v>
      </c>
      <c r="G4972" t="s">
        <v>15</v>
      </c>
      <c r="H4972" s="2">
        <v>5254.33</v>
      </c>
    </row>
    <row r="4973" spans="1:8">
      <c r="A4973" t="s">
        <v>124</v>
      </c>
      <c r="B4973" t="s">
        <v>125</v>
      </c>
      <c r="C4973" t="s">
        <v>32</v>
      </c>
      <c r="D4973" t="s">
        <v>33</v>
      </c>
      <c r="E4973">
        <v>2014</v>
      </c>
      <c r="F4973" t="s">
        <v>20</v>
      </c>
      <c r="G4973" t="s">
        <v>19</v>
      </c>
      <c r="H4973" s="2">
        <v>0</v>
      </c>
    </row>
    <row r="4974" spans="1:8">
      <c r="A4974" t="s">
        <v>124</v>
      </c>
      <c r="B4974" t="s">
        <v>125</v>
      </c>
      <c r="C4974" t="s">
        <v>32</v>
      </c>
      <c r="D4974" t="s">
        <v>33</v>
      </c>
      <c r="E4974">
        <v>2014</v>
      </c>
      <c r="F4974" t="s">
        <v>16</v>
      </c>
      <c r="G4974" t="s">
        <v>19</v>
      </c>
      <c r="H4974" s="2">
        <v>0</v>
      </c>
    </row>
    <row r="4975" spans="1:8">
      <c r="A4975" t="s">
        <v>124</v>
      </c>
      <c r="B4975" t="s">
        <v>125</v>
      </c>
      <c r="C4975" t="s">
        <v>32</v>
      </c>
      <c r="D4975" t="s">
        <v>33</v>
      </c>
      <c r="E4975">
        <v>2016</v>
      </c>
      <c r="F4975" t="s">
        <v>20</v>
      </c>
      <c r="G4975" t="s">
        <v>17</v>
      </c>
      <c r="H4975" s="2">
        <v>282.55</v>
      </c>
    </row>
    <row r="4976" spans="1:8">
      <c r="A4976" t="s">
        <v>124</v>
      </c>
      <c r="B4976" t="s">
        <v>125</v>
      </c>
      <c r="C4976" t="s">
        <v>32</v>
      </c>
      <c r="D4976" t="s">
        <v>33</v>
      </c>
      <c r="E4976">
        <v>2016</v>
      </c>
      <c r="F4976" t="s">
        <v>16</v>
      </c>
      <c r="G4976" t="s">
        <v>19</v>
      </c>
      <c r="H4976" s="2">
        <v>0</v>
      </c>
    </row>
    <row r="4977" spans="1:8">
      <c r="A4977" t="s">
        <v>124</v>
      </c>
      <c r="B4977" t="s">
        <v>125</v>
      </c>
      <c r="C4977" t="s">
        <v>32</v>
      </c>
      <c r="D4977" t="s">
        <v>33</v>
      </c>
      <c r="E4977">
        <v>2017</v>
      </c>
      <c r="F4977" t="s">
        <v>22</v>
      </c>
      <c r="G4977" t="s">
        <v>17</v>
      </c>
      <c r="H4977" s="2">
        <v>5867.24</v>
      </c>
    </row>
    <row r="4978" spans="1:8">
      <c r="A4978" t="s">
        <v>124</v>
      </c>
      <c r="B4978" t="s">
        <v>125</v>
      </c>
      <c r="C4978" t="s">
        <v>32</v>
      </c>
      <c r="D4978" t="s">
        <v>33</v>
      </c>
      <c r="E4978">
        <v>2017</v>
      </c>
      <c r="F4978" t="s">
        <v>20</v>
      </c>
      <c r="G4978" t="s">
        <v>13</v>
      </c>
      <c r="H4978" s="2">
        <v>29167.89</v>
      </c>
    </row>
    <row r="4979" spans="1:8">
      <c r="A4979" t="s">
        <v>124</v>
      </c>
      <c r="B4979" t="s">
        <v>125</v>
      </c>
      <c r="C4979" t="s">
        <v>32</v>
      </c>
      <c r="D4979" t="s">
        <v>33</v>
      </c>
      <c r="E4979">
        <v>2017</v>
      </c>
      <c r="F4979" t="s">
        <v>21</v>
      </c>
      <c r="G4979" t="s">
        <v>17</v>
      </c>
      <c r="H4979" s="2">
        <v>875.23</v>
      </c>
    </row>
    <row r="4980" spans="1:8">
      <c r="A4980" t="s">
        <v>124</v>
      </c>
      <c r="B4980" t="s">
        <v>125</v>
      </c>
      <c r="C4980" t="s">
        <v>32</v>
      </c>
      <c r="D4980" t="s">
        <v>33</v>
      </c>
      <c r="E4980">
        <v>2018</v>
      </c>
      <c r="F4980" t="s">
        <v>22</v>
      </c>
      <c r="G4980" t="s">
        <v>19</v>
      </c>
      <c r="H4980" s="2">
        <v>0</v>
      </c>
    </row>
    <row r="4981" spans="1:8">
      <c r="A4981" t="s">
        <v>124</v>
      </c>
      <c r="B4981" t="s">
        <v>125</v>
      </c>
      <c r="C4981" t="s">
        <v>32</v>
      </c>
      <c r="D4981" t="s">
        <v>33</v>
      </c>
      <c r="E4981">
        <v>2018</v>
      </c>
      <c r="F4981" t="s">
        <v>18</v>
      </c>
      <c r="G4981" t="s">
        <v>13</v>
      </c>
      <c r="H4981" s="2">
        <v>84757.01</v>
      </c>
    </row>
    <row r="4982" spans="1:8">
      <c r="A4982" t="s">
        <v>124</v>
      </c>
      <c r="B4982" t="s">
        <v>125</v>
      </c>
      <c r="C4982" t="s">
        <v>32</v>
      </c>
      <c r="D4982" t="s">
        <v>33</v>
      </c>
      <c r="E4982">
        <v>2018</v>
      </c>
      <c r="F4982" t="s">
        <v>14</v>
      </c>
      <c r="G4982" t="s">
        <v>13</v>
      </c>
      <c r="H4982" s="2">
        <v>151480.87</v>
      </c>
    </row>
    <row r="4983" spans="1:8">
      <c r="A4983" t="s">
        <v>124</v>
      </c>
      <c r="B4983" t="s">
        <v>125</v>
      </c>
      <c r="C4983" t="s">
        <v>32</v>
      </c>
      <c r="D4983" t="s">
        <v>33</v>
      </c>
      <c r="E4983">
        <v>2019</v>
      </c>
      <c r="F4983" t="s">
        <v>18</v>
      </c>
      <c r="G4983" t="s">
        <v>19</v>
      </c>
      <c r="H4983" s="2">
        <v>4614.34</v>
      </c>
    </row>
    <row r="4984" spans="1:8">
      <c r="A4984" t="s">
        <v>124</v>
      </c>
      <c r="B4984" t="s">
        <v>125</v>
      </c>
      <c r="C4984" t="s">
        <v>32</v>
      </c>
      <c r="D4984" t="s">
        <v>33</v>
      </c>
      <c r="E4984">
        <v>2019</v>
      </c>
      <c r="F4984" t="s">
        <v>20</v>
      </c>
      <c r="G4984" t="s">
        <v>15</v>
      </c>
      <c r="H4984" s="2">
        <v>253.09</v>
      </c>
    </row>
    <row r="4985" spans="1:8">
      <c r="A4985" t="s">
        <v>124</v>
      </c>
      <c r="B4985" t="s">
        <v>125</v>
      </c>
      <c r="C4985" t="s">
        <v>32</v>
      </c>
      <c r="D4985" t="s">
        <v>33</v>
      </c>
      <c r="E4985">
        <v>2019</v>
      </c>
      <c r="F4985" t="s">
        <v>20</v>
      </c>
      <c r="G4985" t="s">
        <v>17</v>
      </c>
      <c r="H4985" s="2">
        <v>259.38</v>
      </c>
    </row>
    <row r="4986" spans="1:8">
      <c r="A4986" t="s">
        <v>124</v>
      </c>
      <c r="B4986" t="s">
        <v>125</v>
      </c>
      <c r="C4986" t="s">
        <v>32</v>
      </c>
      <c r="D4986" t="s">
        <v>33</v>
      </c>
      <c r="E4986">
        <v>2019</v>
      </c>
      <c r="F4986" t="s">
        <v>21</v>
      </c>
      <c r="G4986" t="s">
        <v>15</v>
      </c>
      <c r="H4986" s="2">
        <v>1755.23</v>
      </c>
    </row>
    <row r="4987" spans="1:8">
      <c r="A4987" t="s">
        <v>124</v>
      </c>
      <c r="B4987" t="s">
        <v>125</v>
      </c>
      <c r="C4987" t="s">
        <v>32</v>
      </c>
      <c r="D4987" t="s">
        <v>33</v>
      </c>
      <c r="E4987">
        <v>2020</v>
      </c>
      <c r="F4987" t="s">
        <v>12</v>
      </c>
      <c r="G4987" t="s">
        <v>13</v>
      </c>
      <c r="H4987" s="2">
        <v>23942.37</v>
      </c>
    </row>
    <row r="4988" spans="1:8">
      <c r="A4988" t="s">
        <v>124</v>
      </c>
      <c r="B4988" t="s">
        <v>125</v>
      </c>
      <c r="C4988" t="s">
        <v>32</v>
      </c>
      <c r="D4988" t="s">
        <v>33</v>
      </c>
      <c r="E4988">
        <v>2020</v>
      </c>
      <c r="F4988" t="s">
        <v>18</v>
      </c>
      <c r="G4988" t="s">
        <v>13</v>
      </c>
      <c r="H4988" s="2">
        <v>90239.49</v>
      </c>
    </row>
    <row r="4989" spans="1:8">
      <c r="A4989" t="s">
        <v>124</v>
      </c>
      <c r="B4989" t="s">
        <v>125</v>
      </c>
      <c r="C4989" t="s">
        <v>32</v>
      </c>
      <c r="D4989" t="s">
        <v>33</v>
      </c>
      <c r="E4989">
        <v>2021</v>
      </c>
      <c r="F4989" t="s">
        <v>14</v>
      </c>
      <c r="G4989" t="s">
        <v>19</v>
      </c>
      <c r="H4989" s="2">
        <v>0</v>
      </c>
    </row>
    <row r="4990" spans="1:8">
      <c r="A4990" t="s">
        <v>124</v>
      </c>
      <c r="B4990" t="s">
        <v>125</v>
      </c>
      <c r="C4990" t="s">
        <v>32</v>
      </c>
      <c r="D4990" t="s">
        <v>33</v>
      </c>
      <c r="E4990">
        <v>2021</v>
      </c>
      <c r="F4990" t="s">
        <v>16</v>
      </c>
      <c r="G4990" t="s">
        <v>15</v>
      </c>
      <c r="H4990" s="2">
        <v>29596.13</v>
      </c>
    </row>
    <row r="4991" spans="1:8">
      <c r="A4991" t="s">
        <v>124</v>
      </c>
      <c r="B4991" t="s">
        <v>125</v>
      </c>
      <c r="C4991" t="s">
        <v>32</v>
      </c>
      <c r="D4991" t="s">
        <v>33</v>
      </c>
      <c r="E4991">
        <v>2021</v>
      </c>
      <c r="F4991" t="s">
        <v>16</v>
      </c>
      <c r="G4991" t="s">
        <v>13</v>
      </c>
      <c r="H4991" s="2">
        <v>5588.32</v>
      </c>
    </row>
    <row r="4992" spans="1:8">
      <c r="A4992" t="s">
        <v>124</v>
      </c>
      <c r="B4992" t="s">
        <v>125</v>
      </c>
      <c r="C4992" t="s">
        <v>32</v>
      </c>
      <c r="D4992" t="s">
        <v>33</v>
      </c>
      <c r="E4992">
        <v>2022</v>
      </c>
      <c r="F4992" t="s">
        <v>22</v>
      </c>
      <c r="G4992" t="s">
        <v>19</v>
      </c>
      <c r="H4992" s="2">
        <v>0</v>
      </c>
    </row>
    <row r="4993" spans="1:8">
      <c r="A4993" t="s">
        <v>124</v>
      </c>
      <c r="B4993" t="s">
        <v>125</v>
      </c>
      <c r="C4993" t="s">
        <v>32</v>
      </c>
      <c r="D4993" t="s">
        <v>33</v>
      </c>
      <c r="E4993">
        <v>2022</v>
      </c>
      <c r="F4993" t="s">
        <v>20</v>
      </c>
      <c r="G4993" t="s">
        <v>15</v>
      </c>
      <c r="H4993" s="2">
        <v>299.16000000000003</v>
      </c>
    </row>
    <row r="4994" spans="1:8">
      <c r="A4994" t="s">
        <v>124</v>
      </c>
      <c r="B4994" t="s">
        <v>125</v>
      </c>
      <c r="C4994" t="s">
        <v>32</v>
      </c>
      <c r="D4994" t="s">
        <v>33</v>
      </c>
      <c r="E4994">
        <v>2023</v>
      </c>
      <c r="F4994" t="s">
        <v>22</v>
      </c>
      <c r="G4994" t="s">
        <v>15</v>
      </c>
      <c r="H4994" s="2">
        <v>18944.97</v>
      </c>
    </row>
    <row r="4995" spans="1:8">
      <c r="A4995" t="s">
        <v>124</v>
      </c>
      <c r="B4995" t="s">
        <v>125</v>
      </c>
      <c r="C4995" t="s">
        <v>32</v>
      </c>
      <c r="D4995" t="s">
        <v>33</v>
      </c>
      <c r="E4995">
        <v>2023</v>
      </c>
      <c r="F4995" t="s">
        <v>12</v>
      </c>
      <c r="G4995" t="s">
        <v>19</v>
      </c>
      <c r="H4995" s="2">
        <v>0</v>
      </c>
    </row>
    <row r="4996" spans="1:8">
      <c r="A4996" t="s">
        <v>124</v>
      </c>
      <c r="B4996" t="s">
        <v>125</v>
      </c>
      <c r="C4996" t="s">
        <v>32</v>
      </c>
      <c r="D4996" t="s">
        <v>33</v>
      </c>
      <c r="E4996">
        <v>2023</v>
      </c>
      <c r="F4996" t="s">
        <v>18</v>
      </c>
      <c r="G4996" t="s">
        <v>17</v>
      </c>
      <c r="H4996" s="2">
        <v>5293.6</v>
      </c>
    </row>
    <row r="4997" spans="1:8">
      <c r="A4997" t="s">
        <v>124</v>
      </c>
      <c r="B4997" t="s">
        <v>125</v>
      </c>
      <c r="C4997" t="s">
        <v>32</v>
      </c>
      <c r="D4997" t="s">
        <v>33</v>
      </c>
      <c r="E4997">
        <v>2023</v>
      </c>
      <c r="F4997" t="s">
        <v>20</v>
      </c>
      <c r="G4997" t="s">
        <v>17</v>
      </c>
      <c r="H4997" s="2">
        <v>274.24</v>
      </c>
    </row>
    <row r="4998" spans="1:8">
      <c r="A4998" t="s">
        <v>124</v>
      </c>
      <c r="B4998" t="s">
        <v>125</v>
      </c>
      <c r="C4998" t="s">
        <v>32</v>
      </c>
      <c r="D4998" t="s">
        <v>33</v>
      </c>
      <c r="E4998">
        <v>2023</v>
      </c>
      <c r="F4998" t="s">
        <v>14</v>
      </c>
      <c r="G4998" t="s">
        <v>17</v>
      </c>
      <c r="H4998" s="2">
        <v>2951.3</v>
      </c>
    </row>
    <row r="4999" spans="1:8">
      <c r="A4999" t="s">
        <v>124</v>
      </c>
      <c r="B4999" t="s">
        <v>125</v>
      </c>
      <c r="C4999" t="s">
        <v>32</v>
      </c>
      <c r="D4999" t="s">
        <v>33</v>
      </c>
      <c r="E4999">
        <v>2024</v>
      </c>
      <c r="F4999" t="s">
        <v>12</v>
      </c>
      <c r="G4999" t="s">
        <v>15</v>
      </c>
      <c r="H4999" s="2">
        <v>2249.4499999999998</v>
      </c>
    </row>
    <row r="5000" spans="1:8">
      <c r="A5000" t="s">
        <v>124</v>
      </c>
      <c r="B5000" t="s">
        <v>125</v>
      </c>
      <c r="C5000" t="s">
        <v>32</v>
      </c>
      <c r="D5000" t="s">
        <v>33</v>
      </c>
      <c r="E5000">
        <v>2024</v>
      </c>
      <c r="F5000" t="s">
        <v>18</v>
      </c>
      <c r="G5000" t="s">
        <v>15</v>
      </c>
      <c r="H5000" s="2">
        <v>6481.88</v>
      </c>
    </row>
    <row r="5001" spans="1:8">
      <c r="A5001" t="s">
        <v>124</v>
      </c>
      <c r="B5001" t="s">
        <v>125</v>
      </c>
      <c r="C5001" t="s">
        <v>32</v>
      </c>
      <c r="D5001" t="s">
        <v>33</v>
      </c>
      <c r="E5001">
        <v>2024</v>
      </c>
      <c r="F5001" t="s">
        <v>14</v>
      </c>
      <c r="G5001" t="s">
        <v>17</v>
      </c>
      <c r="H5001" s="2">
        <v>3353.09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AE0A9-7F4C-47B9-8B45-EE56B5D02429}">
  <dimension ref="A1:C34"/>
  <sheetViews>
    <sheetView topLeftCell="A2" workbookViewId="0">
      <selection activeCell="B4" sqref="B4"/>
    </sheetView>
  </sheetViews>
  <sheetFormatPr defaultRowHeight="14.4"/>
  <cols>
    <col min="1" max="1" width="12.44140625" customWidth="1"/>
    <col min="2" max="2" width="13.6640625" customWidth="1"/>
    <col min="3" max="3" width="28.6640625" customWidth="1"/>
  </cols>
  <sheetData>
    <row r="1" spans="1:3">
      <c r="A1" t="s">
        <v>148</v>
      </c>
      <c r="B1" t="s">
        <v>149</v>
      </c>
      <c r="C1" t="s">
        <v>150</v>
      </c>
    </row>
    <row r="2" spans="1:3">
      <c r="A2" t="s">
        <v>151</v>
      </c>
      <c r="B2">
        <v>1990</v>
      </c>
      <c r="C2">
        <v>0.72288010000000003</v>
      </c>
    </row>
    <row r="3" spans="1:3">
      <c r="A3" t="s">
        <v>151</v>
      </c>
      <c r="B3">
        <v>1991</v>
      </c>
      <c r="C3">
        <v>0.70119430000000005</v>
      </c>
    </row>
    <row r="4" spans="1:3">
      <c r="A4" t="s">
        <v>151</v>
      </c>
      <c r="B4">
        <v>1992</v>
      </c>
      <c r="C4">
        <v>0.48719456999999999</v>
      </c>
    </row>
    <row r="5" spans="1:3">
      <c r="A5" t="s">
        <v>151</v>
      </c>
      <c r="B5">
        <v>1993</v>
      </c>
      <c r="C5">
        <v>0.52800493999999998</v>
      </c>
    </row>
    <row r="6" spans="1:3">
      <c r="A6" t="s">
        <v>151</v>
      </c>
      <c r="B6">
        <v>1994</v>
      </c>
      <c r="C6">
        <v>0.59584755</v>
      </c>
    </row>
    <row r="7" spans="1:3">
      <c r="A7" t="s">
        <v>151</v>
      </c>
      <c r="B7">
        <v>1995</v>
      </c>
      <c r="C7">
        <v>0.73916389999999998</v>
      </c>
    </row>
    <row r="8" spans="1:3">
      <c r="A8" t="s">
        <v>151</v>
      </c>
      <c r="B8">
        <v>1996</v>
      </c>
      <c r="C8">
        <v>0.63898710000000003</v>
      </c>
    </row>
    <row r="9" spans="1:3">
      <c r="A9" t="s">
        <v>151</v>
      </c>
      <c r="B9">
        <v>1997</v>
      </c>
      <c r="C9">
        <v>0.78460629999999998</v>
      </c>
    </row>
    <row r="10" spans="1:3">
      <c r="A10" t="s">
        <v>151</v>
      </c>
      <c r="B10">
        <v>1998</v>
      </c>
      <c r="C10">
        <v>0.93963945000000004</v>
      </c>
    </row>
    <row r="11" spans="1:3">
      <c r="A11" t="s">
        <v>151</v>
      </c>
      <c r="B11">
        <v>1999</v>
      </c>
      <c r="C11">
        <v>0.68678269999999997</v>
      </c>
    </row>
    <row r="12" spans="1:3">
      <c r="A12" t="s">
        <v>151</v>
      </c>
      <c r="B12">
        <v>2000</v>
      </c>
      <c r="C12">
        <v>0.69338250000000001</v>
      </c>
    </row>
    <row r="13" spans="1:3">
      <c r="A13" t="s">
        <v>151</v>
      </c>
      <c r="B13">
        <v>2001</v>
      </c>
      <c r="C13">
        <v>0.8515781</v>
      </c>
    </row>
    <row r="14" spans="1:3">
      <c r="A14" t="s">
        <v>151</v>
      </c>
      <c r="B14">
        <v>2002</v>
      </c>
      <c r="C14">
        <v>0.90576429999999997</v>
      </c>
    </row>
    <row r="15" spans="1:3">
      <c r="A15" t="s">
        <v>151</v>
      </c>
      <c r="B15">
        <v>2003</v>
      </c>
      <c r="C15">
        <v>0.90646789999999999</v>
      </c>
    </row>
    <row r="16" spans="1:3">
      <c r="A16" t="s">
        <v>151</v>
      </c>
      <c r="B16">
        <v>2004</v>
      </c>
      <c r="C16">
        <v>0.82966846000000005</v>
      </c>
    </row>
    <row r="17" spans="1:3">
      <c r="A17" t="s">
        <v>151</v>
      </c>
      <c r="B17">
        <v>2005</v>
      </c>
      <c r="C17">
        <v>0.96916026</v>
      </c>
    </row>
    <row r="18" spans="1:3">
      <c r="A18" t="s">
        <v>151</v>
      </c>
      <c r="B18">
        <v>2006</v>
      </c>
      <c r="C18">
        <v>0.93485045</v>
      </c>
    </row>
    <row r="19" spans="1:3">
      <c r="A19" t="s">
        <v>151</v>
      </c>
      <c r="B19">
        <v>2007</v>
      </c>
      <c r="C19">
        <v>0.95399909999999999</v>
      </c>
    </row>
    <row r="20" spans="1:3">
      <c r="A20" t="s">
        <v>151</v>
      </c>
      <c r="B20">
        <v>2008</v>
      </c>
      <c r="C20">
        <v>0.82794760000000001</v>
      </c>
    </row>
    <row r="21" spans="1:3">
      <c r="A21" t="s">
        <v>151</v>
      </c>
      <c r="B21">
        <v>2009</v>
      </c>
      <c r="C21">
        <v>0.95907940000000003</v>
      </c>
    </row>
    <row r="22" spans="1:3">
      <c r="A22" t="s">
        <v>151</v>
      </c>
      <c r="B22">
        <v>2010</v>
      </c>
      <c r="C22">
        <v>1.0426692</v>
      </c>
    </row>
    <row r="23" spans="1:3">
      <c r="A23" t="s">
        <v>151</v>
      </c>
      <c r="B23">
        <v>2011</v>
      </c>
      <c r="C23">
        <v>0.89999549999999995</v>
      </c>
    </row>
    <row r="24" spans="1:3">
      <c r="A24" t="s">
        <v>151</v>
      </c>
      <c r="B24">
        <v>2012</v>
      </c>
      <c r="C24">
        <v>0.93990479999999998</v>
      </c>
    </row>
    <row r="25" spans="1:3">
      <c r="A25" t="s">
        <v>151</v>
      </c>
      <c r="B25">
        <v>2013</v>
      </c>
      <c r="C25">
        <v>0.98587309999999995</v>
      </c>
    </row>
    <row r="26" spans="1:3">
      <c r="A26" t="s">
        <v>151</v>
      </c>
      <c r="B26">
        <v>2014</v>
      </c>
      <c r="C26">
        <v>1.0351694</v>
      </c>
    </row>
    <row r="27" spans="1:3">
      <c r="A27" t="s">
        <v>151</v>
      </c>
      <c r="B27">
        <v>2015</v>
      </c>
      <c r="C27">
        <v>1.1874121</v>
      </c>
    </row>
    <row r="28" spans="1:3">
      <c r="A28" t="s">
        <v>151</v>
      </c>
      <c r="B28">
        <v>2016</v>
      </c>
      <c r="C28">
        <v>1.2952248</v>
      </c>
    </row>
    <row r="29" spans="1:3">
      <c r="A29" t="s">
        <v>151</v>
      </c>
      <c r="B29">
        <v>2017</v>
      </c>
      <c r="C29">
        <v>1.2074720000000001</v>
      </c>
    </row>
    <row r="30" spans="1:3">
      <c r="A30" t="s">
        <v>151</v>
      </c>
      <c r="B30">
        <v>2018</v>
      </c>
      <c r="C30">
        <v>1.1249518000000001</v>
      </c>
    </row>
    <row r="31" spans="1:3">
      <c r="A31" t="s">
        <v>151</v>
      </c>
      <c r="B31">
        <v>2019</v>
      </c>
      <c r="C31">
        <v>1.2533703</v>
      </c>
    </row>
    <row r="32" spans="1:3">
      <c r="A32" t="s">
        <v>151</v>
      </c>
      <c r="B32">
        <v>2020</v>
      </c>
      <c r="C32">
        <v>1.2852182000000001</v>
      </c>
    </row>
    <row r="33" spans="1:3">
      <c r="A33" t="s">
        <v>151</v>
      </c>
      <c r="B33">
        <v>2021</v>
      </c>
      <c r="C33">
        <v>1.1242033</v>
      </c>
    </row>
    <row r="34" spans="1:3">
      <c r="A34" t="s">
        <v>151</v>
      </c>
      <c r="B34">
        <v>2022</v>
      </c>
      <c r="C34">
        <v>1.1636031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workbookViewId="0">
      <selection activeCell="N22" sqref="N22"/>
    </sheetView>
  </sheetViews>
  <sheetFormatPr defaultRowHeight="14.4"/>
  <cols>
    <col min="1" max="3" width="12.77734375" customWidth="1"/>
    <col min="4" max="4" width="16.33203125" customWidth="1"/>
    <col min="6" max="6" width="22.6640625" customWidth="1"/>
    <col min="7" max="7" width="17.6640625" customWidth="1"/>
    <col min="8" max="8" width="18.44140625" customWidth="1"/>
    <col min="9" max="9" width="17.44140625" customWidth="1"/>
  </cols>
  <sheetData>
    <row r="1" spans="1:11">
      <c r="A1" s="3" t="s">
        <v>0</v>
      </c>
      <c r="B1" s="3" t="s">
        <v>1</v>
      </c>
      <c r="C1" s="3" t="s">
        <v>2</v>
      </c>
      <c r="D1" s="3" t="s">
        <v>3</v>
      </c>
      <c r="E1" s="3" t="s">
        <v>126</v>
      </c>
      <c r="F1" s="3" t="s">
        <v>127</v>
      </c>
      <c r="G1" s="3" t="s">
        <v>128</v>
      </c>
      <c r="H1" s="4" t="s">
        <v>129</v>
      </c>
      <c r="I1" s="4" t="s">
        <v>152</v>
      </c>
    </row>
    <row r="2" spans="1:11">
      <c r="A2" t="s">
        <v>44</v>
      </c>
      <c r="B2" t="s">
        <v>45</v>
      </c>
      <c r="C2" t="s">
        <v>10</v>
      </c>
      <c r="D2" t="s">
        <v>33</v>
      </c>
      <c r="E2" t="s">
        <v>130</v>
      </c>
      <c r="F2" s="2">
        <v>91.175015384993998</v>
      </c>
      <c r="G2" s="2">
        <v>5746.500275412609</v>
      </c>
      <c r="H2" s="2">
        <v>570948</v>
      </c>
      <c r="I2" s="2">
        <f>H2/F2</f>
        <v>6262.1102676991623</v>
      </c>
    </row>
    <row r="3" spans="1:11">
      <c r="A3" t="s">
        <v>120</v>
      </c>
      <c r="B3" t="s">
        <v>121</v>
      </c>
      <c r="C3" t="s">
        <v>25</v>
      </c>
      <c r="D3" t="s">
        <v>29</v>
      </c>
      <c r="E3" t="s">
        <v>130</v>
      </c>
      <c r="F3" s="2">
        <v>122.6583753830006</v>
      </c>
      <c r="G3" s="2">
        <v>28938.322602473439</v>
      </c>
      <c r="H3" s="2">
        <v>1139300</v>
      </c>
      <c r="I3" s="2">
        <f>H3/F3</f>
        <v>9288.3995605072814</v>
      </c>
    </row>
    <row r="4" spans="1:11">
      <c r="A4" t="s">
        <v>40</v>
      </c>
      <c r="B4" t="s">
        <v>41</v>
      </c>
      <c r="C4" t="s">
        <v>32</v>
      </c>
      <c r="D4" t="s">
        <v>11</v>
      </c>
      <c r="E4" t="s">
        <v>130</v>
      </c>
      <c r="F4" s="2">
        <v>347.48582824302542</v>
      </c>
      <c r="G4" s="2">
        <v>12378.56258346191</v>
      </c>
      <c r="H4" s="2">
        <v>4738448</v>
      </c>
      <c r="I4" s="2">
        <f t="shared" ref="I4:I50" si="0">H4/F4</f>
        <v>13636.377701959153</v>
      </c>
    </row>
    <row r="5" spans="1:11">
      <c r="A5" t="s">
        <v>54</v>
      </c>
      <c r="B5" t="s">
        <v>55</v>
      </c>
      <c r="C5" t="s">
        <v>32</v>
      </c>
      <c r="D5" t="s">
        <v>33</v>
      </c>
      <c r="E5" t="s">
        <v>130</v>
      </c>
      <c r="F5" s="2">
        <v>298.90194444320412</v>
      </c>
      <c r="G5" s="2">
        <v>2025.4488743464931</v>
      </c>
      <c r="H5" s="2">
        <v>2315389</v>
      </c>
      <c r="I5" s="2">
        <f t="shared" si="0"/>
        <v>7746.3162854732082</v>
      </c>
    </row>
    <row r="6" spans="1:11">
      <c r="A6" t="s">
        <v>94</v>
      </c>
      <c r="B6" t="s">
        <v>95</v>
      </c>
      <c r="C6" t="s">
        <v>51</v>
      </c>
      <c r="D6" t="s">
        <v>11</v>
      </c>
      <c r="E6" t="s">
        <v>130</v>
      </c>
      <c r="F6" s="2">
        <v>287.47296646479089</v>
      </c>
      <c r="G6" s="2">
        <v>14478.151712868919</v>
      </c>
      <c r="H6" s="2">
        <v>3476810</v>
      </c>
      <c r="I6" s="2">
        <f t="shared" si="0"/>
        <v>12094.389405571577</v>
      </c>
    </row>
    <row r="7" spans="1:11">
      <c r="A7" t="s">
        <v>34</v>
      </c>
      <c r="B7" t="s">
        <v>35</v>
      </c>
      <c r="C7" t="s">
        <v>25</v>
      </c>
      <c r="D7" t="s">
        <v>11</v>
      </c>
      <c r="E7" t="s">
        <v>130</v>
      </c>
      <c r="F7" s="2">
        <v>1146.327583985294</v>
      </c>
      <c r="G7" s="2">
        <v>17789.842428628432</v>
      </c>
      <c r="H7" s="2">
        <v>895076</v>
      </c>
      <c r="I7" s="2">
        <f t="shared" si="0"/>
        <v>780.82043257495468</v>
      </c>
    </row>
    <row r="8" spans="1:11">
      <c r="A8" t="s">
        <v>118</v>
      </c>
      <c r="B8" t="s">
        <v>119</v>
      </c>
      <c r="C8" t="s">
        <v>51</v>
      </c>
      <c r="D8" t="s">
        <v>29</v>
      </c>
      <c r="E8" t="s">
        <v>131</v>
      </c>
      <c r="F8" s="2">
        <v>111.5679497829762</v>
      </c>
      <c r="G8" s="2">
        <v>49910.913989806497</v>
      </c>
      <c r="H8" s="2">
        <v>846293</v>
      </c>
      <c r="I8" s="2">
        <f t="shared" si="0"/>
        <v>7585.4490617262663</v>
      </c>
    </row>
    <row r="9" spans="1:11">
      <c r="A9" t="s">
        <v>52</v>
      </c>
      <c r="B9" t="s">
        <v>53</v>
      </c>
      <c r="C9" t="s">
        <v>51</v>
      </c>
      <c r="D9" t="s">
        <v>29</v>
      </c>
      <c r="E9" t="s">
        <v>131</v>
      </c>
      <c r="F9" s="2">
        <v>40.423183757681677</v>
      </c>
      <c r="G9" s="2">
        <v>78457.16431159986</v>
      </c>
      <c r="H9" s="2">
        <v>1395399</v>
      </c>
      <c r="I9" s="2">
        <f t="shared" si="0"/>
        <v>34519.769851993173</v>
      </c>
    </row>
    <row r="10" spans="1:11">
      <c r="A10" t="s">
        <v>49</v>
      </c>
      <c r="B10" t="s">
        <v>50</v>
      </c>
      <c r="C10" t="s">
        <v>51</v>
      </c>
      <c r="D10" t="s">
        <v>29</v>
      </c>
      <c r="E10" t="s">
        <v>131</v>
      </c>
      <c r="F10" s="2">
        <v>100.1730017752302</v>
      </c>
      <c r="G10" s="2">
        <v>63154.387598713292</v>
      </c>
      <c r="H10" s="2">
        <v>1964916</v>
      </c>
      <c r="I10" s="2">
        <f t="shared" si="0"/>
        <v>19615.225311994844</v>
      </c>
    </row>
    <row r="11" spans="1:11">
      <c r="A11" t="s">
        <v>62</v>
      </c>
      <c r="B11" t="s">
        <v>63</v>
      </c>
      <c r="C11" t="s">
        <v>51</v>
      </c>
      <c r="D11" t="s">
        <v>29</v>
      </c>
      <c r="E11" t="s">
        <v>131</v>
      </c>
      <c r="F11" s="2">
        <v>107.88819624223041</v>
      </c>
      <c r="G11" s="2">
        <v>38625.873840789238</v>
      </c>
      <c r="H11" s="2">
        <v>653130</v>
      </c>
      <c r="I11" s="2">
        <f t="shared" si="0"/>
        <v>6053.7669805285605</v>
      </c>
      <c r="K11">
        <f>MAX(H:H)</f>
        <v>4738448</v>
      </c>
    </row>
    <row r="12" spans="1:11">
      <c r="A12" t="s">
        <v>104</v>
      </c>
      <c r="B12" t="s">
        <v>105</v>
      </c>
      <c r="C12" t="s">
        <v>51</v>
      </c>
      <c r="D12" t="s">
        <v>29</v>
      </c>
      <c r="E12" t="s">
        <v>131</v>
      </c>
      <c r="F12" s="2">
        <v>66.426750075248506</v>
      </c>
      <c r="G12" s="2">
        <v>76771.547792265817</v>
      </c>
      <c r="H12" s="2">
        <v>1488673</v>
      </c>
      <c r="I12" s="2">
        <f t="shared" si="0"/>
        <v>22410.745645596464</v>
      </c>
      <c r="K12">
        <f>MIN(H:H)</f>
        <v>44758</v>
      </c>
    </row>
    <row r="13" spans="1:11">
      <c r="A13" t="s">
        <v>36</v>
      </c>
      <c r="B13" t="s">
        <v>37</v>
      </c>
      <c r="C13" t="s">
        <v>25</v>
      </c>
      <c r="D13" t="s">
        <v>29</v>
      </c>
      <c r="E13" t="s">
        <v>131</v>
      </c>
      <c r="F13" s="2">
        <v>36.946106117567609</v>
      </c>
      <c r="G13" s="2">
        <v>54964.072521211208</v>
      </c>
      <c r="H13" s="2">
        <v>432143</v>
      </c>
      <c r="I13" s="2">
        <f t="shared" si="0"/>
        <v>11696.577675191571</v>
      </c>
      <c r="K13">
        <f>AVERAGE(H:H)</f>
        <v>742194.81632653065</v>
      </c>
    </row>
    <row r="14" spans="1:11">
      <c r="A14" t="s">
        <v>72</v>
      </c>
      <c r="B14" t="s">
        <v>73</v>
      </c>
      <c r="C14" t="s">
        <v>25</v>
      </c>
      <c r="D14" t="s">
        <v>11</v>
      </c>
      <c r="E14" t="s">
        <v>131</v>
      </c>
      <c r="F14" s="2">
        <v>100.6665755707152</v>
      </c>
      <c r="G14" s="2">
        <v>20899.775457065749</v>
      </c>
      <c r="H14" s="2">
        <v>1063501</v>
      </c>
      <c r="I14" s="2">
        <f t="shared" si="0"/>
        <v>10564.589030377048</v>
      </c>
    </row>
    <row r="15" spans="1:11">
      <c r="A15" t="s">
        <v>64</v>
      </c>
      <c r="B15" t="s">
        <v>65</v>
      </c>
      <c r="C15" t="s">
        <v>32</v>
      </c>
      <c r="D15" t="s">
        <v>29</v>
      </c>
      <c r="E15" t="s">
        <v>130</v>
      </c>
      <c r="F15" s="2">
        <v>338.58000055637888</v>
      </c>
      <c r="G15" s="2">
        <v>59626.236042870318</v>
      </c>
      <c r="H15" s="2">
        <v>2041815</v>
      </c>
      <c r="I15" s="2">
        <f t="shared" si="0"/>
        <v>6030.5245337726492</v>
      </c>
    </row>
    <row r="16" spans="1:11">
      <c r="A16" t="s">
        <v>102</v>
      </c>
      <c r="B16" t="s">
        <v>103</v>
      </c>
      <c r="C16" t="s">
        <v>32</v>
      </c>
      <c r="D16" t="s">
        <v>29</v>
      </c>
      <c r="E16" t="s">
        <v>131</v>
      </c>
      <c r="F16" s="2">
        <v>91.561375745818069</v>
      </c>
      <c r="G16" s="2">
        <v>50620.825309008127</v>
      </c>
      <c r="H16" s="2">
        <v>617740</v>
      </c>
      <c r="I16" s="2">
        <f t="shared" si="0"/>
        <v>6746.7313042007709</v>
      </c>
    </row>
    <row r="17" spans="1:9">
      <c r="A17" t="s">
        <v>56</v>
      </c>
      <c r="B17" t="s">
        <v>57</v>
      </c>
      <c r="C17" t="s">
        <v>32</v>
      </c>
      <c r="D17" t="s">
        <v>33</v>
      </c>
      <c r="E17" t="s">
        <v>130</v>
      </c>
      <c r="F17" s="2">
        <v>900.41927619606906</v>
      </c>
      <c r="G17" s="2">
        <v>5169.2355553393872</v>
      </c>
      <c r="H17" s="2">
        <v>690080</v>
      </c>
      <c r="I17" s="2">
        <f t="shared" si="0"/>
        <v>766.39851927129666</v>
      </c>
    </row>
    <row r="18" spans="1:9">
      <c r="A18" t="s">
        <v>112</v>
      </c>
      <c r="B18" t="s">
        <v>113</v>
      </c>
      <c r="C18" t="s">
        <v>32</v>
      </c>
      <c r="D18" t="s">
        <v>11</v>
      </c>
      <c r="E18" t="s">
        <v>131</v>
      </c>
      <c r="F18" s="2">
        <v>112.01479843776841</v>
      </c>
      <c r="G18" s="2">
        <v>8377.9998946379401</v>
      </c>
      <c r="H18" s="2">
        <v>584993</v>
      </c>
      <c r="I18" s="2">
        <f t="shared" si="0"/>
        <v>5222.4617475431351</v>
      </c>
    </row>
    <row r="19" spans="1:9">
      <c r="A19" t="s">
        <v>96</v>
      </c>
      <c r="B19" t="s">
        <v>97</v>
      </c>
      <c r="C19" t="s">
        <v>32</v>
      </c>
      <c r="D19" t="s">
        <v>29</v>
      </c>
      <c r="E19" t="s">
        <v>131</v>
      </c>
      <c r="F19" s="2">
        <v>35.509900746706073</v>
      </c>
      <c r="G19" s="2">
        <v>52854.555171757384</v>
      </c>
      <c r="H19" s="2">
        <v>783968</v>
      </c>
      <c r="I19" s="2">
        <f t="shared" si="0"/>
        <v>22077.448359883729</v>
      </c>
    </row>
    <row r="20" spans="1:9">
      <c r="A20" t="s">
        <v>100</v>
      </c>
      <c r="B20" t="s">
        <v>101</v>
      </c>
      <c r="C20" t="s">
        <v>10</v>
      </c>
      <c r="D20" t="s">
        <v>11</v>
      </c>
      <c r="E20" t="s">
        <v>131</v>
      </c>
      <c r="F20" s="2">
        <v>97.90376414820912</v>
      </c>
      <c r="G20" s="2">
        <v>18600.49283668779</v>
      </c>
      <c r="H20" s="2">
        <v>898371</v>
      </c>
      <c r="I20" s="2">
        <f t="shared" si="0"/>
        <v>9176.0618993159842</v>
      </c>
    </row>
    <row r="21" spans="1:9">
      <c r="A21" t="s">
        <v>80</v>
      </c>
      <c r="B21" t="s">
        <v>81</v>
      </c>
      <c r="C21" t="s">
        <v>10</v>
      </c>
      <c r="D21" t="s">
        <v>33</v>
      </c>
      <c r="E21" t="s">
        <v>130</v>
      </c>
      <c r="F21" s="2">
        <v>749.52279975116414</v>
      </c>
      <c r="G21" s="2">
        <v>9568.9073680859365</v>
      </c>
      <c r="H21" s="2">
        <v>1430081</v>
      </c>
      <c r="I21" s="2">
        <f t="shared" si="0"/>
        <v>1907.9886568824538</v>
      </c>
    </row>
    <row r="22" spans="1:9">
      <c r="A22" t="s">
        <v>46</v>
      </c>
      <c r="B22" t="s">
        <v>47</v>
      </c>
      <c r="C22" t="s">
        <v>10</v>
      </c>
      <c r="D22" t="s">
        <v>48</v>
      </c>
      <c r="E22" t="s">
        <v>131</v>
      </c>
      <c r="F22" s="2">
        <v>35.471118729877418</v>
      </c>
      <c r="G22" s="2">
        <v>2023.641280579204</v>
      </c>
      <c r="H22" s="2">
        <v>241395</v>
      </c>
      <c r="I22" s="2">
        <f t="shared" si="0"/>
        <v>6805.3957316173492</v>
      </c>
    </row>
    <row r="23" spans="1:9">
      <c r="A23" t="s">
        <v>66</v>
      </c>
      <c r="B23" t="s">
        <v>67</v>
      </c>
      <c r="C23" t="s">
        <v>10</v>
      </c>
      <c r="D23" t="s">
        <v>33</v>
      </c>
      <c r="E23" t="s">
        <v>132</v>
      </c>
      <c r="F23" s="2">
        <v>7.4702557363890376</v>
      </c>
      <c r="G23" s="2">
        <v>5885.1312246399784</v>
      </c>
      <c r="H23" s="2">
        <v>84314</v>
      </c>
      <c r="I23" s="2">
        <f t="shared" si="0"/>
        <v>11286.628326429369</v>
      </c>
    </row>
    <row r="24" spans="1:9">
      <c r="A24" t="s">
        <v>74</v>
      </c>
      <c r="B24" t="s">
        <v>75</v>
      </c>
      <c r="C24" t="s">
        <v>10</v>
      </c>
      <c r="D24" t="s">
        <v>33</v>
      </c>
      <c r="E24" t="s">
        <v>132</v>
      </c>
      <c r="F24" s="2">
        <v>20.413769771413961</v>
      </c>
      <c r="G24" s="2">
        <v>6152.9211518359643</v>
      </c>
      <c r="H24" s="2">
        <v>240730</v>
      </c>
      <c r="I24" s="2">
        <f t="shared" si="0"/>
        <v>11792.530370216173</v>
      </c>
    </row>
    <row r="25" spans="1:9">
      <c r="A25" t="s">
        <v>8</v>
      </c>
      <c r="B25" t="s">
        <v>9</v>
      </c>
      <c r="C25" t="s">
        <v>10</v>
      </c>
      <c r="D25" t="s">
        <v>11</v>
      </c>
      <c r="E25" t="s">
        <v>132</v>
      </c>
      <c r="F25" s="2">
        <v>23.726260983997481</v>
      </c>
      <c r="G25" s="2">
        <v>14946.04665986597</v>
      </c>
      <c r="H25" s="2">
        <v>231089</v>
      </c>
      <c r="I25" s="2">
        <f t="shared" si="0"/>
        <v>9739.7984518446174</v>
      </c>
    </row>
    <row r="26" spans="1:9">
      <c r="A26" t="s">
        <v>110</v>
      </c>
      <c r="B26" t="s">
        <v>111</v>
      </c>
      <c r="C26" t="s">
        <v>10</v>
      </c>
      <c r="D26" t="s">
        <v>33</v>
      </c>
      <c r="E26" t="s">
        <v>132</v>
      </c>
      <c r="F26" s="2">
        <v>8.1891815097107106</v>
      </c>
      <c r="G26" s="2">
        <v>6630.3657508099777</v>
      </c>
      <c r="H26" s="2">
        <v>174665</v>
      </c>
      <c r="I26" s="2">
        <f t="shared" si="0"/>
        <v>21328.74937414474</v>
      </c>
    </row>
    <row r="27" spans="1:9">
      <c r="A27" t="s">
        <v>116</v>
      </c>
      <c r="B27" t="s">
        <v>117</v>
      </c>
      <c r="C27" t="s">
        <v>32</v>
      </c>
      <c r="D27" t="s">
        <v>29</v>
      </c>
      <c r="E27" t="s">
        <v>132</v>
      </c>
      <c r="F27" s="2">
        <v>1.5809017536490579</v>
      </c>
      <c r="G27" s="2">
        <v>24924.547129300769</v>
      </c>
      <c r="H27" s="2">
        <v>425425</v>
      </c>
      <c r="I27" s="2">
        <f t="shared" si="0"/>
        <v>269102.74406238622</v>
      </c>
    </row>
    <row r="28" spans="1:9">
      <c r="A28" t="s">
        <v>92</v>
      </c>
      <c r="B28" t="s">
        <v>93</v>
      </c>
      <c r="C28" t="s">
        <v>32</v>
      </c>
      <c r="D28" t="s">
        <v>29</v>
      </c>
      <c r="E28" t="s">
        <v>132</v>
      </c>
      <c r="F28" s="2">
        <v>19.374195926727971</v>
      </c>
      <c r="G28" s="2">
        <v>54186.868184225677</v>
      </c>
      <c r="H28" s="2">
        <v>125287</v>
      </c>
      <c r="I28" s="2">
        <f t="shared" si="0"/>
        <v>6466.6941778553182</v>
      </c>
    </row>
    <row r="29" spans="1:9">
      <c r="A29" t="s">
        <v>68</v>
      </c>
      <c r="B29" t="s">
        <v>69</v>
      </c>
      <c r="C29" t="s">
        <v>32</v>
      </c>
      <c r="D29" t="s">
        <v>29</v>
      </c>
      <c r="E29" t="s">
        <v>132</v>
      </c>
      <c r="F29" s="2">
        <v>29.4014897991472</v>
      </c>
      <c r="G29" s="2">
        <v>62710.137981121261</v>
      </c>
      <c r="H29" s="2">
        <v>121214</v>
      </c>
      <c r="I29" s="2">
        <f t="shared" si="0"/>
        <v>4122.7162578515272</v>
      </c>
    </row>
    <row r="30" spans="1:9">
      <c r="A30" t="s">
        <v>60</v>
      </c>
      <c r="B30" t="s">
        <v>61</v>
      </c>
      <c r="C30" t="s">
        <v>32</v>
      </c>
      <c r="D30" t="s">
        <v>11</v>
      </c>
      <c r="E30" t="s">
        <v>132</v>
      </c>
      <c r="F30" s="2">
        <v>36.825419179168193</v>
      </c>
      <c r="G30" s="2">
        <v>20645.944824434158</v>
      </c>
      <c r="H30" s="2">
        <v>200956</v>
      </c>
      <c r="I30" s="2">
        <f t="shared" si="0"/>
        <v>5456.9915150804036</v>
      </c>
    </row>
    <row r="31" spans="1:9">
      <c r="A31" t="s">
        <v>58</v>
      </c>
      <c r="B31" t="s">
        <v>59</v>
      </c>
      <c r="C31" t="s">
        <v>32</v>
      </c>
      <c r="D31" t="s">
        <v>11</v>
      </c>
      <c r="E31" t="s">
        <v>131</v>
      </c>
      <c r="F31" s="2">
        <v>78.808740630901042</v>
      </c>
      <c r="G31" s="2">
        <v>15307.11544738219</v>
      </c>
      <c r="H31" s="2">
        <v>780904</v>
      </c>
      <c r="I31" s="2">
        <f t="shared" si="0"/>
        <v>9908.8501319586649</v>
      </c>
    </row>
    <row r="32" spans="1:9">
      <c r="A32" t="s">
        <v>84</v>
      </c>
      <c r="B32" t="s">
        <v>85</v>
      </c>
      <c r="C32" t="s">
        <v>32</v>
      </c>
      <c r="D32" t="s">
        <v>33</v>
      </c>
      <c r="E32" t="s">
        <v>130</v>
      </c>
      <c r="F32" s="2">
        <v>1288.1154729392631</v>
      </c>
      <c r="G32" s="2">
        <v>4422.4170617790751</v>
      </c>
      <c r="H32" s="2">
        <v>789305</v>
      </c>
      <c r="I32" s="2">
        <f t="shared" si="0"/>
        <v>612.75950532520085</v>
      </c>
    </row>
    <row r="33" spans="1:9">
      <c r="A33" t="s">
        <v>30</v>
      </c>
      <c r="B33" t="s">
        <v>31</v>
      </c>
      <c r="C33" t="s">
        <v>32</v>
      </c>
      <c r="D33" t="s">
        <v>33</v>
      </c>
      <c r="E33" t="s">
        <v>131</v>
      </c>
      <c r="F33" s="2">
        <v>105.1159276203152</v>
      </c>
      <c r="G33" s="2">
        <v>2047.1202665397579</v>
      </c>
      <c r="H33" s="2">
        <v>200649</v>
      </c>
      <c r="I33" s="2">
        <f t="shared" si="0"/>
        <v>1908.8353643679554</v>
      </c>
    </row>
    <row r="34" spans="1:9">
      <c r="A34" t="s">
        <v>124</v>
      </c>
      <c r="B34" t="s">
        <v>125</v>
      </c>
      <c r="C34" t="s">
        <v>32</v>
      </c>
      <c r="D34" t="s">
        <v>33</v>
      </c>
      <c r="E34" t="s">
        <v>131</v>
      </c>
      <c r="F34" s="2">
        <v>33.995716057498669</v>
      </c>
      <c r="G34" s="2">
        <v>8051.8317611676584</v>
      </c>
      <c r="H34" s="2">
        <v>466975</v>
      </c>
      <c r="I34" s="2">
        <f t="shared" si="0"/>
        <v>13736.28957278563</v>
      </c>
    </row>
    <row r="35" spans="1:9">
      <c r="A35" t="s">
        <v>108</v>
      </c>
      <c r="B35" t="s">
        <v>109</v>
      </c>
      <c r="C35" t="s">
        <v>32</v>
      </c>
      <c r="D35" t="s">
        <v>11</v>
      </c>
      <c r="E35" t="s">
        <v>132</v>
      </c>
      <c r="F35" s="2">
        <v>34.778969798791472</v>
      </c>
      <c r="G35" s="2">
        <v>9318.7914933758002</v>
      </c>
      <c r="H35" s="2">
        <v>274066</v>
      </c>
      <c r="I35" s="2">
        <f t="shared" si="0"/>
        <v>7880.2219153001897</v>
      </c>
    </row>
    <row r="36" spans="1:9">
      <c r="A36" t="s">
        <v>88</v>
      </c>
      <c r="B36" t="s">
        <v>89</v>
      </c>
      <c r="C36" t="s">
        <v>32</v>
      </c>
      <c r="D36" t="s">
        <v>33</v>
      </c>
      <c r="E36" t="s">
        <v>132</v>
      </c>
      <c r="F36" s="2">
        <v>29.499325518478901</v>
      </c>
      <c r="G36" s="2">
        <v>5919.90430127131</v>
      </c>
      <c r="H36" s="2">
        <v>68757</v>
      </c>
      <c r="I36" s="2">
        <f t="shared" si="0"/>
        <v>2330.7990535895269</v>
      </c>
    </row>
    <row r="37" spans="1:9">
      <c r="A37" t="s">
        <v>70</v>
      </c>
      <c r="B37" t="s">
        <v>71</v>
      </c>
      <c r="C37" t="s">
        <v>32</v>
      </c>
      <c r="D37" t="s">
        <v>11</v>
      </c>
      <c r="E37" t="s">
        <v>132</v>
      </c>
      <c r="F37" s="2">
        <v>11.836746321658181</v>
      </c>
      <c r="G37" s="2">
        <v>13174.13864530176</v>
      </c>
      <c r="H37" s="2">
        <v>110815</v>
      </c>
      <c r="I37" s="2">
        <f t="shared" si="0"/>
        <v>9361.9476998706341</v>
      </c>
    </row>
    <row r="38" spans="1:9">
      <c r="A38" t="s">
        <v>98</v>
      </c>
      <c r="B38" t="s">
        <v>99</v>
      </c>
      <c r="C38" t="s">
        <v>32</v>
      </c>
      <c r="D38" t="s">
        <v>29</v>
      </c>
      <c r="E38" t="s">
        <v>132</v>
      </c>
      <c r="F38" s="2">
        <v>32.084698574155112</v>
      </c>
      <c r="G38" s="2">
        <v>78857.551352345268</v>
      </c>
      <c r="H38" s="2">
        <v>574743</v>
      </c>
      <c r="I38" s="2">
        <f t="shared" si="0"/>
        <v>17913.305268292825</v>
      </c>
    </row>
    <row r="39" spans="1:9">
      <c r="A39" t="s">
        <v>26</v>
      </c>
      <c r="B39" t="s">
        <v>27</v>
      </c>
      <c r="C39" t="s">
        <v>28</v>
      </c>
      <c r="D39" t="s">
        <v>29</v>
      </c>
      <c r="E39" t="s">
        <v>132</v>
      </c>
      <c r="F39" s="2">
        <v>34.743646800905722</v>
      </c>
      <c r="G39" s="2">
        <v>86533.310357505878</v>
      </c>
      <c r="H39" s="2">
        <v>445940</v>
      </c>
      <c r="I39" s="2">
        <f t="shared" si="0"/>
        <v>12835.152353332551</v>
      </c>
    </row>
    <row r="40" spans="1:9">
      <c r="A40" t="s">
        <v>78</v>
      </c>
      <c r="B40" t="s">
        <v>79</v>
      </c>
      <c r="C40" t="s">
        <v>28</v>
      </c>
      <c r="D40" t="s">
        <v>29</v>
      </c>
      <c r="E40" t="s">
        <v>132</v>
      </c>
      <c r="F40" s="2">
        <v>12.67807792986083</v>
      </c>
      <c r="G40" s="2">
        <v>42321.22051140682</v>
      </c>
      <c r="H40" s="2">
        <v>59229</v>
      </c>
      <c r="I40" s="2">
        <f t="shared" si="0"/>
        <v>4671.7649416318245</v>
      </c>
    </row>
    <row r="41" spans="1:9">
      <c r="A41" t="s">
        <v>23</v>
      </c>
      <c r="B41" t="s">
        <v>24</v>
      </c>
      <c r="C41" t="s">
        <v>25</v>
      </c>
      <c r="D41" t="s">
        <v>11</v>
      </c>
      <c r="E41" t="s">
        <v>132</v>
      </c>
      <c r="F41" s="2">
        <v>21.554641277181581</v>
      </c>
      <c r="G41" s="2">
        <v>23262.060911746379</v>
      </c>
      <c r="H41" s="2">
        <v>393198</v>
      </c>
      <c r="I41" s="2">
        <f t="shared" si="0"/>
        <v>18241.918060415683</v>
      </c>
    </row>
    <row r="42" spans="1:9">
      <c r="A42" t="s">
        <v>38</v>
      </c>
      <c r="B42" t="s">
        <v>39</v>
      </c>
      <c r="C42" t="s">
        <v>25</v>
      </c>
      <c r="D42" t="s">
        <v>29</v>
      </c>
      <c r="E42" t="s">
        <v>132</v>
      </c>
      <c r="F42" s="2">
        <v>3.787985458312479</v>
      </c>
      <c r="G42" s="2">
        <v>43627.033542723962</v>
      </c>
      <c r="H42" s="2">
        <v>44758</v>
      </c>
      <c r="I42" s="2">
        <f t="shared" si="0"/>
        <v>11815.779255905427</v>
      </c>
    </row>
    <row r="43" spans="1:9">
      <c r="A43" t="s">
        <v>42</v>
      </c>
      <c r="B43" t="s">
        <v>43</v>
      </c>
      <c r="C43" t="s">
        <v>25</v>
      </c>
      <c r="D43" t="s">
        <v>11</v>
      </c>
      <c r="E43" t="s">
        <v>132</v>
      </c>
      <c r="F43" s="2">
        <v>23.746297995891261</v>
      </c>
      <c r="G43" s="2">
        <v>21805.905878730799</v>
      </c>
      <c r="H43" s="2">
        <v>128036</v>
      </c>
      <c r="I43" s="2">
        <f t="shared" si="0"/>
        <v>5391.8299190111074</v>
      </c>
    </row>
    <row r="44" spans="1:9">
      <c r="A44" t="s">
        <v>86</v>
      </c>
      <c r="B44" t="s">
        <v>87</v>
      </c>
      <c r="C44" t="s">
        <v>25</v>
      </c>
      <c r="D44" t="s">
        <v>11</v>
      </c>
      <c r="E44" t="s">
        <v>132</v>
      </c>
      <c r="F44" s="2">
        <v>10.278349585555089</v>
      </c>
      <c r="G44" s="2">
        <v>21580.341167004939</v>
      </c>
      <c r="H44" s="2">
        <v>369410</v>
      </c>
      <c r="I44" s="2">
        <f t="shared" si="0"/>
        <v>35940.595026964125</v>
      </c>
    </row>
    <row r="45" spans="1:9">
      <c r="A45" t="s">
        <v>122</v>
      </c>
      <c r="B45" t="s">
        <v>123</v>
      </c>
      <c r="C45" t="s">
        <v>25</v>
      </c>
      <c r="D45" t="s">
        <v>11</v>
      </c>
      <c r="E45" t="s">
        <v>132</v>
      </c>
      <c r="F45" s="2">
        <v>30.83358219804229</v>
      </c>
      <c r="G45" s="2">
        <v>19139.848009188339</v>
      </c>
      <c r="H45" s="2">
        <v>59743</v>
      </c>
      <c r="I45" s="2">
        <f t="shared" si="0"/>
        <v>1937.5951719224258</v>
      </c>
    </row>
    <row r="46" spans="1:9">
      <c r="A46" t="s">
        <v>90</v>
      </c>
      <c r="B46" t="s">
        <v>91</v>
      </c>
      <c r="C46" t="s">
        <v>51</v>
      </c>
      <c r="D46" t="s">
        <v>29</v>
      </c>
      <c r="E46" t="s">
        <v>132</v>
      </c>
      <c r="F46" s="2">
        <v>7.7716338108406999</v>
      </c>
      <c r="G46" s="2">
        <v>36009.241834292377</v>
      </c>
      <c r="H46" s="2">
        <v>518641</v>
      </c>
      <c r="I46" s="2">
        <f t="shared" si="0"/>
        <v>66735.130942034928</v>
      </c>
    </row>
    <row r="47" spans="1:9">
      <c r="A47" t="s">
        <v>114</v>
      </c>
      <c r="B47" t="s">
        <v>115</v>
      </c>
      <c r="C47" t="s">
        <v>51</v>
      </c>
      <c r="D47" t="s">
        <v>33</v>
      </c>
      <c r="E47" t="s">
        <v>132</v>
      </c>
      <c r="F47" s="2">
        <v>13.19694799377991</v>
      </c>
      <c r="G47" s="2">
        <v>3101.3957179381468</v>
      </c>
      <c r="H47" s="2">
        <v>48999</v>
      </c>
      <c r="I47" s="2">
        <f t="shared" si="0"/>
        <v>3712.903924687329</v>
      </c>
    </row>
    <row r="48" spans="1:9">
      <c r="A48" t="s">
        <v>76</v>
      </c>
      <c r="B48" t="s">
        <v>77</v>
      </c>
      <c r="C48" t="s">
        <v>51</v>
      </c>
      <c r="D48" t="s">
        <v>29</v>
      </c>
      <c r="E48" t="s">
        <v>132</v>
      </c>
      <c r="F48" s="2">
        <v>1.5645045948126119</v>
      </c>
      <c r="G48" s="2">
        <v>49705.979724890793</v>
      </c>
      <c r="H48" s="2">
        <v>140375</v>
      </c>
      <c r="I48" s="2">
        <f t="shared" si="0"/>
        <v>89724.888290796851</v>
      </c>
    </row>
    <row r="49" spans="1:9">
      <c r="A49" t="s">
        <v>106</v>
      </c>
      <c r="B49" t="s">
        <v>107</v>
      </c>
      <c r="C49" t="s">
        <v>51</v>
      </c>
      <c r="D49" t="s">
        <v>29</v>
      </c>
      <c r="E49" t="s">
        <v>132</v>
      </c>
      <c r="F49" s="2">
        <v>2.269524942656985</v>
      </c>
      <c r="G49" s="2">
        <v>30607.71271135148</v>
      </c>
      <c r="H49" s="2">
        <v>479417</v>
      </c>
      <c r="I49" s="2">
        <f t="shared" si="0"/>
        <v>211241.12407362903</v>
      </c>
    </row>
    <row r="50" spans="1:9">
      <c r="A50" t="s">
        <v>82</v>
      </c>
      <c r="B50" t="s">
        <v>83</v>
      </c>
      <c r="C50" t="s">
        <v>51</v>
      </c>
      <c r="D50" t="s">
        <v>29</v>
      </c>
      <c r="E50" t="s">
        <v>132</v>
      </c>
      <c r="F50" s="2">
        <v>20.37137183001828</v>
      </c>
      <c r="G50" s="2">
        <v>81129.106415163609</v>
      </c>
      <c r="H50" s="2">
        <v>541437</v>
      </c>
      <c r="I50" s="2">
        <f t="shared" si="0"/>
        <v>26578.327886694617</v>
      </c>
    </row>
  </sheetData>
  <conditionalFormatting sqref="H1:H1048576">
    <cfRule type="cellIs" dxfId="9" priority="1" operator="lessThan">
      <formula>742194.8</formula>
    </cfRule>
    <cfRule type="cellIs" dxfId="8" priority="2" operator="between">
      <formula>2000000</formula>
      <formula>742194.8</formula>
    </cfRule>
    <cfRule type="cellIs" dxfId="7" priority="3" operator="greaterThan">
      <formula>2000000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C16" sqref="C16"/>
    </sheetView>
  </sheetViews>
  <sheetFormatPr defaultRowHeight="14.4"/>
  <cols>
    <col min="1" max="1" width="16.77734375" customWidth="1"/>
    <col min="2" max="2" width="14.44140625" customWidth="1"/>
    <col min="3" max="3" width="59.77734375" customWidth="1"/>
  </cols>
  <sheetData>
    <row r="1" spans="1:3">
      <c r="A1" s="1" t="s">
        <v>133</v>
      </c>
      <c r="B1" s="1" t="s">
        <v>134</v>
      </c>
      <c r="C1" s="1" t="s">
        <v>135</v>
      </c>
    </row>
    <row r="2" spans="1:3">
      <c r="A2" t="s">
        <v>0</v>
      </c>
      <c r="B2" t="s">
        <v>136</v>
      </c>
      <c r="C2" t="s">
        <v>137</v>
      </c>
    </row>
    <row r="3" spans="1:3">
      <c r="A3" t="s">
        <v>1</v>
      </c>
      <c r="B3" t="s">
        <v>136</v>
      </c>
      <c r="C3" t="s">
        <v>138</v>
      </c>
    </row>
    <row r="4" spans="1:3">
      <c r="A4" t="s">
        <v>2</v>
      </c>
      <c r="B4" t="s">
        <v>136</v>
      </c>
      <c r="C4" t="s">
        <v>139</v>
      </c>
    </row>
    <row r="5" spans="1:3">
      <c r="A5" t="s">
        <v>3</v>
      </c>
      <c r="B5" t="s">
        <v>136</v>
      </c>
      <c r="C5" t="s">
        <v>140</v>
      </c>
    </row>
    <row r="6" spans="1:3">
      <c r="A6" t="s">
        <v>4</v>
      </c>
      <c r="B6" t="s">
        <v>141</v>
      </c>
      <c r="C6" t="s">
        <v>142</v>
      </c>
    </row>
    <row r="7" spans="1:3">
      <c r="A7" t="s">
        <v>5</v>
      </c>
      <c r="B7" t="s">
        <v>136</v>
      </c>
      <c r="C7" t="s">
        <v>143</v>
      </c>
    </row>
    <row r="8" spans="1:3">
      <c r="A8" t="s">
        <v>6</v>
      </c>
      <c r="B8" t="s">
        <v>136</v>
      </c>
      <c r="C8" t="s">
        <v>144</v>
      </c>
    </row>
    <row r="9" spans="1:3">
      <c r="A9" t="s">
        <v>7</v>
      </c>
      <c r="B9" t="s">
        <v>145</v>
      </c>
      <c r="C9" t="s">
        <v>146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topLeftCell="A2" workbookViewId="0">
      <selection activeCell="E34" sqref="E34"/>
    </sheetView>
  </sheetViews>
  <sheetFormatPr defaultRowHeight="14.4"/>
  <cols>
    <col min="1" max="1" width="13.77734375" customWidth="1"/>
    <col min="2" max="2" width="14.77734375" customWidth="1"/>
    <col min="3" max="3" width="24.44140625" customWidth="1"/>
  </cols>
  <sheetData>
    <row r="1" spans="1:3">
      <c r="A1" s="1" t="s">
        <v>5</v>
      </c>
      <c r="B1" s="1" t="s">
        <v>6</v>
      </c>
      <c r="C1" s="1" t="s">
        <v>147</v>
      </c>
    </row>
    <row r="2" spans="1:3">
      <c r="A2" t="s">
        <v>14</v>
      </c>
      <c r="B2" t="s">
        <v>13</v>
      </c>
      <c r="C2">
        <v>0.95</v>
      </c>
    </row>
    <row r="3" spans="1:3">
      <c r="A3" t="s">
        <v>14</v>
      </c>
      <c r="B3" t="s">
        <v>15</v>
      </c>
      <c r="C3">
        <v>0.03</v>
      </c>
    </row>
    <row r="4" spans="1:3">
      <c r="A4" t="s">
        <v>14</v>
      </c>
      <c r="B4" t="s">
        <v>17</v>
      </c>
      <c r="C4">
        <v>0.02</v>
      </c>
    </row>
    <row r="5" spans="1:3">
      <c r="A5" t="s">
        <v>14</v>
      </c>
      <c r="B5" t="s">
        <v>19</v>
      </c>
      <c r="C5">
        <v>0</v>
      </c>
    </row>
    <row r="6" spans="1:3">
      <c r="A6" t="s">
        <v>18</v>
      </c>
      <c r="B6" t="s">
        <v>13</v>
      </c>
      <c r="C6">
        <v>0.85</v>
      </c>
    </row>
    <row r="7" spans="1:3">
      <c r="A7" t="s">
        <v>18</v>
      </c>
      <c r="B7" t="s">
        <v>15</v>
      </c>
      <c r="C7">
        <v>0.05</v>
      </c>
    </row>
    <row r="8" spans="1:3">
      <c r="A8" t="s">
        <v>18</v>
      </c>
      <c r="B8" t="s">
        <v>17</v>
      </c>
      <c r="C8">
        <v>0.05</v>
      </c>
    </row>
    <row r="9" spans="1:3">
      <c r="A9" t="s">
        <v>18</v>
      </c>
      <c r="B9" t="s">
        <v>19</v>
      </c>
      <c r="C9">
        <v>0.05</v>
      </c>
    </row>
    <row r="10" spans="1:3">
      <c r="A10" t="s">
        <v>21</v>
      </c>
      <c r="B10" t="s">
        <v>13</v>
      </c>
      <c r="C10">
        <v>0.97</v>
      </c>
    </row>
    <row r="11" spans="1:3">
      <c r="A11" t="s">
        <v>21</v>
      </c>
      <c r="B11" t="s">
        <v>15</v>
      </c>
      <c r="C11">
        <v>0.02</v>
      </c>
    </row>
    <row r="12" spans="1:3">
      <c r="A12" t="s">
        <v>21</v>
      </c>
      <c r="B12" t="s">
        <v>17</v>
      </c>
      <c r="C12">
        <v>0.01</v>
      </c>
    </row>
    <row r="13" spans="1:3">
      <c r="A13" t="s">
        <v>21</v>
      </c>
      <c r="B13" t="s">
        <v>19</v>
      </c>
      <c r="C13">
        <v>0</v>
      </c>
    </row>
    <row r="14" spans="1:3">
      <c r="A14" t="s">
        <v>12</v>
      </c>
      <c r="B14" t="s">
        <v>13</v>
      </c>
      <c r="C14">
        <v>0.9</v>
      </c>
    </row>
    <row r="15" spans="1:3">
      <c r="A15" t="s">
        <v>12</v>
      </c>
      <c r="B15" t="s">
        <v>15</v>
      </c>
      <c r="C15">
        <v>7.0000000000000007E-2</v>
      </c>
    </row>
    <row r="16" spans="1:3">
      <c r="A16" t="s">
        <v>12</v>
      </c>
      <c r="B16" t="s">
        <v>17</v>
      </c>
      <c r="C16">
        <v>0.03</v>
      </c>
    </row>
    <row r="17" spans="1:3">
      <c r="A17" t="s">
        <v>12</v>
      </c>
      <c r="B17" t="s">
        <v>19</v>
      </c>
      <c r="C17">
        <v>0</v>
      </c>
    </row>
    <row r="18" spans="1:3">
      <c r="A18" t="s">
        <v>22</v>
      </c>
      <c r="B18" t="s">
        <v>13</v>
      </c>
      <c r="C18">
        <v>0.1</v>
      </c>
    </row>
    <row r="19" spans="1:3">
      <c r="A19" t="s">
        <v>22</v>
      </c>
      <c r="B19" t="s">
        <v>15</v>
      </c>
      <c r="C19">
        <v>0.7</v>
      </c>
    </row>
    <row r="20" spans="1:3">
      <c r="A20" t="s">
        <v>22</v>
      </c>
      <c r="B20" t="s">
        <v>17</v>
      </c>
      <c r="C20">
        <v>0.2</v>
      </c>
    </row>
    <row r="21" spans="1:3">
      <c r="A21" t="s">
        <v>22</v>
      </c>
      <c r="B21" t="s">
        <v>19</v>
      </c>
      <c r="C21">
        <v>0</v>
      </c>
    </row>
    <row r="22" spans="1:3">
      <c r="A22" t="s">
        <v>16</v>
      </c>
      <c r="B22" t="s">
        <v>13</v>
      </c>
      <c r="C22">
        <v>0.15</v>
      </c>
    </row>
    <row r="23" spans="1:3">
      <c r="A23" t="s">
        <v>16</v>
      </c>
      <c r="B23" t="s">
        <v>15</v>
      </c>
      <c r="C23">
        <v>0.8</v>
      </c>
    </row>
    <row r="24" spans="1:3">
      <c r="A24" t="s">
        <v>16</v>
      </c>
      <c r="B24" t="s">
        <v>17</v>
      </c>
      <c r="C24">
        <v>0.05</v>
      </c>
    </row>
    <row r="25" spans="1:3">
      <c r="A25" t="s">
        <v>16</v>
      </c>
      <c r="B25" t="s">
        <v>19</v>
      </c>
      <c r="C25">
        <v>0</v>
      </c>
    </row>
    <row r="26" spans="1:3">
      <c r="A26" t="s">
        <v>20</v>
      </c>
      <c r="B26" t="s">
        <v>13</v>
      </c>
      <c r="C26">
        <v>0.98</v>
      </c>
    </row>
    <row r="27" spans="1:3">
      <c r="A27" t="s">
        <v>20</v>
      </c>
      <c r="B27" t="s">
        <v>15</v>
      </c>
      <c r="C27">
        <v>0.01</v>
      </c>
    </row>
    <row r="28" spans="1:3">
      <c r="A28" t="s">
        <v>20</v>
      </c>
      <c r="B28" t="s">
        <v>17</v>
      </c>
      <c r="C28">
        <v>0.01</v>
      </c>
    </row>
    <row r="29" spans="1:3">
      <c r="A29" t="s">
        <v>20</v>
      </c>
      <c r="B29" t="s">
        <v>19</v>
      </c>
      <c r="C2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 BOARD </vt:lpstr>
      <vt:lpstr>analysis </vt:lpstr>
      <vt:lpstr>Sheet1</vt:lpstr>
      <vt:lpstr>data</vt:lpstr>
      <vt:lpstr>Tempreature</vt:lpstr>
      <vt:lpstr>countries</vt:lpstr>
      <vt:lpstr>dictionary</vt:lpstr>
      <vt:lpstr>sectors_gas_shares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Roaa Ahmed</cp:lastModifiedBy>
  <dcterms:created xsi:type="dcterms:W3CDTF">2025-08-31T18:43:30Z</dcterms:created>
  <dcterms:modified xsi:type="dcterms:W3CDTF">2025-10-01T11:31:58Z</dcterms:modified>
</cp:coreProperties>
</file>